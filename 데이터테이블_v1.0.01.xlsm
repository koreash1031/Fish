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Python\fish\"/>
    </mc:Choice>
  </mc:AlternateContent>
  <xr:revisionPtr revIDLastSave="0" documentId="13_ncr:1_{C5ABB3D5-D4DC-4226-938F-826E2D919CCE}" xr6:coauthVersionLast="47" xr6:coauthVersionMax="47" xr10:uidLastSave="{00000000-0000-0000-0000-000000000000}"/>
  <bookViews>
    <workbookView xWindow="28680" yWindow="-120" windowWidth="29040" windowHeight="15720" firstSheet="2" activeTab="6" xr2:uid="{F21B849F-6DFE-42CF-9425-2EB59C83E16F}"/>
  </bookViews>
  <sheets>
    <sheet name="참고" sheetId="11" r:id="rId1"/>
    <sheet name="계산기" sheetId="27" r:id="rId2"/>
    <sheet name="전투력계산" sheetId="21" r:id="rId3"/>
    <sheet name="handle" sheetId="9" r:id="rId4"/>
    <sheet name="fish" sheetId="12" r:id="rId5"/>
    <sheet name="items" sheetId="31" r:id="rId6"/>
    <sheet name="maps" sheetId="33" r:id="rId7"/>
    <sheet name="Skill" sheetId="29" r:id="rId8"/>
    <sheet name="몬스터참고" sheetId="20" r:id="rId9"/>
  </sheets>
  <definedNames>
    <definedName name="_xleta.IF" hidden="1" xlm="1">#NAME?</definedName>
    <definedName name="Accuracy계수">참고!$I$12</definedName>
    <definedName name="attack계수">참고!$E$12</definedName>
    <definedName name="CriticalDamage계수">참고!$H$12</definedName>
    <definedName name="CriticalRate계수">참고!$G$12</definedName>
    <definedName name="Defense계수">참고!$F$12</definedName>
    <definedName name="DodgeRate계수">참고!$J$12</definedName>
    <definedName name="HP계수">참고!$D$12</definedName>
    <definedName name="베이스_근력">참고!$C$7</definedName>
    <definedName name="베이스_생명">참고!$C$5</definedName>
    <definedName name="베이스_숙련도">참고!$C$8</definedName>
    <definedName name="베이스_이동속도">참고!$C$10</definedName>
    <definedName name="베이스_행동력">참고!$C$11</definedName>
    <definedName name="베이스_행운">참고!$C$9</definedName>
    <definedName name="베이스_힘">참고!$C$6</definedName>
    <definedName name="속도핸들러_곱계수">참고!$AD$1</definedName>
    <definedName name="속도핸들러_합계수">참고!$AD$2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8" i="21" l="1"/>
  <c r="W312" i="21"/>
  <c r="W311" i="21"/>
  <c r="W310" i="21"/>
  <c r="W309" i="21"/>
  <c r="W303" i="21"/>
  <c r="W307" i="21"/>
  <c r="W306" i="21"/>
  <c r="W305" i="21"/>
  <c r="W304" i="21"/>
  <c r="AG274" i="21"/>
  <c r="AG275" i="21"/>
  <c r="AG276" i="21"/>
  <c r="AG277" i="21"/>
  <c r="AE254" i="21"/>
  <c r="AE255" i="21"/>
  <c r="AE256" i="21"/>
  <c r="AE257" i="21"/>
  <c r="AE258" i="21"/>
  <c r="AE259" i="21"/>
  <c r="AE260" i="21"/>
  <c r="AE261" i="21"/>
  <c r="AE262" i="21"/>
  <c r="AE263" i="21"/>
  <c r="AE264" i="21"/>
  <c r="AE265" i="21"/>
  <c r="AE266" i="21"/>
  <c r="AE267" i="21"/>
  <c r="AE268" i="21"/>
  <c r="AE269" i="21"/>
  <c r="AE270" i="21"/>
  <c r="AE271" i="21"/>
  <c r="AE272" i="21"/>
  <c r="AE273" i="21"/>
  <c r="AE274" i="21"/>
  <c r="AE275" i="21"/>
  <c r="AE276" i="21"/>
  <c r="AE277" i="21"/>
  <c r="AE253" i="21"/>
  <c r="AG254" i="21"/>
  <c r="AG255" i="21"/>
  <c r="AG256" i="21"/>
  <c r="AG257" i="21"/>
  <c r="AG258" i="21"/>
  <c r="AG259" i="21"/>
  <c r="AG260" i="21"/>
  <c r="AG261" i="21"/>
  <c r="AG262" i="21"/>
  <c r="AG263" i="21"/>
  <c r="AG264" i="21"/>
  <c r="AG265" i="21"/>
  <c r="AG266" i="21"/>
  <c r="AG267" i="21"/>
  <c r="AG268" i="21"/>
  <c r="AG269" i="21"/>
  <c r="AG270" i="21"/>
  <c r="AG271" i="21"/>
  <c r="AG272" i="21"/>
  <c r="AG273" i="21"/>
  <c r="AG253" i="21"/>
  <c r="AI248" i="21"/>
  <c r="AI249" i="21"/>
  <c r="AI250" i="21"/>
  <c r="AI251" i="21"/>
  <c r="AI252" i="21"/>
  <c r="AI247" i="21"/>
  <c r="AE248" i="21"/>
  <c r="AE249" i="21"/>
  <c r="AE250" i="21"/>
  <c r="AE251" i="21"/>
  <c r="AE252" i="21"/>
  <c r="AE247" i="21"/>
  <c r="AG252" i="21"/>
  <c r="AG251" i="21"/>
  <c r="AG250" i="21"/>
  <c r="AG249" i="21"/>
  <c r="AG248" i="21"/>
  <c r="AG247" i="21"/>
  <c r="AI243" i="21"/>
  <c r="AI244" i="21"/>
  <c r="AI245" i="21"/>
  <c r="AI246" i="21"/>
  <c r="AI242" i="21"/>
  <c r="AE243" i="21"/>
  <c r="AE244" i="21"/>
  <c r="AE245" i="21"/>
  <c r="AE246" i="21"/>
  <c r="AE242" i="21"/>
  <c r="AG243" i="21"/>
  <c r="AG244" i="21"/>
  <c r="AG245" i="21"/>
  <c r="AG246" i="21"/>
  <c r="AG242" i="21"/>
  <c r="AF246" i="21"/>
  <c r="AF245" i="21"/>
  <c r="AF244" i="21"/>
  <c r="AF243" i="21"/>
  <c r="AF242" i="21"/>
  <c r="AF229" i="21"/>
  <c r="AF230" i="21"/>
  <c r="AF231" i="21"/>
  <c r="AF232" i="21"/>
  <c r="AF233" i="21"/>
  <c r="AF234" i="21"/>
  <c r="AF235" i="21"/>
  <c r="AF236" i="21"/>
  <c r="AF237" i="21"/>
  <c r="AF238" i="21"/>
  <c r="AF239" i="21"/>
  <c r="AF240" i="21"/>
  <c r="AF241" i="21"/>
  <c r="AF228" i="21"/>
  <c r="AF4" i="21"/>
  <c r="AF5" i="21"/>
  <c r="AF6" i="21"/>
  <c r="AF7" i="21"/>
  <c r="AF8" i="21"/>
  <c r="AF9" i="21"/>
  <c r="AF10" i="21"/>
  <c r="AF11" i="21"/>
  <c r="AF12" i="21"/>
  <c r="AF13" i="21"/>
  <c r="AF14" i="21"/>
  <c r="AF15" i="21"/>
  <c r="AF16" i="21"/>
  <c r="AF17" i="21"/>
  <c r="AF18" i="21"/>
  <c r="AF19" i="21"/>
  <c r="AF20" i="21"/>
  <c r="AF21" i="21"/>
  <c r="AF22" i="21"/>
  <c r="AF23" i="21"/>
  <c r="AF24" i="21"/>
  <c r="AF25" i="21"/>
  <c r="AF26" i="21"/>
  <c r="AF27" i="21"/>
  <c r="AF3" i="21"/>
  <c r="AI241" i="21"/>
  <c r="AG241" i="21"/>
  <c r="AE241" i="21"/>
  <c r="AI240" i="21"/>
  <c r="AG240" i="21"/>
  <c r="AE240" i="21"/>
  <c r="AI239" i="21"/>
  <c r="AG239" i="21"/>
  <c r="AE239" i="21"/>
  <c r="AI238" i="21"/>
  <c r="AG238" i="21"/>
  <c r="AE238" i="21"/>
  <c r="AE235" i="21"/>
  <c r="AE236" i="21"/>
  <c r="AE237" i="21"/>
  <c r="AE234" i="21"/>
  <c r="AG235" i="21"/>
  <c r="AG236" i="21"/>
  <c r="AG237" i="21"/>
  <c r="AG233" i="21"/>
  <c r="AI237" i="21"/>
  <c r="AI236" i="21"/>
  <c r="AI235" i="21"/>
  <c r="AI234" i="21"/>
  <c r="AG234" i="21"/>
  <c r="AI233" i="21"/>
  <c r="AE233" i="21"/>
  <c r="AE229" i="21"/>
  <c r="AG229" i="21"/>
  <c r="AI229" i="21"/>
  <c r="AE230" i="21"/>
  <c r="AG230" i="21"/>
  <c r="AI230" i="21"/>
  <c r="AE231" i="21"/>
  <c r="AG231" i="21"/>
  <c r="AI231" i="21"/>
  <c r="AE232" i="21"/>
  <c r="AG232" i="21"/>
  <c r="AI232" i="21"/>
  <c r="AG228" i="21"/>
  <c r="AI228" i="21"/>
  <c r="AE228" i="21"/>
  <c r="AJ227" i="21"/>
  <c r="AJ226" i="21"/>
  <c r="AE222" i="21"/>
  <c r="AE221" i="21"/>
  <c r="AJ217" i="21"/>
  <c r="AJ216" i="21"/>
  <c r="AE207" i="21"/>
  <c r="AE206" i="21"/>
  <c r="AK204" i="21"/>
  <c r="AK205" i="21"/>
  <c r="AK206" i="21"/>
  <c r="AK207" i="21"/>
  <c r="AK208" i="21"/>
  <c r="AK209" i="21"/>
  <c r="AK210" i="21"/>
  <c r="AK211" i="21"/>
  <c r="AK212" i="21"/>
  <c r="AK213" i="21"/>
  <c r="AK214" i="21"/>
  <c r="AK215" i="21"/>
  <c r="AK216" i="21"/>
  <c r="AK217" i="21"/>
  <c r="AK218" i="21"/>
  <c r="AK219" i="21"/>
  <c r="AK220" i="21"/>
  <c r="AK221" i="21"/>
  <c r="AK222" i="21"/>
  <c r="AK223" i="21"/>
  <c r="AK224" i="21"/>
  <c r="AK225" i="21"/>
  <c r="AK226" i="21"/>
  <c r="AK227" i="21"/>
  <c r="AK203" i="21"/>
  <c r="AJ201" i="21"/>
  <c r="AJ202" i="21"/>
  <c r="W270" i="21"/>
  <c r="W271" i="21"/>
  <c r="W272" i="21"/>
  <c r="W273" i="21"/>
  <c r="W274" i="21"/>
  <c r="W275" i="21"/>
  <c r="W276" i="21"/>
  <c r="W277" i="21"/>
  <c r="W220" i="21"/>
  <c r="W221" i="21"/>
  <c r="W222" i="21"/>
  <c r="W223" i="21"/>
  <c r="W224" i="21"/>
  <c r="W225" i="21"/>
  <c r="W226" i="21"/>
  <c r="W227" i="21"/>
  <c r="W195" i="21"/>
  <c r="W196" i="21"/>
  <c r="W197" i="21"/>
  <c r="W198" i="21"/>
  <c r="W199" i="21"/>
  <c r="W200" i="21"/>
  <c r="W201" i="21"/>
  <c r="W202" i="21"/>
  <c r="W169" i="21"/>
  <c r="W170" i="21"/>
  <c r="W171" i="21"/>
  <c r="W172" i="21"/>
  <c r="W173" i="21"/>
  <c r="W174" i="21"/>
  <c r="W175" i="21"/>
  <c r="W176" i="21"/>
  <c r="W177" i="21"/>
  <c r="W152" i="21"/>
  <c r="W151" i="21"/>
  <c r="W150" i="21"/>
  <c r="W149" i="21"/>
  <c r="W148" i="21"/>
  <c r="W147" i="21"/>
  <c r="W146" i="21"/>
  <c r="W145" i="21"/>
  <c r="W144" i="21"/>
  <c r="W143" i="21"/>
  <c r="W142" i="21"/>
  <c r="W141" i="21"/>
  <c r="W140" i="21"/>
  <c r="W139" i="21"/>
  <c r="W138" i="21"/>
  <c r="W137" i="21"/>
  <c r="W136" i="21"/>
  <c r="W135" i="21"/>
  <c r="W134" i="21"/>
  <c r="W133" i="21"/>
  <c r="W132" i="21"/>
  <c r="W131" i="21"/>
  <c r="W130" i="21"/>
  <c r="W129" i="21"/>
  <c r="W128" i="21"/>
  <c r="W119" i="21"/>
  <c r="W120" i="21"/>
  <c r="W121" i="21"/>
  <c r="W122" i="21"/>
  <c r="W123" i="21"/>
  <c r="W124" i="21"/>
  <c r="W125" i="21"/>
  <c r="W126" i="21"/>
  <c r="W127" i="21"/>
  <c r="W94" i="21"/>
  <c r="W95" i="21"/>
  <c r="W96" i="21"/>
  <c r="W97" i="21"/>
  <c r="W98" i="21"/>
  <c r="W99" i="21"/>
  <c r="W100" i="21"/>
  <c r="W101" i="21"/>
  <c r="W102" i="21"/>
  <c r="W77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B23" i="9"/>
  <c r="B22" i="9"/>
  <c r="AO3" i="21"/>
  <c r="AO4" i="21"/>
  <c r="AO5" i="21"/>
  <c r="AO6" i="21"/>
  <c r="AO7" i="21"/>
  <c r="AO8" i="21"/>
  <c r="AO9" i="21"/>
  <c r="AO10" i="21"/>
  <c r="AO11" i="21"/>
  <c r="AO12" i="21"/>
  <c r="AO13" i="21"/>
  <c r="AO14" i="21"/>
  <c r="AO2" i="21"/>
  <c r="C3" i="21"/>
  <c r="C4" i="21"/>
  <c r="G4" i="21" s="1"/>
  <c r="C5" i="21"/>
  <c r="C6" i="21"/>
  <c r="I6" i="21" s="1"/>
  <c r="C7" i="21"/>
  <c r="H7" i="21" s="1"/>
  <c r="C8" i="21"/>
  <c r="F8" i="21" s="1"/>
  <c r="C9" i="21"/>
  <c r="F9" i="21" s="1"/>
  <c r="C10" i="21"/>
  <c r="F10" i="21" s="1"/>
  <c r="C11" i="21"/>
  <c r="C12" i="21"/>
  <c r="J12" i="21" s="1"/>
  <c r="C13" i="21"/>
  <c r="C14" i="21"/>
  <c r="C15" i="21"/>
  <c r="C16" i="21"/>
  <c r="G16" i="21" s="1"/>
  <c r="C17" i="21"/>
  <c r="G17" i="21" s="1"/>
  <c r="C18" i="21"/>
  <c r="C19" i="21"/>
  <c r="C20" i="21"/>
  <c r="C21" i="21"/>
  <c r="F21" i="21" s="1"/>
  <c r="C22" i="21"/>
  <c r="C23" i="21"/>
  <c r="C24" i="21"/>
  <c r="F24" i="21" s="1"/>
  <c r="C25" i="21"/>
  <c r="F25" i="21" s="1"/>
  <c r="C26" i="21"/>
  <c r="F26" i="21" s="1"/>
  <c r="C27" i="21"/>
  <c r="C28" i="21"/>
  <c r="G28" i="21" s="1"/>
  <c r="C29" i="21"/>
  <c r="G29" i="21" s="1"/>
  <c r="C30" i="21"/>
  <c r="C31" i="21"/>
  <c r="C32" i="21"/>
  <c r="G32" i="21" s="1"/>
  <c r="C33" i="21"/>
  <c r="F33" i="21" s="1"/>
  <c r="C34" i="21"/>
  <c r="C35" i="21"/>
  <c r="C36" i="21"/>
  <c r="F36" i="21" s="1"/>
  <c r="C37" i="21"/>
  <c r="F37" i="21" s="1"/>
  <c r="C38" i="21"/>
  <c r="F38" i="21" s="1"/>
  <c r="C39" i="21"/>
  <c r="C40" i="21"/>
  <c r="G40" i="21" s="1"/>
  <c r="C41" i="21"/>
  <c r="C42" i="21"/>
  <c r="C43" i="21"/>
  <c r="C44" i="21"/>
  <c r="C45" i="21"/>
  <c r="F45" i="21" s="1"/>
  <c r="C46" i="21"/>
  <c r="C47" i="21"/>
  <c r="C48" i="21"/>
  <c r="F48" i="21" s="1"/>
  <c r="C49" i="21"/>
  <c r="F49" i="21" s="1"/>
  <c r="C50" i="21"/>
  <c r="F50" i="21" s="1"/>
  <c r="C51" i="21"/>
  <c r="C52" i="21"/>
  <c r="C53" i="21"/>
  <c r="C54" i="21"/>
  <c r="C55" i="21"/>
  <c r="H55" i="21" s="1"/>
  <c r="C56" i="21"/>
  <c r="C57" i="21"/>
  <c r="F57" i="21" s="1"/>
  <c r="C58" i="21"/>
  <c r="C59" i="21"/>
  <c r="C60" i="21"/>
  <c r="F60" i="21" s="1"/>
  <c r="C61" i="21"/>
  <c r="F61" i="21" s="1"/>
  <c r="C62" i="21"/>
  <c r="F62" i="21" s="1"/>
  <c r="C63" i="21"/>
  <c r="C64" i="21"/>
  <c r="G64" i="21" s="1"/>
  <c r="C65" i="21"/>
  <c r="G65" i="21" s="1"/>
  <c r="C66" i="21"/>
  <c r="C67" i="21"/>
  <c r="H67" i="21" s="1"/>
  <c r="C68" i="21"/>
  <c r="C69" i="21"/>
  <c r="F69" i="21" s="1"/>
  <c r="C70" i="21"/>
  <c r="I70" i="21" s="1"/>
  <c r="C71" i="21"/>
  <c r="C72" i="21"/>
  <c r="F72" i="21" s="1"/>
  <c r="C73" i="21"/>
  <c r="F73" i="21" s="1"/>
  <c r="C74" i="21"/>
  <c r="F74" i="21" s="1"/>
  <c r="C75" i="21"/>
  <c r="C76" i="21"/>
  <c r="G76" i="21" s="1"/>
  <c r="C77" i="21"/>
  <c r="G77" i="21" s="1"/>
  <c r="C78" i="21"/>
  <c r="C79" i="21"/>
  <c r="H79" i="21" s="1"/>
  <c r="C80" i="21"/>
  <c r="G80" i="21" s="1"/>
  <c r="C81" i="21"/>
  <c r="F81" i="21" s="1"/>
  <c r="C82" i="21"/>
  <c r="C83" i="21"/>
  <c r="C84" i="21"/>
  <c r="F84" i="21" s="1"/>
  <c r="C85" i="21"/>
  <c r="F85" i="21" s="1"/>
  <c r="C86" i="21"/>
  <c r="F86" i="21" s="1"/>
  <c r="C87" i="21"/>
  <c r="C88" i="21"/>
  <c r="G88" i="21" s="1"/>
  <c r="C89" i="21"/>
  <c r="C90" i="21"/>
  <c r="C91" i="21"/>
  <c r="H91" i="21" s="1"/>
  <c r="C92" i="21"/>
  <c r="C93" i="21"/>
  <c r="F93" i="21" s="1"/>
  <c r="C94" i="21"/>
  <c r="I94" i="21" s="1"/>
  <c r="C95" i="21"/>
  <c r="C96" i="21"/>
  <c r="F96" i="21" s="1"/>
  <c r="C97" i="21"/>
  <c r="F97" i="21" s="1"/>
  <c r="C98" i="21"/>
  <c r="F98" i="21" s="1"/>
  <c r="C99" i="21"/>
  <c r="C100" i="21"/>
  <c r="C101" i="21"/>
  <c r="C102" i="21"/>
  <c r="C103" i="21"/>
  <c r="C104" i="21"/>
  <c r="C105" i="21"/>
  <c r="C106" i="21"/>
  <c r="C107" i="21"/>
  <c r="C108" i="21"/>
  <c r="F108" i="21" s="1"/>
  <c r="C109" i="21"/>
  <c r="F109" i="21" s="1"/>
  <c r="C110" i="21"/>
  <c r="F110" i="21" s="1"/>
  <c r="C111" i="21"/>
  <c r="C112" i="21"/>
  <c r="G112" i="21" s="1"/>
  <c r="C113" i="21"/>
  <c r="G113" i="21" s="1"/>
  <c r="C114" i="21"/>
  <c r="C115" i="21"/>
  <c r="C116" i="21"/>
  <c r="C117" i="21"/>
  <c r="F117" i="21" s="1"/>
  <c r="C118" i="21"/>
  <c r="C119" i="21"/>
  <c r="C120" i="21"/>
  <c r="F120" i="21" s="1"/>
  <c r="C121" i="21"/>
  <c r="F121" i="21" s="1"/>
  <c r="C122" i="21"/>
  <c r="F122" i="21" s="1"/>
  <c r="C123" i="21"/>
  <c r="C124" i="21"/>
  <c r="G124" i="21" s="1"/>
  <c r="C125" i="21"/>
  <c r="G125" i="21" s="1"/>
  <c r="C126" i="21"/>
  <c r="C127" i="21"/>
  <c r="C128" i="21"/>
  <c r="G128" i="21" s="1"/>
  <c r="C129" i="21"/>
  <c r="C130" i="21"/>
  <c r="C131" i="21"/>
  <c r="C132" i="21"/>
  <c r="F132" i="21" s="1"/>
  <c r="AE132" i="21" s="1"/>
  <c r="C133" i="21"/>
  <c r="F133" i="21" s="1"/>
  <c r="AE133" i="21" s="1"/>
  <c r="C134" i="21"/>
  <c r="F134" i="21" s="1"/>
  <c r="AE134" i="21" s="1"/>
  <c r="C135" i="21"/>
  <c r="C136" i="21"/>
  <c r="G136" i="21" s="1"/>
  <c r="C137" i="21"/>
  <c r="C138" i="21"/>
  <c r="C139" i="21"/>
  <c r="C140" i="21"/>
  <c r="C141" i="21"/>
  <c r="F141" i="21" s="1"/>
  <c r="AE141" i="21" s="1"/>
  <c r="C142" i="21"/>
  <c r="C143" i="21"/>
  <c r="C144" i="21"/>
  <c r="F144" i="21" s="1"/>
  <c r="AE144" i="21" s="1"/>
  <c r="C145" i="21"/>
  <c r="F145" i="21" s="1"/>
  <c r="AE145" i="21" s="1"/>
  <c r="C146" i="21"/>
  <c r="F146" i="21" s="1"/>
  <c r="AE146" i="21" s="1"/>
  <c r="C147" i="21"/>
  <c r="C148" i="21"/>
  <c r="C149" i="21"/>
  <c r="C150" i="21"/>
  <c r="C151" i="21"/>
  <c r="C152" i="21"/>
  <c r="C153" i="21"/>
  <c r="C154" i="21"/>
  <c r="C155" i="21"/>
  <c r="C156" i="21"/>
  <c r="F156" i="21" s="1"/>
  <c r="C157" i="21"/>
  <c r="F157" i="21" s="1"/>
  <c r="C158" i="21"/>
  <c r="F158" i="21" s="1"/>
  <c r="C159" i="21"/>
  <c r="C160" i="21"/>
  <c r="G160" i="21" s="1"/>
  <c r="C161" i="21"/>
  <c r="G161" i="21" s="1"/>
  <c r="C162" i="21"/>
  <c r="C163" i="21"/>
  <c r="C164" i="21"/>
  <c r="C165" i="21"/>
  <c r="F165" i="21" s="1"/>
  <c r="C166" i="21"/>
  <c r="C167" i="21"/>
  <c r="C168" i="21"/>
  <c r="F168" i="21" s="1"/>
  <c r="C169" i="21"/>
  <c r="F169" i="21" s="1"/>
  <c r="C170" i="21"/>
  <c r="F170" i="21" s="1"/>
  <c r="C171" i="21"/>
  <c r="C172" i="21"/>
  <c r="G172" i="21" s="1"/>
  <c r="C173" i="21"/>
  <c r="G173" i="21" s="1"/>
  <c r="C174" i="21"/>
  <c r="C175" i="21"/>
  <c r="C176" i="21"/>
  <c r="G176" i="21" s="1"/>
  <c r="C177" i="21"/>
  <c r="F177" i="21" s="1"/>
  <c r="C178" i="21"/>
  <c r="C179" i="21"/>
  <c r="C180" i="21"/>
  <c r="F180" i="21" s="1"/>
  <c r="C181" i="21"/>
  <c r="F181" i="21" s="1"/>
  <c r="C182" i="21"/>
  <c r="F182" i="21" s="1"/>
  <c r="C183" i="21"/>
  <c r="C184" i="21"/>
  <c r="G184" i="21" s="1"/>
  <c r="C185" i="21"/>
  <c r="C186" i="21"/>
  <c r="C187" i="21"/>
  <c r="C188" i="21"/>
  <c r="C189" i="21"/>
  <c r="F189" i="21" s="1"/>
  <c r="C190" i="21"/>
  <c r="C191" i="21"/>
  <c r="C192" i="21"/>
  <c r="F192" i="21" s="1"/>
  <c r="C193" i="21"/>
  <c r="C194" i="21"/>
  <c r="C195" i="21"/>
  <c r="G195" i="21" s="1"/>
  <c r="C196" i="21"/>
  <c r="G196" i="21" s="1"/>
  <c r="C197" i="21"/>
  <c r="J197" i="21" s="1"/>
  <c r="C198" i="21"/>
  <c r="G198" i="21" s="1"/>
  <c r="C199" i="21"/>
  <c r="H199" i="21" s="1"/>
  <c r="C200" i="21"/>
  <c r="G200" i="21" s="1"/>
  <c r="C201" i="21"/>
  <c r="F201" i="21" s="1"/>
  <c r="C202" i="21"/>
  <c r="C203" i="21"/>
  <c r="C204" i="21"/>
  <c r="C205" i="21"/>
  <c r="C206" i="21"/>
  <c r="C207" i="21"/>
  <c r="G207" i="21" s="1"/>
  <c r="C208" i="21"/>
  <c r="G208" i="21" s="1"/>
  <c r="C209" i="21"/>
  <c r="C210" i="21"/>
  <c r="G210" i="21" s="1"/>
  <c r="C211" i="21"/>
  <c r="C212" i="21"/>
  <c r="G212" i="21" s="1"/>
  <c r="C213" i="21"/>
  <c r="F213" i="21" s="1"/>
  <c r="C214" i="21"/>
  <c r="I214" i="21" s="1"/>
  <c r="C215" i="21"/>
  <c r="C216" i="21"/>
  <c r="C217" i="21"/>
  <c r="C218" i="21"/>
  <c r="G218" i="21" s="1"/>
  <c r="C219" i="21"/>
  <c r="G219" i="21" s="1"/>
  <c r="C220" i="21"/>
  <c r="G220" i="21" s="1"/>
  <c r="C221" i="21"/>
  <c r="G221" i="21" s="1"/>
  <c r="C222" i="21"/>
  <c r="G222" i="21" s="1"/>
  <c r="C223" i="21"/>
  <c r="G223" i="21" s="1"/>
  <c r="C224" i="21"/>
  <c r="G224" i="21" s="1"/>
  <c r="C225" i="21"/>
  <c r="F225" i="21" s="1"/>
  <c r="C226" i="21"/>
  <c r="C227" i="21"/>
  <c r="C228" i="21"/>
  <c r="G228" i="21" s="1"/>
  <c r="C229" i="21"/>
  <c r="G229" i="21" s="1"/>
  <c r="C230" i="21"/>
  <c r="G230" i="21" s="1"/>
  <c r="C231" i="21"/>
  <c r="G231" i="21" s="1"/>
  <c r="C232" i="21"/>
  <c r="G232" i="21" s="1"/>
  <c r="C233" i="21"/>
  <c r="G233" i="21" s="1"/>
  <c r="C234" i="21"/>
  <c r="G234" i="21" s="1"/>
  <c r="C235" i="21"/>
  <c r="G235" i="21" s="1"/>
  <c r="C236" i="21"/>
  <c r="G236" i="21" s="1"/>
  <c r="C237" i="21"/>
  <c r="F237" i="21" s="1"/>
  <c r="C238" i="21"/>
  <c r="I238" i="21" s="1"/>
  <c r="C239" i="21"/>
  <c r="C240" i="21"/>
  <c r="G240" i="21" s="1"/>
  <c r="C241" i="21"/>
  <c r="G241" i="21" s="1"/>
  <c r="C242" i="21"/>
  <c r="G242" i="21" s="1"/>
  <c r="C243" i="21"/>
  <c r="G243" i="21" s="1"/>
  <c r="C244" i="21"/>
  <c r="G244" i="21" s="1"/>
  <c r="C245" i="21"/>
  <c r="G245" i="21" s="1"/>
  <c r="C246" i="21"/>
  <c r="G246" i="21" s="1"/>
  <c r="C247" i="21"/>
  <c r="G247" i="21" s="1"/>
  <c r="C248" i="21"/>
  <c r="G248" i="21" s="1"/>
  <c r="C249" i="21"/>
  <c r="F249" i="21" s="1"/>
  <c r="C250" i="21"/>
  <c r="C251" i="21"/>
  <c r="C252" i="21"/>
  <c r="G252" i="21" s="1"/>
  <c r="C253" i="21"/>
  <c r="G253" i="21" s="1"/>
  <c r="C254" i="21"/>
  <c r="G254" i="21" s="1"/>
  <c r="C255" i="21"/>
  <c r="G255" i="21" s="1"/>
  <c r="C256" i="21"/>
  <c r="G256" i="21" s="1"/>
  <c r="C257" i="21"/>
  <c r="G257" i="21" s="1"/>
  <c r="C258" i="21"/>
  <c r="G258" i="21" s="1"/>
  <c r="C259" i="21"/>
  <c r="H259" i="21" s="1"/>
  <c r="C260" i="21"/>
  <c r="G260" i="21" s="1"/>
  <c r="C261" i="21"/>
  <c r="F261" i="21" s="1"/>
  <c r="C262" i="21"/>
  <c r="C263" i="21"/>
  <c r="C264" i="21"/>
  <c r="G264" i="21" s="1"/>
  <c r="C265" i="21"/>
  <c r="G265" i="21" s="1"/>
  <c r="C266" i="21"/>
  <c r="G266" i="21" s="1"/>
  <c r="C267" i="21"/>
  <c r="G267" i="21" s="1"/>
  <c r="C268" i="21"/>
  <c r="G268" i="21" s="1"/>
  <c r="C269" i="21"/>
  <c r="G269" i="21" s="1"/>
  <c r="C270" i="21"/>
  <c r="G270" i="21" s="1"/>
  <c r="C271" i="21"/>
  <c r="C272" i="21"/>
  <c r="G272" i="21" s="1"/>
  <c r="C273" i="21"/>
  <c r="C274" i="21"/>
  <c r="C275" i="21"/>
  <c r="C276" i="21"/>
  <c r="G276" i="21" s="1"/>
  <c r="C277" i="21"/>
  <c r="G277" i="21" s="1"/>
  <c r="C278" i="21"/>
  <c r="G278" i="21" s="1"/>
  <c r="C279" i="21"/>
  <c r="G279" i="21" s="1"/>
  <c r="C280" i="21"/>
  <c r="G280" i="21" s="1"/>
  <c r="C281" i="21"/>
  <c r="G281" i="21" s="1"/>
  <c r="C282" i="21"/>
  <c r="G282" i="21" s="1"/>
  <c r="C283" i="21"/>
  <c r="G283" i="21" s="1"/>
  <c r="C284" i="21"/>
  <c r="G284" i="21" s="1"/>
  <c r="C285" i="21"/>
  <c r="C286" i="21"/>
  <c r="C287" i="21"/>
  <c r="C288" i="21"/>
  <c r="G288" i="21" s="1"/>
  <c r="C289" i="21"/>
  <c r="G289" i="21" s="1"/>
  <c r="C290" i="21"/>
  <c r="G290" i="21" s="1"/>
  <c r="C291" i="21"/>
  <c r="G291" i="21" s="1"/>
  <c r="C292" i="21"/>
  <c r="G292" i="21" s="1"/>
  <c r="R3" i="21"/>
  <c r="R4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P20" i="11"/>
  <c r="J12" i="11"/>
  <c r="I12" i="11"/>
  <c r="H12" i="11"/>
  <c r="G12" i="11"/>
  <c r="F12" i="11"/>
  <c r="E12" i="11"/>
  <c r="D12" i="11"/>
  <c r="AL141" i="21" l="1"/>
  <c r="AL133" i="21"/>
  <c r="AL145" i="21"/>
  <c r="AL132" i="21"/>
  <c r="AL134" i="21"/>
  <c r="AL144" i="21"/>
  <c r="AL146" i="21"/>
  <c r="F265" i="21"/>
  <c r="F264" i="21"/>
  <c r="F254" i="21"/>
  <c r="F253" i="21"/>
  <c r="H260" i="21"/>
  <c r="F252" i="21"/>
  <c r="H223" i="21"/>
  <c r="F290" i="21"/>
  <c r="F242" i="21"/>
  <c r="F289" i="21"/>
  <c r="F241" i="21"/>
  <c r="F288" i="21"/>
  <c r="F240" i="21"/>
  <c r="F278" i="21"/>
  <c r="F230" i="21"/>
  <c r="J233" i="21"/>
  <c r="F277" i="21"/>
  <c r="F229" i="21"/>
  <c r="F276" i="21"/>
  <c r="F228" i="21"/>
  <c r="F266" i="21"/>
  <c r="F218" i="21"/>
  <c r="G3" i="21"/>
  <c r="J3" i="21"/>
  <c r="F3" i="21"/>
  <c r="I3" i="21"/>
  <c r="I5" i="21"/>
  <c r="H5" i="21"/>
  <c r="G193" i="21"/>
  <c r="F193" i="21"/>
  <c r="G194" i="21"/>
  <c r="F194" i="21"/>
  <c r="G204" i="21"/>
  <c r="F204" i="21"/>
  <c r="G205" i="21"/>
  <c r="F205" i="21"/>
  <c r="G206" i="21"/>
  <c r="F206" i="21"/>
  <c r="G209" i="21"/>
  <c r="J209" i="21"/>
  <c r="G211" i="21"/>
  <c r="H211" i="21"/>
  <c r="G216" i="21"/>
  <c r="F216" i="21"/>
  <c r="G217" i="21"/>
  <c r="F217" i="21"/>
  <c r="G271" i="21"/>
  <c r="H271" i="21"/>
  <c r="I287" i="21"/>
  <c r="J287" i="21"/>
  <c r="I275" i="21"/>
  <c r="J275" i="21"/>
  <c r="I263" i="21"/>
  <c r="J263" i="21"/>
  <c r="I251" i="21"/>
  <c r="J251" i="21"/>
  <c r="I239" i="21"/>
  <c r="J239" i="21"/>
  <c r="I227" i="21"/>
  <c r="J227" i="21"/>
  <c r="I215" i="21"/>
  <c r="J215" i="21"/>
  <c r="I203" i="21"/>
  <c r="H203" i="21"/>
  <c r="J203" i="21"/>
  <c r="I191" i="21"/>
  <c r="H191" i="21"/>
  <c r="J191" i="21"/>
  <c r="G191" i="21"/>
  <c r="I179" i="21"/>
  <c r="H179" i="21"/>
  <c r="J179" i="21"/>
  <c r="G179" i="21"/>
  <c r="I167" i="21"/>
  <c r="H167" i="21"/>
  <c r="J167" i="21"/>
  <c r="G167" i="21"/>
  <c r="I155" i="21"/>
  <c r="H155" i="21"/>
  <c r="J155" i="21"/>
  <c r="G155" i="21"/>
  <c r="I143" i="21"/>
  <c r="H143" i="21"/>
  <c r="J143" i="21"/>
  <c r="G143" i="21"/>
  <c r="I131" i="21"/>
  <c r="H131" i="21"/>
  <c r="J131" i="21"/>
  <c r="G131" i="21"/>
  <c r="I119" i="21"/>
  <c r="H119" i="21"/>
  <c r="J119" i="21"/>
  <c r="G119" i="21"/>
  <c r="I107" i="21"/>
  <c r="H107" i="21"/>
  <c r="J107" i="21"/>
  <c r="G107" i="21"/>
  <c r="I95" i="21"/>
  <c r="H95" i="21"/>
  <c r="J95" i="21"/>
  <c r="G95" i="21"/>
  <c r="I83" i="21"/>
  <c r="H83" i="21"/>
  <c r="J83" i="21"/>
  <c r="G83" i="21"/>
  <c r="I71" i="21"/>
  <c r="H71" i="21"/>
  <c r="J71" i="21"/>
  <c r="G71" i="21"/>
  <c r="I59" i="21"/>
  <c r="H59" i="21"/>
  <c r="J59" i="21"/>
  <c r="G59" i="21"/>
  <c r="I47" i="21"/>
  <c r="H47" i="21"/>
  <c r="J47" i="21"/>
  <c r="G47" i="21"/>
  <c r="I35" i="21"/>
  <c r="H35" i="21"/>
  <c r="J35" i="21"/>
  <c r="G35" i="21"/>
  <c r="I23" i="21"/>
  <c r="H23" i="21"/>
  <c r="J23" i="21"/>
  <c r="G23" i="21"/>
  <c r="G11" i="21"/>
  <c r="J11" i="21"/>
  <c r="H286" i="21"/>
  <c r="J286" i="21"/>
  <c r="H274" i="21"/>
  <c r="J274" i="21"/>
  <c r="H262" i="21"/>
  <c r="J262" i="21"/>
  <c r="H250" i="21"/>
  <c r="J250" i="21"/>
  <c r="H238" i="21"/>
  <c r="J238" i="21"/>
  <c r="H226" i="21"/>
  <c r="J226" i="21"/>
  <c r="H214" i="21"/>
  <c r="J214" i="21"/>
  <c r="H202" i="21"/>
  <c r="J202" i="21"/>
  <c r="H190" i="21"/>
  <c r="J190" i="21"/>
  <c r="G190" i="21"/>
  <c r="H178" i="21"/>
  <c r="J178" i="21"/>
  <c r="G178" i="21"/>
  <c r="H166" i="21"/>
  <c r="J166" i="21"/>
  <c r="G166" i="21"/>
  <c r="H154" i="21"/>
  <c r="J154" i="21"/>
  <c r="G154" i="21"/>
  <c r="H142" i="21"/>
  <c r="J142" i="21"/>
  <c r="G142" i="21"/>
  <c r="H130" i="21"/>
  <c r="J130" i="21"/>
  <c r="G130" i="21"/>
  <c r="H118" i="21"/>
  <c r="J118" i="21"/>
  <c r="G118" i="21"/>
  <c r="H106" i="21"/>
  <c r="J106" i="21"/>
  <c r="G106" i="21"/>
  <c r="H94" i="21"/>
  <c r="J94" i="21"/>
  <c r="G94" i="21"/>
  <c r="H82" i="21"/>
  <c r="J82" i="21"/>
  <c r="G82" i="21"/>
  <c r="H70" i="21"/>
  <c r="J70" i="21"/>
  <c r="G70" i="21"/>
  <c r="H58" i="21"/>
  <c r="J58" i="21"/>
  <c r="G58" i="21"/>
  <c r="H46" i="21"/>
  <c r="J46" i="21"/>
  <c r="G46" i="21"/>
  <c r="H34" i="21"/>
  <c r="J34" i="21"/>
  <c r="G34" i="21"/>
  <c r="H22" i="21"/>
  <c r="J22" i="21"/>
  <c r="G22" i="21"/>
  <c r="I10" i="21"/>
  <c r="J10" i="21"/>
  <c r="G259" i="21"/>
  <c r="G199" i="21"/>
  <c r="H263" i="21"/>
  <c r="H215" i="21"/>
  <c r="I226" i="21"/>
  <c r="I82" i="21"/>
  <c r="J221" i="21"/>
  <c r="H285" i="21"/>
  <c r="J285" i="21"/>
  <c r="I285" i="21"/>
  <c r="H129" i="21"/>
  <c r="J129" i="21"/>
  <c r="G129" i="21"/>
  <c r="I129" i="21"/>
  <c r="J284" i="21"/>
  <c r="I284" i="21"/>
  <c r="J272" i="21"/>
  <c r="I272" i="21"/>
  <c r="J260" i="21"/>
  <c r="I260" i="21"/>
  <c r="J248" i="21"/>
  <c r="I248" i="21"/>
  <c r="J236" i="21"/>
  <c r="I236" i="21"/>
  <c r="J224" i="21"/>
  <c r="I224" i="21"/>
  <c r="H212" i="21"/>
  <c r="J212" i="21"/>
  <c r="I212" i="21"/>
  <c r="H200" i="21"/>
  <c r="J200" i="21"/>
  <c r="I200" i="21"/>
  <c r="H188" i="21"/>
  <c r="J188" i="21"/>
  <c r="I188" i="21"/>
  <c r="H176" i="21"/>
  <c r="J176" i="21"/>
  <c r="I176" i="21"/>
  <c r="H164" i="21"/>
  <c r="J164" i="21"/>
  <c r="I164" i="21"/>
  <c r="H152" i="21"/>
  <c r="J152" i="21"/>
  <c r="I152" i="21"/>
  <c r="H140" i="21"/>
  <c r="J140" i="21"/>
  <c r="I140" i="21"/>
  <c r="H128" i="21"/>
  <c r="J128" i="21"/>
  <c r="I128" i="21"/>
  <c r="H116" i="21"/>
  <c r="J116" i="21"/>
  <c r="I116" i="21"/>
  <c r="H104" i="21"/>
  <c r="J104" i="21"/>
  <c r="I104" i="21"/>
  <c r="H92" i="21"/>
  <c r="J92" i="21"/>
  <c r="I92" i="21"/>
  <c r="H80" i="21"/>
  <c r="J80" i="21"/>
  <c r="I80" i="21"/>
  <c r="H68" i="21"/>
  <c r="J68" i="21"/>
  <c r="I68" i="21"/>
  <c r="H56" i="21"/>
  <c r="J56" i="21"/>
  <c r="I56" i="21"/>
  <c r="H44" i="21"/>
  <c r="J44" i="21"/>
  <c r="I44" i="21"/>
  <c r="H32" i="21"/>
  <c r="J32" i="21"/>
  <c r="I32" i="21"/>
  <c r="H20" i="21"/>
  <c r="J20" i="21"/>
  <c r="I20" i="21"/>
  <c r="J8" i="21"/>
  <c r="I8" i="21"/>
  <c r="H8" i="21"/>
  <c r="F287" i="21"/>
  <c r="F275" i="21"/>
  <c r="F263" i="21"/>
  <c r="F251" i="21"/>
  <c r="F239" i="21"/>
  <c r="F227" i="21"/>
  <c r="F215" i="21"/>
  <c r="F203" i="21"/>
  <c r="F191" i="21"/>
  <c r="F179" i="21"/>
  <c r="F167" i="21"/>
  <c r="F155" i="21"/>
  <c r="F143" i="21"/>
  <c r="AE143" i="21" s="1"/>
  <c r="AL143" i="21" s="1"/>
  <c r="F131" i="21"/>
  <c r="AE131" i="21" s="1"/>
  <c r="AL131" i="21" s="1"/>
  <c r="F119" i="21"/>
  <c r="F107" i="21"/>
  <c r="F95" i="21"/>
  <c r="F83" i="21"/>
  <c r="F71" i="21"/>
  <c r="F59" i="21"/>
  <c r="F47" i="21"/>
  <c r="F35" i="21"/>
  <c r="F23" i="21"/>
  <c r="G197" i="21"/>
  <c r="I202" i="21"/>
  <c r="I58" i="21"/>
  <c r="H153" i="21"/>
  <c r="J153" i="21"/>
  <c r="G153" i="21"/>
  <c r="I153" i="21"/>
  <c r="J283" i="21"/>
  <c r="I283" i="21"/>
  <c r="J271" i="21"/>
  <c r="I271" i="21"/>
  <c r="J259" i="21"/>
  <c r="I259" i="21"/>
  <c r="J247" i="21"/>
  <c r="I247" i="21"/>
  <c r="J235" i="21"/>
  <c r="I235" i="21"/>
  <c r="J223" i="21"/>
  <c r="I223" i="21"/>
  <c r="J211" i="21"/>
  <c r="I211" i="21"/>
  <c r="J199" i="21"/>
  <c r="I199" i="21"/>
  <c r="J187" i="21"/>
  <c r="I187" i="21"/>
  <c r="J175" i="21"/>
  <c r="G175" i="21"/>
  <c r="I175" i="21"/>
  <c r="J163" i="21"/>
  <c r="G163" i="21"/>
  <c r="I163" i="21"/>
  <c r="J151" i="21"/>
  <c r="G151" i="21"/>
  <c r="I151" i="21"/>
  <c r="J139" i="21"/>
  <c r="G139" i="21"/>
  <c r="I139" i="21"/>
  <c r="J127" i="21"/>
  <c r="G127" i="21"/>
  <c r="I127" i="21"/>
  <c r="J115" i="21"/>
  <c r="G115" i="21"/>
  <c r="I115" i="21"/>
  <c r="J103" i="21"/>
  <c r="G103" i="21"/>
  <c r="I103" i="21"/>
  <c r="J91" i="21"/>
  <c r="G91" i="21"/>
  <c r="I91" i="21"/>
  <c r="J79" i="21"/>
  <c r="G79" i="21"/>
  <c r="I79" i="21"/>
  <c r="J67" i="21"/>
  <c r="G67" i="21"/>
  <c r="I67" i="21"/>
  <c r="J55" i="21"/>
  <c r="G55" i="21"/>
  <c r="I55" i="21"/>
  <c r="J43" i="21"/>
  <c r="G43" i="21"/>
  <c r="I43" i="21"/>
  <c r="J31" i="21"/>
  <c r="G31" i="21"/>
  <c r="I31" i="21"/>
  <c r="J19" i="21"/>
  <c r="G19" i="21"/>
  <c r="I19" i="21"/>
  <c r="F286" i="21"/>
  <c r="F274" i="21"/>
  <c r="F262" i="21"/>
  <c r="F250" i="21"/>
  <c r="F238" i="21"/>
  <c r="F226" i="21"/>
  <c r="F214" i="21"/>
  <c r="F202" i="21"/>
  <c r="F190" i="21"/>
  <c r="F178" i="21"/>
  <c r="F166" i="21"/>
  <c r="F154" i="21"/>
  <c r="F142" i="21"/>
  <c r="AE142" i="21" s="1"/>
  <c r="AL142" i="21" s="1"/>
  <c r="F130" i="21"/>
  <c r="AE130" i="21" s="1"/>
  <c r="AL130" i="21" s="1"/>
  <c r="F118" i="21"/>
  <c r="F106" i="21"/>
  <c r="F94" i="21"/>
  <c r="F82" i="21"/>
  <c r="F70" i="21"/>
  <c r="F58" i="21"/>
  <c r="F46" i="21"/>
  <c r="F34" i="21"/>
  <c r="F22" i="21"/>
  <c r="G164" i="21"/>
  <c r="G116" i="21"/>
  <c r="G68" i="21"/>
  <c r="G20" i="21"/>
  <c r="H251" i="21"/>
  <c r="H187" i="21"/>
  <c r="H43" i="21"/>
  <c r="I190" i="21"/>
  <c r="I46" i="21"/>
  <c r="H273" i="21"/>
  <c r="J273" i="21"/>
  <c r="I273" i="21"/>
  <c r="H105" i="21"/>
  <c r="J105" i="21"/>
  <c r="G105" i="21"/>
  <c r="I105" i="21"/>
  <c r="J282" i="21"/>
  <c r="I282" i="21"/>
  <c r="H282" i="21"/>
  <c r="J270" i="21"/>
  <c r="I270" i="21"/>
  <c r="H270" i="21"/>
  <c r="J258" i="21"/>
  <c r="I258" i="21"/>
  <c r="H258" i="21"/>
  <c r="J246" i="21"/>
  <c r="I246" i="21"/>
  <c r="H246" i="21"/>
  <c r="J234" i="21"/>
  <c r="I234" i="21"/>
  <c r="H234" i="21"/>
  <c r="J222" i="21"/>
  <c r="I222" i="21"/>
  <c r="H222" i="21"/>
  <c r="J210" i="21"/>
  <c r="I210" i="21"/>
  <c r="H210" i="21"/>
  <c r="J198" i="21"/>
  <c r="I198" i="21"/>
  <c r="H198" i="21"/>
  <c r="J186" i="21"/>
  <c r="G186" i="21"/>
  <c r="I186" i="21"/>
  <c r="H186" i="21"/>
  <c r="J174" i="21"/>
  <c r="G174" i="21"/>
  <c r="I174" i="21"/>
  <c r="H174" i="21"/>
  <c r="J162" i="21"/>
  <c r="G162" i="21"/>
  <c r="I162" i="21"/>
  <c r="H162" i="21"/>
  <c r="J150" i="21"/>
  <c r="G150" i="21"/>
  <c r="I150" i="21"/>
  <c r="H150" i="21"/>
  <c r="J138" i="21"/>
  <c r="G138" i="21"/>
  <c r="I138" i="21"/>
  <c r="H138" i="21"/>
  <c r="J126" i="21"/>
  <c r="G126" i="21"/>
  <c r="I126" i="21"/>
  <c r="H126" i="21"/>
  <c r="J114" i="21"/>
  <c r="G114" i="21"/>
  <c r="I114" i="21"/>
  <c r="H114" i="21"/>
  <c r="J102" i="21"/>
  <c r="G102" i="21"/>
  <c r="I102" i="21"/>
  <c r="H102" i="21"/>
  <c r="J90" i="21"/>
  <c r="G90" i="21"/>
  <c r="I90" i="21"/>
  <c r="H90" i="21"/>
  <c r="J78" i="21"/>
  <c r="G78" i="21"/>
  <c r="I78" i="21"/>
  <c r="H78" i="21"/>
  <c r="J66" i="21"/>
  <c r="G66" i="21"/>
  <c r="I66" i="21"/>
  <c r="H66" i="21"/>
  <c r="J54" i="21"/>
  <c r="G54" i="21"/>
  <c r="I54" i="21"/>
  <c r="H54" i="21"/>
  <c r="J42" i="21"/>
  <c r="G42" i="21"/>
  <c r="I42" i="21"/>
  <c r="H42" i="21"/>
  <c r="J30" i="21"/>
  <c r="G30" i="21"/>
  <c r="I30" i="21"/>
  <c r="H30" i="21"/>
  <c r="J18" i="21"/>
  <c r="G18" i="21"/>
  <c r="I18" i="21"/>
  <c r="H18" i="21"/>
  <c r="F285" i="21"/>
  <c r="F273" i="21"/>
  <c r="F153" i="21"/>
  <c r="F129" i="21"/>
  <c r="AE129" i="21" s="1"/>
  <c r="AL129" i="21" s="1"/>
  <c r="F105" i="21"/>
  <c r="H248" i="21"/>
  <c r="H175" i="21"/>
  <c r="H31" i="21"/>
  <c r="I178" i="21"/>
  <c r="I34" i="21"/>
  <c r="H141" i="21"/>
  <c r="J141" i="21"/>
  <c r="G141" i="21"/>
  <c r="I141" i="21"/>
  <c r="I281" i="21"/>
  <c r="H281" i="21"/>
  <c r="I269" i="21"/>
  <c r="H269" i="21"/>
  <c r="I257" i="21"/>
  <c r="H257" i="21"/>
  <c r="I245" i="21"/>
  <c r="H245" i="21"/>
  <c r="I233" i="21"/>
  <c r="H233" i="21"/>
  <c r="I221" i="21"/>
  <c r="H221" i="21"/>
  <c r="I209" i="21"/>
  <c r="H209" i="21"/>
  <c r="I197" i="21"/>
  <c r="H197" i="21"/>
  <c r="I185" i="21"/>
  <c r="H185" i="21"/>
  <c r="J185" i="21"/>
  <c r="I173" i="21"/>
  <c r="H173" i="21"/>
  <c r="J173" i="21"/>
  <c r="I161" i="21"/>
  <c r="H161" i="21"/>
  <c r="J161" i="21"/>
  <c r="I149" i="21"/>
  <c r="H149" i="21"/>
  <c r="J149" i="21"/>
  <c r="I137" i="21"/>
  <c r="H137" i="21"/>
  <c r="J137" i="21"/>
  <c r="I125" i="21"/>
  <c r="H125" i="21"/>
  <c r="J125" i="21"/>
  <c r="I113" i="21"/>
  <c r="H113" i="21"/>
  <c r="J113" i="21"/>
  <c r="I101" i="21"/>
  <c r="H101" i="21"/>
  <c r="J101" i="21"/>
  <c r="I89" i="21"/>
  <c r="H89" i="21"/>
  <c r="J89" i="21"/>
  <c r="I77" i="21"/>
  <c r="H77" i="21"/>
  <c r="J77" i="21"/>
  <c r="I65" i="21"/>
  <c r="H65" i="21"/>
  <c r="J65" i="21"/>
  <c r="I53" i="21"/>
  <c r="H53" i="21"/>
  <c r="J53" i="21"/>
  <c r="I41" i="21"/>
  <c r="H41" i="21"/>
  <c r="J41" i="21"/>
  <c r="I29" i="21"/>
  <c r="H29" i="21"/>
  <c r="J29" i="21"/>
  <c r="I17" i="21"/>
  <c r="H17" i="21"/>
  <c r="J17" i="21"/>
  <c r="F284" i="21"/>
  <c r="F272" i="21"/>
  <c r="F260" i="21"/>
  <c r="F248" i="21"/>
  <c r="F236" i="21"/>
  <c r="F224" i="21"/>
  <c r="F212" i="21"/>
  <c r="F200" i="21"/>
  <c r="F188" i="21"/>
  <c r="F176" i="21"/>
  <c r="F164" i="21"/>
  <c r="F152" i="21"/>
  <c r="AE152" i="21" s="1"/>
  <c r="AL152" i="21" s="1"/>
  <c r="F140" i="21"/>
  <c r="AE140" i="21" s="1"/>
  <c r="AL140" i="21" s="1"/>
  <c r="F128" i="21"/>
  <c r="AE128" i="21" s="1"/>
  <c r="AL128" i="21" s="1"/>
  <c r="F116" i="21"/>
  <c r="F104" i="21"/>
  <c r="F92" i="21"/>
  <c r="F80" i="21"/>
  <c r="F68" i="21"/>
  <c r="F56" i="21"/>
  <c r="F44" i="21"/>
  <c r="F32" i="21"/>
  <c r="F20" i="21"/>
  <c r="H247" i="21"/>
  <c r="H163" i="21"/>
  <c r="H19" i="21"/>
  <c r="I166" i="21"/>
  <c r="I22" i="21"/>
  <c r="H249" i="21"/>
  <c r="J249" i="21"/>
  <c r="I249" i="21"/>
  <c r="H213" i="21"/>
  <c r="J213" i="21"/>
  <c r="I213" i="21"/>
  <c r="H177" i="21"/>
  <c r="J177" i="21"/>
  <c r="G177" i="21"/>
  <c r="I177" i="21"/>
  <c r="H69" i="21"/>
  <c r="J69" i="21"/>
  <c r="G69" i="21"/>
  <c r="I69" i="21"/>
  <c r="H33" i="21"/>
  <c r="J33" i="21"/>
  <c r="G33" i="21"/>
  <c r="I33" i="21"/>
  <c r="I292" i="21"/>
  <c r="H292" i="21"/>
  <c r="J292" i="21"/>
  <c r="I280" i="21"/>
  <c r="H280" i="21"/>
  <c r="J280" i="21"/>
  <c r="I268" i="21"/>
  <c r="H268" i="21"/>
  <c r="J268" i="21"/>
  <c r="I256" i="21"/>
  <c r="H256" i="21"/>
  <c r="J256" i="21"/>
  <c r="I244" i="21"/>
  <c r="H244" i="21"/>
  <c r="J244" i="21"/>
  <c r="I232" i="21"/>
  <c r="H232" i="21"/>
  <c r="J232" i="21"/>
  <c r="I220" i="21"/>
  <c r="H220" i="21"/>
  <c r="J220" i="21"/>
  <c r="I208" i="21"/>
  <c r="H208" i="21"/>
  <c r="J208" i="21"/>
  <c r="I196" i="21"/>
  <c r="H196" i="21"/>
  <c r="J196" i="21"/>
  <c r="I184" i="21"/>
  <c r="H184" i="21"/>
  <c r="J184" i="21"/>
  <c r="I172" i="21"/>
  <c r="H172" i="21"/>
  <c r="J172" i="21"/>
  <c r="I160" i="21"/>
  <c r="H160" i="21"/>
  <c r="J160" i="21"/>
  <c r="I148" i="21"/>
  <c r="H148" i="21"/>
  <c r="J148" i="21"/>
  <c r="I136" i="21"/>
  <c r="H136" i="21"/>
  <c r="J136" i="21"/>
  <c r="I124" i="21"/>
  <c r="H124" i="21"/>
  <c r="J124" i="21"/>
  <c r="I112" i="21"/>
  <c r="H112" i="21"/>
  <c r="J112" i="21"/>
  <c r="I100" i="21"/>
  <c r="H100" i="21"/>
  <c r="J100" i="21"/>
  <c r="I88" i="21"/>
  <c r="H88" i="21"/>
  <c r="J88" i="21"/>
  <c r="I76" i="21"/>
  <c r="H76" i="21"/>
  <c r="J76" i="21"/>
  <c r="I64" i="21"/>
  <c r="H64" i="21"/>
  <c r="J64" i="21"/>
  <c r="I52" i="21"/>
  <c r="H52" i="21"/>
  <c r="J52" i="21"/>
  <c r="I40" i="21"/>
  <c r="H40" i="21"/>
  <c r="J40" i="21"/>
  <c r="I28" i="21"/>
  <c r="H28" i="21"/>
  <c r="J28" i="21"/>
  <c r="I16" i="21"/>
  <c r="H16" i="21"/>
  <c r="J16" i="21"/>
  <c r="F283" i="21"/>
  <c r="F271" i="21"/>
  <c r="F259" i="21"/>
  <c r="F247" i="21"/>
  <c r="F235" i="21"/>
  <c r="F223" i="21"/>
  <c r="F211" i="21"/>
  <c r="F199" i="21"/>
  <c r="F187" i="21"/>
  <c r="F175" i="21"/>
  <c r="F163" i="21"/>
  <c r="F151" i="21"/>
  <c r="AE151" i="21" s="1"/>
  <c r="AL151" i="21" s="1"/>
  <c r="F139" i="21"/>
  <c r="AE139" i="21" s="1"/>
  <c r="AL139" i="21" s="1"/>
  <c r="F127" i="21"/>
  <c r="F115" i="21"/>
  <c r="F103" i="21"/>
  <c r="F91" i="21"/>
  <c r="F79" i="21"/>
  <c r="F67" i="21"/>
  <c r="F55" i="21"/>
  <c r="F43" i="21"/>
  <c r="F31" i="21"/>
  <c r="F19" i="21"/>
  <c r="G152" i="21"/>
  <c r="G104" i="21"/>
  <c r="G56" i="21"/>
  <c r="H287" i="21"/>
  <c r="H239" i="21"/>
  <c r="H151" i="21"/>
  <c r="I154" i="21"/>
  <c r="H225" i="21"/>
  <c r="J225" i="21"/>
  <c r="I225" i="21"/>
  <c r="H189" i="21"/>
  <c r="J189" i="21"/>
  <c r="I189" i="21"/>
  <c r="H93" i="21"/>
  <c r="J93" i="21"/>
  <c r="G93" i="21"/>
  <c r="I93" i="21"/>
  <c r="H45" i="21"/>
  <c r="J45" i="21"/>
  <c r="G45" i="21"/>
  <c r="I45" i="21"/>
  <c r="J9" i="21"/>
  <c r="I9" i="21"/>
  <c r="G9" i="21"/>
  <c r="I291" i="21"/>
  <c r="H291" i="21"/>
  <c r="J291" i="21"/>
  <c r="I279" i="21"/>
  <c r="H279" i="21"/>
  <c r="J279" i="21"/>
  <c r="I267" i="21"/>
  <c r="H267" i="21"/>
  <c r="J267" i="21"/>
  <c r="I255" i="21"/>
  <c r="H255" i="21"/>
  <c r="J255" i="21"/>
  <c r="I243" i="21"/>
  <c r="H243" i="21"/>
  <c r="J243" i="21"/>
  <c r="I231" i="21"/>
  <c r="H231" i="21"/>
  <c r="J231" i="21"/>
  <c r="I219" i="21"/>
  <c r="H219" i="21"/>
  <c r="J219" i="21"/>
  <c r="I207" i="21"/>
  <c r="H207" i="21"/>
  <c r="J207" i="21"/>
  <c r="I195" i="21"/>
  <c r="H195" i="21"/>
  <c r="J195" i="21"/>
  <c r="I183" i="21"/>
  <c r="H183" i="21"/>
  <c r="J183" i="21"/>
  <c r="G183" i="21"/>
  <c r="I171" i="21"/>
  <c r="H171" i="21"/>
  <c r="J171" i="21"/>
  <c r="G171" i="21"/>
  <c r="I159" i="21"/>
  <c r="H159" i="21"/>
  <c r="J159" i="21"/>
  <c r="G159" i="21"/>
  <c r="I147" i="21"/>
  <c r="H147" i="21"/>
  <c r="J147" i="21"/>
  <c r="G147" i="21"/>
  <c r="I135" i="21"/>
  <c r="H135" i="21"/>
  <c r="J135" i="21"/>
  <c r="G135" i="21"/>
  <c r="I123" i="21"/>
  <c r="H123" i="21"/>
  <c r="J123" i="21"/>
  <c r="G123" i="21"/>
  <c r="I111" i="21"/>
  <c r="H111" i="21"/>
  <c r="J111" i="21"/>
  <c r="G111" i="21"/>
  <c r="I99" i="21"/>
  <c r="H99" i="21"/>
  <c r="J99" i="21"/>
  <c r="G99" i="21"/>
  <c r="I87" i="21"/>
  <c r="H87" i="21"/>
  <c r="J87" i="21"/>
  <c r="G87" i="21"/>
  <c r="I75" i="21"/>
  <c r="H75" i="21"/>
  <c r="J75" i="21"/>
  <c r="G75" i="21"/>
  <c r="I63" i="21"/>
  <c r="H63" i="21"/>
  <c r="J63" i="21"/>
  <c r="G63" i="21"/>
  <c r="I51" i="21"/>
  <c r="H51" i="21"/>
  <c r="J51" i="21"/>
  <c r="G51" i="21"/>
  <c r="I39" i="21"/>
  <c r="H39" i="21"/>
  <c r="J39" i="21"/>
  <c r="G39" i="21"/>
  <c r="I27" i="21"/>
  <c r="H27" i="21"/>
  <c r="J27" i="21"/>
  <c r="G27" i="21"/>
  <c r="J15" i="21"/>
  <c r="I15" i="21"/>
  <c r="G15" i="21"/>
  <c r="F282" i="21"/>
  <c r="F270" i="21"/>
  <c r="F258" i="21"/>
  <c r="F246" i="21"/>
  <c r="F234" i="21"/>
  <c r="F222" i="21"/>
  <c r="F210" i="21"/>
  <c r="F198" i="21"/>
  <c r="F186" i="21"/>
  <c r="F174" i="21"/>
  <c r="F162" i="21"/>
  <c r="F150" i="21"/>
  <c r="AE150" i="21" s="1"/>
  <c r="AL150" i="21" s="1"/>
  <c r="F138" i="21"/>
  <c r="AE138" i="21" s="1"/>
  <c r="AL138" i="21" s="1"/>
  <c r="F126" i="21"/>
  <c r="F114" i="21"/>
  <c r="F102" i="21"/>
  <c r="F90" i="21"/>
  <c r="F78" i="21"/>
  <c r="F66" i="21"/>
  <c r="F54" i="21"/>
  <c r="F42" i="21"/>
  <c r="F30" i="21"/>
  <c r="F18" i="21"/>
  <c r="G189" i="21"/>
  <c r="G149" i="21"/>
  <c r="G101" i="21"/>
  <c r="G53" i="21"/>
  <c r="H284" i="21"/>
  <c r="H236" i="21"/>
  <c r="H139" i="21"/>
  <c r="I286" i="21"/>
  <c r="I142" i="21"/>
  <c r="J281" i="21"/>
  <c r="H165" i="21"/>
  <c r="J165" i="21"/>
  <c r="G165" i="21"/>
  <c r="I165" i="21"/>
  <c r="I290" i="21"/>
  <c r="H290" i="21"/>
  <c r="J290" i="21"/>
  <c r="I278" i="21"/>
  <c r="H278" i="21"/>
  <c r="J278" i="21"/>
  <c r="I266" i="21"/>
  <c r="H266" i="21"/>
  <c r="J266" i="21"/>
  <c r="I254" i="21"/>
  <c r="H254" i="21"/>
  <c r="J254" i="21"/>
  <c r="I242" i="21"/>
  <c r="H242" i="21"/>
  <c r="J242" i="21"/>
  <c r="I230" i="21"/>
  <c r="H230" i="21"/>
  <c r="J230" i="21"/>
  <c r="I218" i="21"/>
  <c r="H218" i="21"/>
  <c r="J218" i="21"/>
  <c r="I206" i="21"/>
  <c r="H206" i="21"/>
  <c r="J206" i="21"/>
  <c r="I194" i="21"/>
  <c r="H194" i="21"/>
  <c r="J194" i="21"/>
  <c r="I182" i="21"/>
  <c r="H182" i="21"/>
  <c r="J182" i="21"/>
  <c r="G182" i="21"/>
  <c r="I170" i="21"/>
  <c r="H170" i="21"/>
  <c r="J170" i="21"/>
  <c r="G170" i="21"/>
  <c r="I158" i="21"/>
  <c r="H158" i="21"/>
  <c r="J158" i="21"/>
  <c r="G158" i="21"/>
  <c r="I146" i="21"/>
  <c r="H146" i="21"/>
  <c r="J146" i="21"/>
  <c r="G146" i="21"/>
  <c r="I134" i="21"/>
  <c r="H134" i="21"/>
  <c r="J134" i="21"/>
  <c r="G134" i="21"/>
  <c r="I122" i="21"/>
  <c r="H122" i="21"/>
  <c r="J122" i="21"/>
  <c r="G122" i="21"/>
  <c r="I110" i="21"/>
  <c r="H110" i="21"/>
  <c r="J110" i="21"/>
  <c r="G110" i="21"/>
  <c r="I98" i="21"/>
  <c r="H98" i="21"/>
  <c r="J98" i="21"/>
  <c r="G98" i="21"/>
  <c r="I86" i="21"/>
  <c r="H86" i="21"/>
  <c r="J86" i="21"/>
  <c r="G86" i="21"/>
  <c r="I74" i="21"/>
  <c r="H74" i="21"/>
  <c r="J74" i="21"/>
  <c r="G74" i="21"/>
  <c r="I62" i="21"/>
  <c r="H62" i="21"/>
  <c r="J62" i="21"/>
  <c r="G62" i="21"/>
  <c r="I50" i="21"/>
  <c r="H50" i="21"/>
  <c r="J50" i="21"/>
  <c r="G50" i="21"/>
  <c r="I38" i="21"/>
  <c r="H38" i="21"/>
  <c r="J38" i="21"/>
  <c r="G38" i="21"/>
  <c r="I26" i="21"/>
  <c r="H26" i="21"/>
  <c r="J26" i="21"/>
  <c r="G26" i="21"/>
  <c r="J14" i="21"/>
  <c r="I14" i="21"/>
  <c r="F281" i="21"/>
  <c r="F269" i="21"/>
  <c r="F257" i="21"/>
  <c r="F245" i="21"/>
  <c r="F233" i="21"/>
  <c r="F221" i="21"/>
  <c r="F209" i="21"/>
  <c r="F197" i="21"/>
  <c r="F185" i="21"/>
  <c r="F173" i="21"/>
  <c r="F161" i="21"/>
  <c r="F149" i="21"/>
  <c r="AE149" i="21" s="1"/>
  <c r="AL149" i="21" s="1"/>
  <c r="F137" i="21"/>
  <c r="AE137" i="21" s="1"/>
  <c r="AL137" i="21" s="1"/>
  <c r="F125" i="21"/>
  <c r="F113" i="21"/>
  <c r="F101" i="21"/>
  <c r="F89" i="21"/>
  <c r="F77" i="21"/>
  <c r="F65" i="21"/>
  <c r="F53" i="21"/>
  <c r="F41" i="21"/>
  <c r="F29" i="21"/>
  <c r="F17" i="21"/>
  <c r="G287" i="21"/>
  <c r="G275" i="21"/>
  <c r="G263" i="21"/>
  <c r="G251" i="21"/>
  <c r="G239" i="21"/>
  <c r="G227" i="21"/>
  <c r="G215" i="21"/>
  <c r="G203" i="21"/>
  <c r="G188" i="21"/>
  <c r="G148" i="21"/>
  <c r="G100" i="21"/>
  <c r="G52" i="21"/>
  <c r="H283" i="21"/>
  <c r="H235" i="21"/>
  <c r="H127" i="21"/>
  <c r="I274" i="21"/>
  <c r="I130" i="21"/>
  <c r="J269" i="21"/>
  <c r="H261" i="21"/>
  <c r="J261" i="21"/>
  <c r="I261" i="21"/>
  <c r="H117" i="21"/>
  <c r="J117" i="21"/>
  <c r="G117" i="21"/>
  <c r="I117" i="21"/>
  <c r="I289" i="21"/>
  <c r="H289" i="21"/>
  <c r="J289" i="21"/>
  <c r="I277" i="21"/>
  <c r="H277" i="21"/>
  <c r="J277" i="21"/>
  <c r="I265" i="21"/>
  <c r="H265" i="21"/>
  <c r="J265" i="21"/>
  <c r="I253" i="21"/>
  <c r="H253" i="21"/>
  <c r="J253" i="21"/>
  <c r="I241" i="21"/>
  <c r="H241" i="21"/>
  <c r="J241" i="21"/>
  <c r="I229" i="21"/>
  <c r="H229" i="21"/>
  <c r="J229" i="21"/>
  <c r="I217" i="21"/>
  <c r="H217" i="21"/>
  <c r="J217" i="21"/>
  <c r="I205" i="21"/>
  <c r="H205" i="21"/>
  <c r="J205" i="21"/>
  <c r="I193" i="21"/>
  <c r="H193" i="21"/>
  <c r="J193" i="21"/>
  <c r="I181" i="21"/>
  <c r="H181" i="21"/>
  <c r="J181" i="21"/>
  <c r="G181" i="21"/>
  <c r="I169" i="21"/>
  <c r="H169" i="21"/>
  <c r="J169" i="21"/>
  <c r="G169" i="21"/>
  <c r="I157" i="21"/>
  <c r="H157" i="21"/>
  <c r="J157" i="21"/>
  <c r="G157" i="21"/>
  <c r="I145" i="21"/>
  <c r="H145" i="21"/>
  <c r="J145" i="21"/>
  <c r="G145" i="21"/>
  <c r="I133" i="21"/>
  <c r="H133" i="21"/>
  <c r="J133" i="21"/>
  <c r="G133" i="21"/>
  <c r="I121" i="21"/>
  <c r="H121" i="21"/>
  <c r="J121" i="21"/>
  <c r="G121" i="21"/>
  <c r="I109" i="21"/>
  <c r="H109" i="21"/>
  <c r="J109" i="21"/>
  <c r="G109" i="21"/>
  <c r="I97" i="21"/>
  <c r="H97" i="21"/>
  <c r="J97" i="21"/>
  <c r="G97" i="21"/>
  <c r="I85" i="21"/>
  <c r="H85" i="21"/>
  <c r="J85" i="21"/>
  <c r="G85" i="21"/>
  <c r="I73" i="21"/>
  <c r="H73" i="21"/>
  <c r="J73" i="21"/>
  <c r="G73" i="21"/>
  <c r="I61" i="21"/>
  <c r="H61" i="21"/>
  <c r="J61" i="21"/>
  <c r="G61" i="21"/>
  <c r="I49" i="21"/>
  <c r="H49" i="21"/>
  <c r="J49" i="21"/>
  <c r="G49" i="21"/>
  <c r="I37" i="21"/>
  <c r="H37" i="21"/>
  <c r="J37" i="21"/>
  <c r="G37" i="21"/>
  <c r="I25" i="21"/>
  <c r="H25" i="21"/>
  <c r="J25" i="21"/>
  <c r="G25" i="21"/>
  <c r="J13" i="21"/>
  <c r="I13" i="21"/>
  <c r="F292" i="21"/>
  <c r="F280" i="21"/>
  <c r="F268" i="21"/>
  <c r="F256" i="21"/>
  <c r="F244" i="21"/>
  <c r="F232" i="21"/>
  <c r="F220" i="21"/>
  <c r="F208" i="21"/>
  <c r="F196" i="21"/>
  <c r="F184" i="21"/>
  <c r="F172" i="21"/>
  <c r="F160" i="21"/>
  <c r="F148" i="21"/>
  <c r="AE148" i="21" s="1"/>
  <c r="AL148" i="21" s="1"/>
  <c r="F136" i="21"/>
  <c r="AE136" i="21" s="1"/>
  <c r="AL136" i="21" s="1"/>
  <c r="F124" i="21"/>
  <c r="F112" i="21"/>
  <c r="F100" i="21"/>
  <c r="F88" i="21"/>
  <c r="F76" i="21"/>
  <c r="F64" i="21"/>
  <c r="F52" i="21"/>
  <c r="F40" i="21"/>
  <c r="F28" i="21"/>
  <c r="F16" i="21"/>
  <c r="G286" i="21"/>
  <c r="G274" i="21"/>
  <c r="G262" i="21"/>
  <c r="G250" i="21"/>
  <c r="G238" i="21"/>
  <c r="G226" i="21"/>
  <c r="G214" i="21"/>
  <c r="G202" i="21"/>
  <c r="G187" i="21"/>
  <c r="G140" i="21"/>
  <c r="G92" i="21"/>
  <c r="G44" i="21"/>
  <c r="H275" i="21"/>
  <c r="H227" i="21"/>
  <c r="H115" i="21"/>
  <c r="I262" i="21"/>
  <c r="I118" i="21"/>
  <c r="J257" i="21"/>
  <c r="H237" i="21"/>
  <c r="J237" i="21"/>
  <c r="I237" i="21"/>
  <c r="H201" i="21"/>
  <c r="J201" i="21"/>
  <c r="I201" i="21"/>
  <c r="H81" i="21"/>
  <c r="J81" i="21"/>
  <c r="G81" i="21"/>
  <c r="I81" i="21"/>
  <c r="H57" i="21"/>
  <c r="J57" i="21"/>
  <c r="G57" i="21"/>
  <c r="I57" i="21"/>
  <c r="H21" i="21"/>
  <c r="J21" i="21"/>
  <c r="G21" i="21"/>
  <c r="I21" i="21"/>
  <c r="I288" i="21"/>
  <c r="H288" i="21"/>
  <c r="J288" i="21"/>
  <c r="I276" i="21"/>
  <c r="H276" i="21"/>
  <c r="J276" i="21"/>
  <c r="I264" i="21"/>
  <c r="H264" i="21"/>
  <c r="J264" i="21"/>
  <c r="I252" i="21"/>
  <c r="H252" i="21"/>
  <c r="J252" i="21"/>
  <c r="I240" i="21"/>
  <c r="H240" i="21"/>
  <c r="J240" i="21"/>
  <c r="I228" i="21"/>
  <c r="H228" i="21"/>
  <c r="J228" i="21"/>
  <c r="I216" i="21"/>
  <c r="H216" i="21"/>
  <c r="J216" i="21"/>
  <c r="I204" i="21"/>
  <c r="H204" i="21"/>
  <c r="J204" i="21"/>
  <c r="I192" i="21"/>
  <c r="H192" i="21"/>
  <c r="J192" i="21"/>
  <c r="G192" i="21"/>
  <c r="I180" i="21"/>
  <c r="H180" i="21"/>
  <c r="J180" i="21"/>
  <c r="G180" i="21"/>
  <c r="I168" i="21"/>
  <c r="H168" i="21"/>
  <c r="J168" i="21"/>
  <c r="G168" i="21"/>
  <c r="I156" i="21"/>
  <c r="H156" i="21"/>
  <c r="J156" i="21"/>
  <c r="G156" i="21"/>
  <c r="I144" i="21"/>
  <c r="H144" i="21"/>
  <c r="J144" i="21"/>
  <c r="G144" i="21"/>
  <c r="I132" i="21"/>
  <c r="H132" i="21"/>
  <c r="J132" i="21"/>
  <c r="G132" i="21"/>
  <c r="I120" i="21"/>
  <c r="H120" i="21"/>
  <c r="J120" i="21"/>
  <c r="G120" i="21"/>
  <c r="I108" i="21"/>
  <c r="H108" i="21"/>
  <c r="J108" i="21"/>
  <c r="G108" i="21"/>
  <c r="I96" i="21"/>
  <c r="H96" i="21"/>
  <c r="J96" i="21"/>
  <c r="G96" i="21"/>
  <c r="I84" i="21"/>
  <c r="H84" i="21"/>
  <c r="J84" i="21"/>
  <c r="G84" i="21"/>
  <c r="I72" i="21"/>
  <c r="H72" i="21"/>
  <c r="J72" i="21"/>
  <c r="G72" i="21"/>
  <c r="I60" i="21"/>
  <c r="H60" i="21"/>
  <c r="J60" i="21"/>
  <c r="G60" i="21"/>
  <c r="I48" i="21"/>
  <c r="H48" i="21"/>
  <c r="J48" i="21"/>
  <c r="G48" i="21"/>
  <c r="I36" i="21"/>
  <c r="H36" i="21"/>
  <c r="J36" i="21"/>
  <c r="G36" i="21"/>
  <c r="I24" i="21"/>
  <c r="H24" i="21"/>
  <c r="J24" i="21"/>
  <c r="G24" i="21"/>
  <c r="F291" i="21"/>
  <c r="F279" i="21"/>
  <c r="F267" i="21"/>
  <c r="F255" i="21"/>
  <c r="F243" i="21"/>
  <c r="F231" i="21"/>
  <c r="F219" i="21"/>
  <c r="F207" i="21"/>
  <c r="F195" i="21"/>
  <c r="F183" i="21"/>
  <c r="F171" i="21"/>
  <c r="F159" i="21"/>
  <c r="F147" i="21"/>
  <c r="AE147" i="21" s="1"/>
  <c r="AL147" i="21" s="1"/>
  <c r="F135" i="21"/>
  <c r="AE135" i="21" s="1"/>
  <c r="AL135" i="21" s="1"/>
  <c r="F123" i="21"/>
  <c r="F111" i="21"/>
  <c r="F99" i="21"/>
  <c r="F87" i="21"/>
  <c r="F75" i="21"/>
  <c r="F63" i="21"/>
  <c r="F51" i="21"/>
  <c r="F39" i="21"/>
  <c r="F27" i="21"/>
  <c r="F15" i="21"/>
  <c r="G285" i="21"/>
  <c r="G273" i="21"/>
  <c r="G261" i="21"/>
  <c r="G249" i="21"/>
  <c r="G237" i="21"/>
  <c r="G225" i="21"/>
  <c r="G213" i="21"/>
  <c r="G201" i="21"/>
  <c r="G185" i="21"/>
  <c r="G137" i="21"/>
  <c r="G89" i="21"/>
  <c r="G41" i="21"/>
  <c r="H272" i="21"/>
  <c r="H224" i="21"/>
  <c r="H103" i="21"/>
  <c r="I250" i="21"/>
  <c r="I106" i="21"/>
  <c r="J245" i="21"/>
  <c r="F7" i="21"/>
  <c r="I7" i="21"/>
  <c r="H6" i="21"/>
  <c r="J6" i="21"/>
  <c r="F6" i="21"/>
  <c r="G6" i="21"/>
  <c r="F5" i="21"/>
  <c r="J5" i="21"/>
  <c r="G5" i="21"/>
  <c r="H4" i="21"/>
  <c r="I11" i="21"/>
  <c r="F11" i="21"/>
  <c r="H11" i="21"/>
  <c r="H15" i="21"/>
  <c r="H14" i="21"/>
  <c r="G14" i="21"/>
  <c r="F14" i="21"/>
  <c r="H13" i="21"/>
  <c r="F13" i="21"/>
  <c r="G13" i="21"/>
  <c r="H12" i="21"/>
  <c r="F12" i="21"/>
  <c r="G12" i="21"/>
  <c r="I12" i="21"/>
  <c r="H9" i="21"/>
  <c r="G10" i="21"/>
  <c r="H10" i="21"/>
  <c r="G8" i="21"/>
  <c r="J7" i="21"/>
  <c r="G7" i="21"/>
  <c r="I4" i="21"/>
  <c r="J4" i="21"/>
  <c r="F4" i="21"/>
  <c r="H3" i="21"/>
  <c r="AE11" i="11" l="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W264" i="21"/>
  <c r="W265" i="21"/>
  <c r="W266" i="21"/>
  <c r="W267" i="21"/>
  <c r="W268" i="21"/>
  <c r="W269" i="21"/>
  <c r="W299" i="21"/>
  <c r="W300" i="21"/>
  <c r="W301" i="21"/>
  <c r="W302" i="21"/>
  <c r="W3" i="21"/>
  <c r="W4" i="21"/>
  <c r="W5" i="21"/>
  <c r="W6" i="21"/>
  <c r="W7" i="21"/>
  <c r="W8" i="21"/>
  <c r="W9" i="21"/>
  <c r="W10" i="21"/>
  <c r="W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91" i="21"/>
  <c r="W192" i="21"/>
  <c r="W193" i="21"/>
  <c r="W194" i="21"/>
  <c r="W203" i="21"/>
  <c r="W204" i="21"/>
  <c r="W205" i="21"/>
  <c r="W206" i="21"/>
  <c r="W207" i="21"/>
  <c r="W208" i="21"/>
  <c r="W209" i="21"/>
  <c r="W210" i="21"/>
  <c r="W211" i="21"/>
  <c r="W212" i="21"/>
  <c r="W213" i="21"/>
  <c r="W214" i="21"/>
  <c r="W215" i="21"/>
  <c r="W216" i="21"/>
  <c r="W217" i="21"/>
  <c r="W218" i="21"/>
  <c r="W219" i="21"/>
  <c r="W228" i="21"/>
  <c r="W229" i="21"/>
  <c r="W230" i="21"/>
  <c r="W231" i="21"/>
  <c r="W232" i="21"/>
  <c r="W233" i="21"/>
  <c r="W234" i="21"/>
  <c r="W235" i="21"/>
  <c r="W236" i="21"/>
  <c r="W237" i="21"/>
  <c r="W238" i="21"/>
  <c r="W239" i="21"/>
  <c r="W240" i="21"/>
  <c r="W241" i="21"/>
  <c r="W242" i="21"/>
  <c r="W243" i="21"/>
  <c r="W244" i="21"/>
  <c r="W245" i="21"/>
  <c r="W246" i="21"/>
  <c r="W247" i="21"/>
  <c r="W248" i="21"/>
  <c r="W249" i="21"/>
  <c r="W250" i="21"/>
  <c r="W251" i="21"/>
  <c r="W252" i="21"/>
  <c r="W253" i="21"/>
  <c r="W254" i="21"/>
  <c r="W255" i="21"/>
  <c r="W256" i="21"/>
  <c r="W257" i="21"/>
  <c r="W258" i="21"/>
  <c r="W259" i="21"/>
  <c r="W260" i="21"/>
  <c r="W261" i="21"/>
  <c r="W262" i="21"/>
  <c r="W263" i="21"/>
  <c r="O4" i="20" l="1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O205" i="20"/>
  <c r="O206" i="20"/>
  <c r="O207" i="20"/>
  <c r="O208" i="20"/>
  <c r="O209" i="20"/>
  <c r="O210" i="20"/>
  <c r="O211" i="20"/>
  <c r="O212" i="20"/>
  <c r="O213" i="20"/>
  <c r="O214" i="20"/>
  <c r="O215" i="20"/>
  <c r="O216" i="20"/>
  <c r="O217" i="20"/>
  <c r="O218" i="20"/>
  <c r="O219" i="20"/>
  <c r="O220" i="20"/>
  <c r="O221" i="20"/>
  <c r="O222" i="20"/>
  <c r="O223" i="20"/>
  <c r="O224" i="20"/>
  <c r="O225" i="20"/>
  <c r="O226" i="20"/>
  <c r="O227" i="20"/>
  <c r="O228" i="20"/>
  <c r="O229" i="20"/>
  <c r="O230" i="20"/>
  <c r="O231" i="20"/>
  <c r="O232" i="20"/>
  <c r="O233" i="20"/>
  <c r="O234" i="20"/>
  <c r="O235" i="20"/>
  <c r="O236" i="20"/>
  <c r="O237" i="20"/>
  <c r="O238" i="20"/>
  <c r="O239" i="20"/>
  <c r="O240" i="20"/>
  <c r="O241" i="20"/>
  <c r="O242" i="20"/>
  <c r="O243" i="20"/>
  <c r="O244" i="20"/>
  <c r="O245" i="20"/>
  <c r="O246" i="20"/>
  <c r="O247" i="20"/>
  <c r="O248" i="20"/>
  <c r="O249" i="20"/>
  <c r="O250" i="20"/>
  <c r="O251" i="20"/>
  <c r="O252" i="20"/>
  <c r="O253" i="20"/>
  <c r="O254" i="20"/>
  <c r="O255" i="20"/>
  <c r="O256" i="20"/>
  <c r="O257" i="20"/>
  <c r="O258" i="20"/>
  <c r="O259" i="20"/>
  <c r="O260" i="20"/>
  <c r="O261" i="20"/>
  <c r="O262" i="20"/>
  <c r="O263" i="20"/>
  <c r="O264" i="20"/>
  <c r="O265" i="20"/>
  <c r="O266" i="20"/>
  <c r="O267" i="20"/>
  <c r="O268" i="20"/>
  <c r="O269" i="20"/>
  <c r="O270" i="20"/>
  <c r="O271" i="20"/>
  <c r="O272" i="20"/>
  <c r="O273" i="20"/>
  <c r="O274" i="20"/>
  <c r="O275" i="20"/>
  <c r="O276" i="20"/>
  <c r="O277" i="20"/>
  <c r="O278" i="20"/>
  <c r="O279" i="20"/>
  <c r="O280" i="20"/>
  <c r="O281" i="20"/>
  <c r="O282" i="20"/>
  <c r="O283" i="20"/>
  <c r="O284" i="20"/>
  <c r="O285" i="20"/>
  <c r="O286" i="20"/>
  <c r="O287" i="20"/>
  <c r="O288" i="20"/>
  <c r="O289" i="20"/>
  <c r="O290" i="20"/>
  <c r="O291" i="20"/>
  <c r="O292" i="20"/>
  <c r="P4" i="20"/>
  <c r="Q4" i="20"/>
  <c r="R4" i="20"/>
  <c r="S4" i="20"/>
  <c r="T4" i="20"/>
  <c r="U4" i="20"/>
  <c r="P5" i="20"/>
  <c r="Q5" i="20"/>
  <c r="R5" i="20"/>
  <c r="S5" i="20"/>
  <c r="T5" i="20"/>
  <c r="U5" i="20"/>
  <c r="P6" i="20"/>
  <c r="Q6" i="20"/>
  <c r="R6" i="20"/>
  <c r="S6" i="20"/>
  <c r="T6" i="20"/>
  <c r="U6" i="20"/>
  <c r="P7" i="20"/>
  <c r="Q7" i="20"/>
  <c r="R7" i="20"/>
  <c r="S7" i="20"/>
  <c r="T7" i="20"/>
  <c r="U7" i="20"/>
  <c r="P8" i="20"/>
  <c r="Q8" i="20"/>
  <c r="R8" i="20"/>
  <c r="S8" i="20"/>
  <c r="T8" i="20"/>
  <c r="U8" i="20"/>
  <c r="P9" i="20"/>
  <c r="Q9" i="20"/>
  <c r="R9" i="20"/>
  <c r="S9" i="20"/>
  <c r="T9" i="20"/>
  <c r="U9" i="20"/>
  <c r="P10" i="20"/>
  <c r="Q10" i="20"/>
  <c r="R10" i="20"/>
  <c r="S10" i="20"/>
  <c r="T10" i="20"/>
  <c r="U10" i="20"/>
  <c r="P11" i="20"/>
  <c r="Q11" i="20"/>
  <c r="R11" i="20"/>
  <c r="S11" i="20"/>
  <c r="T11" i="20"/>
  <c r="U11" i="20"/>
  <c r="P12" i="20"/>
  <c r="Q12" i="20"/>
  <c r="R12" i="20"/>
  <c r="S12" i="20"/>
  <c r="T12" i="20"/>
  <c r="U12" i="20"/>
  <c r="P13" i="20"/>
  <c r="Q13" i="20"/>
  <c r="R13" i="20"/>
  <c r="S13" i="20"/>
  <c r="T13" i="20"/>
  <c r="U13" i="20"/>
  <c r="P14" i="20"/>
  <c r="Q14" i="20"/>
  <c r="R14" i="20"/>
  <c r="S14" i="20"/>
  <c r="T14" i="20"/>
  <c r="U14" i="20"/>
  <c r="P15" i="20"/>
  <c r="Q15" i="20"/>
  <c r="R15" i="20"/>
  <c r="S15" i="20"/>
  <c r="T15" i="20"/>
  <c r="U15" i="20"/>
  <c r="P16" i="20"/>
  <c r="Q16" i="20"/>
  <c r="R16" i="20"/>
  <c r="S16" i="20"/>
  <c r="T16" i="20"/>
  <c r="U16" i="20"/>
  <c r="P17" i="20"/>
  <c r="Q17" i="20"/>
  <c r="R17" i="20"/>
  <c r="S17" i="20"/>
  <c r="T17" i="20"/>
  <c r="U17" i="20"/>
  <c r="P18" i="20"/>
  <c r="Q18" i="20"/>
  <c r="R18" i="20"/>
  <c r="S18" i="20"/>
  <c r="T18" i="20"/>
  <c r="U18" i="20"/>
  <c r="P19" i="20"/>
  <c r="Q19" i="20"/>
  <c r="R19" i="20"/>
  <c r="S19" i="20"/>
  <c r="T19" i="20"/>
  <c r="U19" i="20"/>
  <c r="P20" i="20"/>
  <c r="Q20" i="20"/>
  <c r="R20" i="20"/>
  <c r="S20" i="20"/>
  <c r="T20" i="20"/>
  <c r="U20" i="20"/>
  <c r="P21" i="20"/>
  <c r="Q21" i="20"/>
  <c r="R21" i="20"/>
  <c r="S21" i="20"/>
  <c r="T21" i="20"/>
  <c r="U21" i="20"/>
  <c r="P22" i="20"/>
  <c r="Q22" i="20"/>
  <c r="R22" i="20"/>
  <c r="S22" i="20"/>
  <c r="T22" i="20"/>
  <c r="U22" i="20"/>
  <c r="P23" i="20"/>
  <c r="Q23" i="20"/>
  <c r="R23" i="20"/>
  <c r="S23" i="20"/>
  <c r="T23" i="20"/>
  <c r="U23" i="20"/>
  <c r="P24" i="20"/>
  <c r="Q24" i="20"/>
  <c r="R24" i="20"/>
  <c r="S24" i="20"/>
  <c r="T24" i="20"/>
  <c r="U24" i="20"/>
  <c r="P25" i="20"/>
  <c r="Q25" i="20"/>
  <c r="R25" i="20"/>
  <c r="S25" i="20"/>
  <c r="T25" i="20"/>
  <c r="U25" i="20"/>
  <c r="P26" i="20"/>
  <c r="Q26" i="20"/>
  <c r="R26" i="20"/>
  <c r="S26" i="20"/>
  <c r="T26" i="20"/>
  <c r="U26" i="20"/>
  <c r="P27" i="20"/>
  <c r="Q27" i="20"/>
  <c r="R27" i="20"/>
  <c r="S27" i="20"/>
  <c r="T27" i="20"/>
  <c r="U27" i="20"/>
  <c r="P28" i="20"/>
  <c r="Q28" i="20"/>
  <c r="R28" i="20"/>
  <c r="S28" i="20"/>
  <c r="T28" i="20"/>
  <c r="U28" i="20"/>
  <c r="P29" i="20"/>
  <c r="Q29" i="20"/>
  <c r="R29" i="20"/>
  <c r="S29" i="20"/>
  <c r="T29" i="20"/>
  <c r="U29" i="20"/>
  <c r="P30" i="20"/>
  <c r="Q30" i="20"/>
  <c r="R30" i="20"/>
  <c r="S30" i="20"/>
  <c r="T30" i="20"/>
  <c r="U30" i="20"/>
  <c r="P31" i="20"/>
  <c r="Q31" i="20"/>
  <c r="R31" i="20"/>
  <c r="S31" i="20"/>
  <c r="T31" i="20"/>
  <c r="U31" i="20"/>
  <c r="P32" i="20"/>
  <c r="Q32" i="20"/>
  <c r="R32" i="20"/>
  <c r="S32" i="20"/>
  <c r="T32" i="20"/>
  <c r="U32" i="20"/>
  <c r="P33" i="20"/>
  <c r="Q33" i="20"/>
  <c r="R33" i="20"/>
  <c r="S33" i="20"/>
  <c r="T33" i="20"/>
  <c r="U33" i="20"/>
  <c r="P34" i="20"/>
  <c r="Q34" i="20"/>
  <c r="R34" i="20"/>
  <c r="S34" i="20"/>
  <c r="T34" i="20"/>
  <c r="U34" i="20"/>
  <c r="P35" i="20"/>
  <c r="Q35" i="20"/>
  <c r="R35" i="20"/>
  <c r="S35" i="20"/>
  <c r="T35" i="20"/>
  <c r="U35" i="20"/>
  <c r="P36" i="20"/>
  <c r="Q36" i="20"/>
  <c r="R36" i="20"/>
  <c r="S36" i="20"/>
  <c r="T36" i="20"/>
  <c r="U36" i="20"/>
  <c r="P37" i="20"/>
  <c r="Q37" i="20"/>
  <c r="R37" i="20"/>
  <c r="S37" i="20"/>
  <c r="T37" i="20"/>
  <c r="U37" i="20"/>
  <c r="P38" i="20"/>
  <c r="Q38" i="20"/>
  <c r="R38" i="20"/>
  <c r="S38" i="20"/>
  <c r="T38" i="20"/>
  <c r="U38" i="20"/>
  <c r="P39" i="20"/>
  <c r="Q39" i="20"/>
  <c r="R39" i="20"/>
  <c r="S39" i="20"/>
  <c r="T39" i="20"/>
  <c r="U39" i="20"/>
  <c r="P40" i="20"/>
  <c r="Q40" i="20"/>
  <c r="R40" i="20"/>
  <c r="S40" i="20"/>
  <c r="T40" i="20"/>
  <c r="U40" i="20"/>
  <c r="P41" i="20"/>
  <c r="Q41" i="20"/>
  <c r="R41" i="20"/>
  <c r="S41" i="20"/>
  <c r="T41" i="20"/>
  <c r="U41" i="20"/>
  <c r="P42" i="20"/>
  <c r="Q42" i="20"/>
  <c r="R42" i="20"/>
  <c r="S42" i="20"/>
  <c r="T42" i="20"/>
  <c r="U42" i="20"/>
  <c r="P43" i="20"/>
  <c r="Q43" i="20"/>
  <c r="R43" i="20"/>
  <c r="S43" i="20"/>
  <c r="T43" i="20"/>
  <c r="U43" i="20"/>
  <c r="P44" i="20"/>
  <c r="Q44" i="20"/>
  <c r="R44" i="20"/>
  <c r="S44" i="20"/>
  <c r="T44" i="20"/>
  <c r="U44" i="20"/>
  <c r="P45" i="20"/>
  <c r="Q45" i="20"/>
  <c r="R45" i="20"/>
  <c r="S45" i="20"/>
  <c r="T45" i="20"/>
  <c r="U45" i="20"/>
  <c r="P46" i="20"/>
  <c r="Q46" i="20"/>
  <c r="R46" i="20"/>
  <c r="S46" i="20"/>
  <c r="T46" i="20"/>
  <c r="U46" i="20"/>
  <c r="P47" i="20"/>
  <c r="Q47" i="20"/>
  <c r="R47" i="20"/>
  <c r="S47" i="20"/>
  <c r="T47" i="20"/>
  <c r="U47" i="20"/>
  <c r="P48" i="20"/>
  <c r="Q48" i="20"/>
  <c r="R48" i="20"/>
  <c r="S48" i="20"/>
  <c r="T48" i="20"/>
  <c r="U48" i="20"/>
  <c r="P49" i="20"/>
  <c r="Q49" i="20"/>
  <c r="R49" i="20"/>
  <c r="S49" i="20"/>
  <c r="T49" i="20"/>
  <c r="U49" i="20"/>
  <c r="P50" i="20"/>
  <c r="Q50" i="20"/>
  <c r="R50" i="20"/>
  <c r="S50" i="20"/>
  <c r="T50" i="20"/>
  <c r="U50" i="20"/>
  <c r="P51" i="20"/>
  <c r="Q51" i="20"/>
  <c r="R51" i="20"/>
  <c r="S51" i="20"/>
  <c r="T51" i="20"/>
  <c r="U51" i="20"/>
  <c r="P52" i="20"/>
  <c r="Q52" i="20"/>
  <c r="R52" i="20"/>
  <c r="S52" i="20"/>
  <c r="T52" i="20"/>
  <c r="U52" i="20"/>
  <c r="P53" i="20"/>
  <c r="Q53" i="20"/>
  <c r="R53" i="20"/>
  <c r="S53" i="20"/>
  <c r="T53" i="20"/>
  <c r="U53" i="20"/>
  <c r="P54" i="20"/>
  <c r="Q54" i="20"/>
  <c r="R54" i="20"/>
  <c r="S54" i="20"/>
  <c r="T54" i="20"/>
  <c r="U54" i="20"/>
  <c r="P55" i="20"/>
  <c r="Q55" i="20"/>
  <c r="R55" i="20"/>
  <c r="S55" i="20"/>
  <c r="T55" i="20"/>
  <c r="U55" i="20"/>
  <c r="P56" i="20"/>
  <c r="Q56" i="20"/>
  <c r="R56" i="20"/>
  <c r="S56" i="20"/>
  <c r="T56" i="20"/>
  <c r="U56" i="20"/>
  <c r="P57" i="20"/>
  <c r="Q57" i="20"/>
  <c r="R57" i="20"/>
  <c r="S57" i="20"/>
  <c r="T57" i="20"/>
  <c r="U57" i="20"/>
  <c r="P58" i="20"/>
  <c r="Q58" i="20"/>
  <c r="R58" i="20"/>
  <c r="S58" i="20"/>
  <c r="T58" i="20"/>
  <c r="U58" i="20"/>
  <c r="P59" i="20"/>
  <c r="Q59" i="20"/>
  <c r="R59" i="20"/>
  <c r="S59" i="20"/>
  <c r="T59" i="20"/>
  <c r="U59" i="20"/>
  <c r="P60" i="20"/>
  <c r="Q60" i="20"/>
  <c r="R60" i="20"/>
  <c r="S60" i="20"/>
  <c r="T60" i="20"/>
  <c r="U60" i="20"/>
  <c r="P61" i="20"/>
  <c r="Q61" i="20"/>
  <c r="R61" i="20"/>
  <c r="S61" i="20"/>
  <c r="T61" i="20"/>
  <c r="U61" i="20"/>
  <c r="P62" i="20"/>
  <c r="Q62" i="20"/>
  <c r="R62" i="20"/>
  <c r="S62" i="20"/>
  <c r="T62" i="20"/>
  <c r="U62" i="20"/>
  <c r="P63" i="20"/>
  <c r="Q63" i="20"/>
  <c r="R63" i="20"/>
  <c r="S63" i="20"/>
  <c r="T63" i="20"/>
  <c r="U63" i="20"/>
  <c r="P64" i="20"/>
  <c r="Q64" i="20"/>
  <c r="R64" i="20"/>
  <c r="S64" i="20"/>
  <c r="T64" i="20"/>
  <c r="U64" i="20"/>
  <c r="P65" i="20"/>
  <c r="Q65" i="20"/>
  <c r="R65" i="20"/>
  <c r="S65" i="20"/>
  <c r="T65" i="20"/>
  <c r="U65" i="20"/>
  <c r="P66" i="20"/>
  <c r="Q66" i="20"/>
  <c r="R66" i="20"/>
  <c r="S66" i="20"/>
  <c r="T66" i="20"/>
  <c r="U66" i="20"/>
  <c r="P67" i="20"/>
  <c r="Q67" i="20"/>
  <c r="R67" i="20"/>
  <c r="S67" i="20"/>
  <c r="T67" i="20"/>
  <c r="U67" i="20"/>
  <c r="P68" i="20"/>
  <c r="Q68" i="20"/>
  <c r="R68" i="20"/>
  <c r="S68" i="20"/>
  <c r="T68" i="20"/>
  <c r="U68" i="20"/>
  <c r="P69" i="20"/>
  <c r="Q69" i="20"/>
  <c r="R69" i="20"/>
  <c r="S69" i="20"/>
  <c r="T69" i="20"/>
  <c r="U69" i="20"/>
  <c r="P70" i="20"/>
  <c r="Q70" i="20"/>
  <c r="R70" i="20"/>
  <c r="S70" i="20"/>
  <c r="T70" i="20"/>
  <c r="U70" i="20"/>
  <c r="P71" i="20"/>
  <c r="Q71" i="20"/>
  <c r="R71" i="20"/>
  <c r="S71" i="20"/>
  <c r="T71" i="20"/>
  <c r="U71" i="20"/>
  <c r="P72" i="20"/>
  <c r="Q72" i="20"/>
  <c r="R72" i="20"/>
  <c r="S72" i="20"/>
  <c r="T72" i="20"/>
  <c r="U72" i="20"/>
  <c r="P73" i="20"/>
  <c r="Q73" i="20"/>
  <c r="R73" i="20"/>
  <c r="S73" i="20"/>
  <c r="T73" i="20"/>
  <c r="U73" i="20"/>
  <c r="P74" i="20"/>
  <c r="Q74" i="20"/>
  <c r="R74" i="20"/>
  <c r="S74" i="20"/>
  <c r="T74" i="20"/>
  <c r="U74" i="20"/>
  <c r="P75" i="20"/>
  <c r="Q75" i="20"/>
  <c r="R75" i="20"/>
  <c r="S75" i="20"/>
  <c r="T75" i="20"/>
  <c r="U75" i="20"/>
  <c r="P76" i="20"/>
  <c r="Q76" i="20"/>
  <c r="R76" i="20"/>
  <c r="S76" i="20"/>
  <c r="T76" i="20"/>
  <c r="U76" i="20"/>
  <c r="P77" i="20"/>
  <c r="Q77" i="20"/>
  <c r="R77" i="20"/>
  <c r="S77" i="20"/>
  <c r="T77" i="20"/>
  <c r="U77" i="20"/>
  <c r="P78" i="20"/>
  <c r="Q78" i="20"/>
  <c r="R78" i="20"/>
  <c r="S78" i="20"/>
  <c r="T78" i="20"/>
  <c r="U78" i="20"/>
  <c r="P79" i="20"/>
  <c r="Q79" i="20"/>
  <c r="R79" i="20"/>
  <c r="S79" i="20"/>
  <c r="T79" i="20"/>
  <c r="U79" i="20"/>
  <c r="P80" i="20"/>
  <c r="Q80" i="20"/>
  <c r="R80" i="20"/>
  <c r="S80" i="20"/>
  <c r="T80" i="20"/>
  <c r="U80" i="20"/>
  <c r="P81" i="20"/>
  <c r="Q81" i="20"/>
  <c r="R81" i="20"/>
  <c r="S81" i="20"/>
  <c r="T81" i="20"/>
  <c r="U81" i="20"/>
  <c r="P82" i="20"/>
  <c r="Q82" i="20"/>
  <c r="R82" i="20"/>
  <c r="S82" i="20"/>
  <c r="T82" i="20"/>
  <c r="U82" i="20"/>
  <c r="P83" i="20"/>
  <c r="Q83" i="20"/>
  <c r="R83" i="20"/>
  <c r="S83" i="20"/>
  <c r="T83" i="20"/>
  <c r="U83" i="20"/>
  <c r="P84" i="20"/>
  <c r="Q84" i="20"/>
  <c r="R84" i="20"/>
  <c r="S84" i="20"/>
  <c r="T84" i="20"/>
  <c r="U84" i="20"/>
  <c r="P85" i="20"/>
  <c r="Q85" i="20"/>
  <c r="R85" i="20"/>
  <c r="S85" i="20"/>
  <c r="T85" i="20"/>
  <c r="U85" i="20"/>
  <c r="P86" i="20"/>
  <c r="Q86" i="20"/>
  <c r="R86" i="20"/>
  <c r="S86" i="20"/>
  <c r="T86" i="20"/>
  <c r="U86" i="20"/>
  <c r="P87" i="20"/>
  <c r="Q87" i="20"/>
  <c r="R87" i="20"/>
  <c r="S87" i="20"/>
  <c r="T87" i="20"/>
  <c r="U87" i="20"/>
  <c r="P88" i="20"/>
  <c r="Q88" i="20"/>
  <c r="R88" i="20"/>
  <c r="S88" i="20"/>
  <c r="T88" i="20"/>
  <c r="U88" i="20"/>
  <c r="P89" i="20"/>
  <c r="Q89" i="20"/>
  <c r="R89" i="20"/>
  <c r="S89" i="20"/>
  <c r="T89" i="20"/>
  <c r="U89" i="20"/>
  <c r="P90" i="20"/>
  <c r="Q90" i="20"/>
  <c r="R90" i="20"/>
  <c r="S90" i="20"/>
  <c r="T90" i="20"/>
  <c r="U90" i="20"/>
  <c r="P91" i="20"/>
  <c r="Q91" i="20"/>
  <c r="R91" i="20"/>
  <c r="S91" i="20"/>
  <c r="T91" i="20"/>
  <c r="U91" i="20"/>
  <c r="P92" i="20"/>
  <c r="Q92" i="20"/>
  <c r="R92" i="20"/>
  <c r="S92" i="20"/>
  <c r="T92" i="20"/>
  <c r="U92" i="20"/>
  <c r="P93" i="20"/>
  <c r="Q93" i="20"/>
  <c r="R93" i="20"/>
  <c r="S93" i="20"/>
  <c r="T93" i="20"/>
  <c r="U93" i="20"/>
  <c r="P94" i="20"/>
  <c r="Q94" i="20"/>
  <c r="R94" i="20"/>
  <c r="S94" i="20"/>
  <c r="T94" i="20"/>
  <c r="U94" i="20"/>
  <c r="P95" i="20"/>
  <c r="Q95" i="20"/>
  <c r="R95" i="20"/>
  <c r="S95" i="20"/>
  <c r="T95" i="20"/>
  <c r="U95" i="20"/>
  <c r="P96" i="20"/>
  <c r="Q96" i="20"/>
  <c r="R96" i="20"/>
  <c r="S96" i="20"/>
  <c r="T96" i="20"/>
  <c r="U96" i="20"/>
  <c r="P97" i="20"/>
  <c r="Q97" i="20"/>
  <c r="R97" i="20"/>
  <c r="S97" i="20"/>
  <c r="T97" i="20"/>
  <c r="U97" i="20"/>
  <c r="P98" i="20"/>
  <c r="Q98" i="20"/>
  <c r="R98" i="20"/>
  <c r="S98" i="20"/>
  <c r="T98" i="20"/>
  <c r="U98" i="20"/>
  <c r="P99" i="20"/>
  <c r="Q99" i="20"/>
  <c r="R99" i="20"/>
  <c r="S99" i="20"/>
  <c r="T99" i="20"/>
  <c r="U99" i="20"/>
  <c r="P100" i="20"/>
  <c r="Q100" i="20"/>
  <c r="R100" i="20"/>
  <c r="S100" i="20"/>
  <c r="T100" i="20"/>
  <c r="U100" i="20"/>
  <c r="P101" i="20"/>
  <c r="Q101" i="20"/>
  <c r="R101" i="20"/>
  <c r="S101" i="20"/>
  <c r="T101" i="20"/>
  <c r="U101" i="20"/>
  <c r="P102" i="20"/>
  <c r="Q102" i="20"/>
  <c r="R102" i="20"/>
  <c r="S102" i="20"/>
  <c r="T102" i="20"/>
  <c r="U102" i="20"/>
  <c r="P103" i="20"/>
  <c r="Q103" i="20"/>
  <c r="R103" i="20"/>
  <c r="S103" i="20"/>
  <c r="T103" i="20"/>
  <c r="U103" i="20"/>
  <c r="P104" i="20"/>
  <c r="Q104" i="20"/>
  <c r="R104" i="20"/>
  <c r="S104" i="20"/>
  <c r="T104" i="20"/>
  <c r="U104" i="20"/>
  <c r="P105" i="20"/>
  <c r="Q105" i="20"/>
  <c r="R105" i="20"/>
  <c r="S105" i="20"/>
  <c r="T105" i="20"/>
  <c r="U105" i="20"/>
  <c r="P106" i="20"/>
  <c r="Q106" i="20"/>
  <c r="R106" i="20"/>
  <c r="S106" i="20"/>
  <c r="T106" i="20"/>
  <c r="U106" i="20"/>
  <c r="P107" i="20"/>
  <c r="Q107" i="20"/>
  <c r="R107" i="20"/>
  <c r="S107" i="20"/>
  <c r="T107" i="20"/>
  <c r="U107" i="20"/>
  <c r="P108" i="20"/>
  <c r="Q108" i="20"/>
  <c r="R108" i="20"/>
  <c r="S108" i="20"/>
  <c r="T108" i="20"/>
  <c r="U108" i="20"/>
  <c r="P109" i="20"/>
  <c r="Q109" i="20"/>
  <c r="R109" i="20"/>
  <c r="S109" i="20"/>
  <c r="T109" i="20"/>
  <c r="U109" i="20"/>
  <c r="P110" i="20"/>
  <c r="Q110" i="20"/>
  <c r="R110" i="20"/>
  <c r="S110" i="20"/>
  <c r="T110" i="20"/>
  <c r="U110" i="20"/>
  <c r="P111" i="20"/>
  <c r="Q111" i="20"/>
  <c r="R111" i="20"/>
  <c r="S111" i="20"/>
  <c r="T111" i="20"/>
  <c r="U111" i="20"/>
  <c r="P112" i="20"/>
  <c r="Q112" i="20"/>
  <c r="R112" i="20"/>
  <c r="S112" i="20"/>
  <c r="T112" i="20"/>
  <c r="U112" i="20"/>
  <c r="P113" i="20"/>
  <c r="Q113" i="20"/>
  <c r="R113" i="20"/>
  <c r="S113" i="20"/>
  <c r="T113" i="20"/>
  <c r="U113" i="20"/>
  <c r="P114" i="20"/>
  <c r="Q114" i="20"/>
  <c r="R114" i="20"/>
  <c r="S114" i="20"/>
  <c r="T114" i="20"/>
  <c r="U114" i="20"/>
  <c r="P115" i="20"/>
  <c r="Q115" i="20"/>
  <c r="R115" i="20"/>
  <c r="S115" i="20"/>
  <c r="T115" i="20"/>
  <c r="U115" i="20"/>
  <c r="P116" i="20"/>
  <c r="Q116" i="20"/>
  <c r="R116" i="20"/>
  <c r="S116" i="20"/>
  <c r="T116" i="20"/>
  <c r="U116" i="20"/>
  <c r="P117" i="20"/>
  <c r="Q117" i="20"/>
  <c r="R117" i="20"/>
  <c r="S117" i="20"/>
  <c r="T117" i="20"/>
  <c r="U117" i="20"/>
  <c r="P118" i="20"/>
  <c r="Q118" i="20"/>
  <c r="R118" i="20"/>
  <c r="S118" i="20"/>
  <c r="T118" i="20"/>
  <c r="U118" i="20"/>
  <c r="P119" i="20"/>
  <c r="Q119" i="20"/>
  <c r="R119" i="20"/>
  <c r="S119" i="20"/>
  <c r="T119" i="20"/>
  <c r="U119" i="20"/>
  <c r="P120" i="20"/>
  <c r="Q120" i="20"/>
  <c r="R120" i="20"/>
  <c r="S120" i="20"/>
  <c r="T120" i="20"/>
  <c r="U120" i="20"/>
  <c r="P121" i="20"/>
  <c r="Q121" i="20"/>
  <c r="R121" i="20"/>
  <c r="S121" i="20"/>
  <c r="T121" i="20"/>
  <c r="U121" i="20"/>
  <c r="P122" i="20"/>
  <c r="Q122" i="20"/>
  <c r="R122" i="20"/>
  <c r="S122" i="20"/>
  <c r="T122" i="20"/>
  <c r="U122" i="20"/>
  <c r="P123" i="20"/>
  <c r="Q123" i="20"/>
  <c r="R123" i="20"/>
  <c r="S123" i="20"/>
  <c r="T123" i="20"/>
  <c r="U123" i="20"/>
  <c r="P124" i="20"/>
  <c r="Q124" i="20"/>
  <c r="R124" i="20"/>
  <c r="S124" i="20"/>
  <c r="T124" i="20"/>
  <c r="U124" i="20"/>
  <c r="P125" i="20"/>
  <c r="Q125" i="20"/>
  <c r="R125" i="20"/>
  <c r="S125" i="20"/>
  <c r="T125" i="20"/>
  <c r="U125" i="20"/>
  <c r="P126" i="20"/>
  <c r="Q126" i="20"/>
  <c r="R126" i="20"/>
  <c r="S126" i="20"/>
  <c r="T126" i="20"/>
  <c r="U126" i="20"/>
  <c r="P127" i="20"/>
  <c r="Q127" i="20"/>
  <c r="R127" i="20"/>
  <c r="S127" i="20"/>
  <c r="T127" i="20"/>
  <c r="U127" i="20"/>
  <c r="P128" i="20"/>
  <c r="Q128" i="20"/>
  <c r="R128" i="20"/>
  <c r="S128" i="20"/>
  <c r="T128" i="20"/>
  <c r="U128" i="20"/>
  <c r="P129" i="20"/>
  <c r="Q129" i="20"/>
  <c r="R129" i="20"/>
  <c r="S129" i="20"/>
  <c r="T129" i="20"/>
  <c r="U129" i="20"/>
  <c r="P130" i="20"/>
  <c r="Q130" i="20"/>
  <c r="R130" i="20"/>
  <c r="S130" i="20"/>
  <c r="T130" i="20"/>
  <c r="U130" i="20"/>
  <c r="P131" i="20"/>
  <c r="Q131" i="20"/>
  <c r="R131" i="20"/>
  <c r="S131" i="20"/>
  <c r="T131" i="20"/>
  <c r="U131" i="20"/>
  <c r="P132" i="20"/>
  <c r="Q132" i="20"/>
  <c r="R132" i="20"/>
  <c r="S132" i="20"/>
  <c r="T132" i="20"/>
  <c r="U132" i="20"/>
  <c r="P133" i="20"/>
  <c r="Q133" i="20"/>
  <c r="R133" i="20"/>
  <c r="S133" i="20"/>
  <c r="T133" i="20"/>
  <c r="U133" i="20"/>
  <c r="P134" i="20"/>
  <c r="Q134" i="20"/>
  <c r="R134" i="20"/>
  <c r="S134" i="20"/>
  <c r="T134" i="20"/>
  <c r="U134" i="20"/>
  <c r="P135" i="20"/>
  <c r="Q135" i="20"/>
  <c r="R135" i="20"/>
  <c r="S135" i="20"/>
  <c r="T135" i="20"/>
  <c r="U135" i="20"/>
  <c r="P136" i="20"/>
  <c r="Q136" i="20"/>
  <c r="R136" i="20"/>
  <c r="S136" i="20"/>
  <c r="T136" i="20"/>
  <c r="U136" i="20"/>
  <c r="P137" i="20"/>
  <c r="Q137" i="20"/>
  <c r="R137" i="20"/>
  <c r="S137" i="20"/>
  <c r="T137" i="20"/>
  <c r="U137" i="20"/>
  <c r="P138" i="20"/>
  <c r="Q138" i="20"/>
  <c r="R138" i="20"/>
  <c r="S138" i="20"/>
  <c r="T138" i="20"/>
  <c r="U138" i="20"/>
  <c r="P139" i="20"/>
  <c r="Q139" i="20"/>
  <c r="R139" i="20"/>
  <c r="S139" i="20"/>
  <c r="T139" i="20"/>
  <c r="U139" i="20"/>
  <c r="P140" i="20"/>
  <c r="Q140" i="20"/>
  <c r="R140" i="20"/>
  <c r="S140" i="20"/>
  <c r="T140" i="20"/>
  <c r="U140" i="20"/>
  <c r="P141" i="20"/>
  <c r="Q141" i="20"/>
  <c r="R141" i="20"/>
  <c r="S141" i="20"/>
  <c r="T141" i="20"/>
  <c r="U141" i="20"/>
  <c r="P142" i="20"/>
  <c r="Q142" i="20"/>
  <c r="R142" i="20"/>
  <c r="S142" i="20"/>
  <c r="T142" i="20"/>
  <c r="U142" i="20"/>
  <c r="P143" i="20"/>
  <c r="Q143" i="20"/>
  <c r="R143" i="20"/>
  <c r="S143" i="20"/>
  <c r="T143" i="20"/>
  <c r="U143" i="20"/>
  <c r="P144" i="20"/>
  <c r="Q144" i="20"/>
  <c r="R144" i="20"/>
  <c r="S144" i="20"/>
  <c r="T144" i="20"/>
  <c r="U144" i="20"/>
  <c r="P145" i="20"/>
  <c r="Q145" i="20"/>
  <c r="R145" i="20"/>
  <c r="S145" i="20"/>
  <c r="T145" i="20"/>
  <c r="U145" i="20"/>
  <c r="P146" i="20"/>
  <c r="Q146" i="20"/>
  <c r="R146" i="20"/>
  <c r="S146" i="20"/>
  <c r="T146" i="20"/>
  <c r="U146" i="20"/>
  <c r="P147" i="20"/>
  <c r="Q147" i="20"/>
  <c r="R147" i="20"/>
  <c r="S147" i="20"/>
  <c r="T147" i="20"/>
  <c r="U147" i="20"/>
  <c r="P148" i="20"/>
  <c r="Q148" i="20"/>
  <c r="R148" i="20"/>
  <c r="S148" i="20"/>
  <c r="T148" i="20"/>
  <c r="U148" i="20"/>
  <c r="P149" i="20"/>
  <c r="Q149" i="20"/>
  <c r="R149" i="20"/>
  <c r="S149" i="20"/>
  <c r="T149" i="20"/>
  <c r="U149" i="20"/>
  <c r="P150" i="20"/>
  <c r="Q150" i="20"/>
  <c r="R150" i="20"/>
  <c r="S150" i="20"/>
  <c r="T150" i="20"/>
  <c r="U150" i="20"/>
  <c r="P151" i="20"/>
  <c r="Q151" i="20"/>
  <c r="R151" i="20"/>
  <c r="S151" i="20"/>
  <c r="T151" i="20"/>
  <c r="U151" i="20"/>
  <c r="P152" i="20"/>
  <c r="Q152" i="20"/>
  <c r="R152" i="20"/>
  <c r="S152" i="20"/>
  <c r="T152" i="20"/>
  <c r="U152" i="20"/>
  <c r="P153" i="20"/>
  <c r="Q153" i="20"/>
  <c r="R153" i="20"/>
  <c r="S153" i="20"/>
  <c r="T153" i="20"/>
  <c r="U153" i="20"/>
  <c r="P154" i="20"/>
  <c r="Q154" i="20"/>
  <c r="R154" i="20"/>
  <c r="S154" i="20"/>
  <c r="T154" i="20"/>
  <c r="U154" i="20"/>
  <c r="P155" i="20"/>
  <c r="Q155" i="20"/>
  <c r="R155" i="20"/>
  <c r="S155" i="20"/>
  <c r="T155" i="20"/>
  <c r="U155" i="20"/>
  <c r="P156" i="20"/>
  <c r="Q156" i="20"/>
  <c r="R156" i="20"/>
  <c r="S156" i="20"/>
  <c r="T156" i="20"/>
  <c r="U156" i="20"/>
  <c r="P157" i="20"/>
  <c r="Q157" i="20"/>
  <c r="R157" i="20"/>
  <c r="S157" i="20"/>
  <c r="T157" i="20"/>
  <c r="U157" i="20"/>
  <c r="P158" i="20"/>
  <c r="Q158" i="20"/>
  <c r="R158" i="20"/>
  <c r="S158" i="20"/>
  <c r="T158" i="20"/>
  <c r="U158" i="20"/>
  <c r="P159" i="20"/>
  <c r="Q159" i="20"/>
  <c r="R159" i="20"/>
  <c r="S159" i="20"/>
  <c r="T159" i="20"/>
  <c r="U159" i="20"/>
  <c r="P160" i="20"/>
  <c r="Q160" i="20"/>
  <c r="R160" i="20"/>
  <c r="S160" i="20"/>
  <c r="T160" i="20"/>
  <c r="U160" i="20"/>
  <c r="P161" i="20"/>
  <c r="Q161" i="20"/>
  <c r="R161" i="20"/>
  <c r="S161" i="20"/>
  <c r="T161" i="20"/>
  <c r="U161" i="20"/>
  <c r="P162" i="20"/>
  <c r="Q162" i="20"/>
  <c r="R162" i="20"/>
  <c r="S162" i="20"/>
  <c r="T162" i="20"/>
  <c r="U162" i="20"/>
  <c r="P163" i="20"/>
  <c r="Q163" i="20"/>
  <c r="R163" i="20"/>
  <c r="S163" i="20"/>
  <c r="T163" i="20"/>
  <c r="U163" i="20"/>
  <c r="P164" i="20"/>
  <c r="Q164" i="20"/>
  <c r="R164" i="20"/>
  <c r="S164" i="20"/>
  <c r="T164" i="20"/>
  <c r="U164" i="20"/>
  <c r="P165" i="20"/>
  <c r="Q165" i="20"/>
  <c r="R165" i="20"/>
  <c r="S165" i="20"/>
  <c r="T165" i="20"/>
  <c r="U165" i="20"/>
  <c r="P166" i="20"/>
  <c r="Q166" i="20"/>
  <c r="R166" i="20"/>
  <c r="S166" i="20"/>
  <c r="T166" i="20"/>
  <c r="U166" i="20"/>
  <c r="P167" i="20"/>
  <c r="Q167" i="20"/>
  <c r="R167" i="20"/>
  <c r="S167" i="20"/>
  <c r="T167" i="20"/>
  <c r="U167" i="20"/>
  <c r="P168" i="20"/>
  <c r="Q168" i="20"/>
  <c r="R168" i="20"/>
  <c r="S168" i="20"/>
  <c r="T168" i="20"/>
  <c r="U168" i="20"/>
  <c r="P169" i="20"/>
  <c r="Q169" i="20"/>
  <c r="R169" i="20"/>
  <c r="S169" i="20"/>
  <c r="T169" i="20"/>
  <c r="U169" i="20"/>
  <c r="P170" i="20"/>
  <c r="Q170" i="20"/>
  <c r="R170" i="20"/>
  <c r="S170" i="20"/>
  <c r="T170" i="20"/>
  <c r="U170" i="20"/>
  <c r="P171" i="20"/>
  <c r="Q171" i="20"/>
  <c r="R171" i="20"/>
  <c r="S171" i="20"/>
  <c r="T171" i="20"/>
  <c r="U171" i="20"/>
  <c r="P172" i="20"/>
  <c r="Q172" i="20"/>
  <c r="R172" i="20"/>
  <c r="S172" i="20"/>
  <c r="T172" i="20"/>
  <c r="U172" i="20"/>
  <c r="P173" i="20"/>
  <c r="Q173" i="20"/>
  <c r="R173" i="20"/>
  <c r="S173" i="20"/>
  <c r="T173" i="20"/>
  <c r="U173" i="20"/>
  <c r="P174" i="20"/>
  <c r="Q174" i="20"/>
  <c r="R174" i="20"/>
  <c r="S174" i="20"/>
  <c r="T174" i="20"/>
  <c r="U174" i="20"/>
  <c r="P175" i="20"/>
  <c r="Q175" i="20"/>
  <c r="R175" i="20"/>
  <c r="S175" i="20"/>
  <c r="T175" i="20"/>
  <c r="U175" i="20"/>
  <c r="P176" i="20"/>
  <c r="Q176" i="20"/>
  <c r="R176" i="20"/>
  <c r="S176" i="20"/>
  <c r="T176" i="20"/>
  <c r="U176" i="20"/>
  <c r="P177" i="20"/>
  <c r="Q177" i="20"/>
  <c r="R177" i="20"/>
  <c r="S177" i="20"/>
  <c r="T177" i="20"/>
  <c r="U177" i="20"/>
  <c r="P178" i="20"/>
  <c r="Q178" i="20"/>
  <c r="R178" i="20"/>
  <c r="S178" i="20"/>
  <c r="T178" i="20"/>
  <c r="U178" i="20"/>
  <c r="P179" i="20"/>
  <c r="Q179" i="20"/>
  <c r="R179" i="20"/>
  <c r="S179" i="20"/>
  <c r="T179" i="20"/>
  <c r="U179" i="20"/>
  <c r="P180" i="20"/>
  <c r="Q180" i="20"/>
  <c r="R180" i="20"/>
  <c r="S180" i="20"/>
  <c r="T180" i="20"/>
  <c r="U180" i="20"/>
  <c r="P181" i="20"/>
  <c r="Q181" i="20"/>
  <c r="R181" i="20"/>
  <c r="S181" i="20"/>
  <c r="T181" i="20"/>
  <c r="U181" i="20"/>
  <c r="P182" i="20"/>
  <c r="Q182" i="20"/>
  <c r="R182" i="20"/>
  <c r="S182" i="20"/>
  <c r="T182" i="20"/>
  <c r="U182" i="20"/>
  <c r="P183" i="20"/>
  <c r="Q183" i="20"/>
  <c r="R183" i="20"/>
  <c r="S183" i="20"/>
  <c r="T183" i="20"/>
  <c r="U183" i="20"/>
  <c r="P184" i="20"/>
  <c r="Q184" i="20"/>
  <c r="R184" i="20"/>
  <c r="S184" i="20"/>
  <c r="T184" i="20"/>
  <c r="U184" i="20"/>
  <c r="P185" i="20"/>
  <c r="Q185" i="20"/>
  <c r="R185" i="20"/>
  <c r="S185" i="20"/>
  <c r="T185" i="20"/>
  <c r="U185" i="20"/>
  <c r="P186" i="20"/>
  <c r="Q186" i="20"/>
  <c r="R186" i="20"/>
  <c r="S186" i="20"/>
  <c r="T186" i="20"/>
  <c r="U186" i="20"/>
  <c r="P187" i="20"/>
  <c r="Q187" i="20"/>
  <c r="R187" i="20"/>
  <c r="S187" i="20"/>
  <c r="T187" i="20"/>
  <c r="U187" i="20"/>
  <c r="P188" i="20"/>
  <c r="Q188" i="20"/>
  <c r="R188" i="20"/>
  <c r="S188" i="20"/>
  <c r="T188" i="20"/>
  <c r="U188" i="20"/>
  <c r="P189" i="20"/>
  <c r="Q189" i="20"/>
  <c r="R189" i="20"/>
  <c r="S189" i="20"/>
  <c r="T189" i="20"/>
  <c r="U189" i="20"/>
  <c r="P190" i="20"/>
  <c r="Q190" i="20"/>
  <c r="R190" i="20"/>
  <c r="S190" i="20"/>
  <c r="T190" i="20"/>
  <c r="U190" i="20"/>
  <c r="P191" i="20"/>
  <c r="Q191" i="20"/>
  <c r="R191" i="20"/>
  <c r="S191" i="20"/>
  <c r="T191" i="20"/>
  <c r="U191" i="20"/>
  <c r="P192" i="20"/>
  <c r="Q192" i="20"/>
  <c r="R192" i="20"/>
  <c r="S192" i="20"/>
  <c r="T192" i="20"/>
  <c r="U192" i="20"/>
  <c r="P193" i="20"/>
  <c r="Q193" i="20"/>
  <c r="R193" i="20"/>
  <c r="S193" i="20"/>
  <c r="T193" i="20"/>
  <c r="U193" i="20"/>
  <c r="P194" i="20"/>
  <c r="Q194" i="20"/>
  <c r="R194" i="20"/>
  <c r="S194" i="20"/>
  <c r="T194" i="20"/>
  <c r="U194" i="20"/>
  <c r="P195" i="20"/>
  <c r="Q195" i="20"/>
  <c r="R195" i="20"/>
  <c r="S195" i="20"/>
  <c r="T195" i="20"/>
  <c r="U195" i="20"/>
  <c r="P196" i="20"/>
  <c r="Q196" i="20"/>
  <c r="R196" i="20"/>
  <c r="S196" i="20"/>
  <c r="T196" i="20"/>
  <c r="U196" i="20"/>
  <c r="P197" i="20"/>
  <c r="Q197" i="20"/>
  <c r="R197" i="20"/>
  <c r="S197" i="20"/>
  <c r="T197" i="20"/>
  <c r="U197" i="20"/>
  <c r="P198" i="20"/>
  <c r="Q198" i="20"/>
  <c r="R198" i="20"/>
  <c r="S198" i="20"/>
  <c r="T198" i="20"/>
  <c r="U198" i="20"/>
  <c r="P199" i="20"/>
  <c r="Q199" i="20"/>
  <c r="R199" i="20"/>
  <c r="S199" i="20"/>
  <c r="T199" i="20"/>
  <c r="U199" i="20"/>
  <c r="P200" i="20"/>
  <c r="Q200" i="20"/>
  <c r="R200" i="20"/>
  <c r="S200" i="20"/>
  <c r="T200" i="20"/>
  <c r="U200" i="20"/>
  <c r="P201" i="20"/>
  <c r="Q201" i="20"/>
  <c r="R201" i="20"/>
  <c r="S201" i="20"/>
  <c r="T201" i="20"/>
  <c r="U201" i="20"/>
  <c r="P202" i="20"/>
  <c r="Q202" i="20"/>
  <c r="R202" i="20"/>
  <c r="S202" i="20"/>
  <c r="T202" i="20"/>
  <c r="U202" i="20"/>
  <c r="P203" i="20"/>
  <c r="Q203" i="20"/>
  <c r="R203" i="20"/>
  <c r="S203" i="20"/>
  <c r="T203" i="20"/>
  <c r="U203" i="20"/>
  <c r="P204" i="20"/>
  <c r="Q204" i="20"/>
  <c r="R204" i="20"/>
  <c r="S204" i="20"/>
  <c r="T204" i="20"/>
  <c r="U204" i="20"/>
  <c r="P205" i="20"/>
  <c r="Q205" i="20"/>
  <c r="R205" i="20"/>
  <c r="S205" i="20"/>
  <c r="T205" i="20"/>
  <c r="U205" i="20"/>
  <c r="P206" i="20"/>
  <c r="Q206" i="20"/>
  <c r="R206" i="20"/>
  <c r="S206" i="20"/>
  <c r="T206" i="20"/>
  <c r="U206" i="20"/>
  <c r="P207" i="20"/>
  <c r="Q207" i="20"/>
  <c r="R207" i="20"/>
  <c r="S207" i="20"/>
  <c r="T207" i="20"/>
  <c r="U207" i="20"/>
  <c r="P208" i="20"/>
  <c r="Q208" i="20"/>
  <c r="R208" i="20"/>
  <c r="S208" i="20"/>
  <c r="T208" i="20"/>
  <c r="U208" i="20"/>
  <c r="P209" i="20"/>
  <c r="Q209" i="20"/>
  <c r="R209" i="20"/>
  <c r="S209" i="20"/>
  <c r="T209" i="20"/>
  <c r="U209" i="20"/>
  <c r="P210" i="20"/>
  <c r="Q210" i="20"/>
  <c r="R210" i="20"/>
  <c r="S210" i="20"/>
  <c r="T210" i="20"/>
  <c r="U210" i="20"/>
  <c r="P211" i="20"/>
  <c r="Q211" i="20"/>
  <c r="R211" i="20"/>
  <c r="S211" i="20"/>
  <c r="T211" i="20"/>
  <c r="U211" i="20"/>
  <c r="P212" i="20"/>
  <c r="Q212" i="20"/>
  <c r="R212" i="20"/>
  <c r="S212" i="20"/>
  <c r="T212" i="20"/>
  <c r="U212" i="20"/>
  <c r="P213" i="20"/>
  <c r="Q213" i="20"/>
  <c r="R213" i="20"/>
  <c r="S213" i="20"/>
  <c r="T213" i="20"/>
  <c r="U213" i="20"/>
  <c r="P214" i="20"/>
  <c r="Q214" i="20"/>
  <c r="R214" i="20"/>
  <c r="S214" i="20"/>
  <c r="T214" i="20"/>
  <c r="U214" i="20"/>
  <c r="P215" i="20"/>
  <c r="Q215" i="20"/>
  <c r="R215" i="20"/>
  <c r="S215" i="20"/>
  <c r="T215" i="20"/>
  <c r="U215" i="20"/>
  <c r="P216" i="20"/>
  <c r="Q216" i="20"/>
  <c r="R216" i="20"/>
  <c r="S216" i="20"/>
  <c r="T216" i="20"/>
  <c r="U216" i="20"/>
  <c r="P217" i="20"/>
  <c r="Q217" i="20"/>
  <c r="R217" i="20"/>
  <c r="S217" i="20"/>
  <c r="T217" i="20"/>
  <c r="U217" i="20"/>
  <c r="P218" i="20"/>
  <c r="Q218" i="20"/>
  <c r="R218" i="20"/>
  <c r="S218" i="20"/>
  <c r="T218" i="20"/>
  <c r="U218" i="20"/>
  <c r="P219" i="20"/>
  <c r="Q219" i="20"/>
  <c r="R219" i="20"/>
  <c r="S219" i="20"/>
  <c r="T219" i="20"/>
  <c r="U219" i="20"/>
  <c r="P220" i="20"/>
  <c r="Q220" i="20"/>
  <c r="R220" i="20"/>
  <c r="S220" i="20"/>
  <c r="T220" i="20"/>
  <c r="U220" i="20"/>
  <c r="P221" i="20"/>
  <c r="Q221" i="20"/>
  <c r="R221" i="20"/>
  <c r="S221" i="20"/>
  <c r="T221" i="20"/>
  <c r="U221" i="20"/>
  <c r="P222" i="20"/>
  <c r="Q222" i="20"/>
  <c r="R222" i="20"/>
  <c r="S222" i="20"/>
  <c r="T222" i="20"/>
  <c r="U222" i="20"/>
  <c r="P223" i="20"/>
  <c r="Q223" i="20"/>
  <c r="R223" i="20"/>
  <c r="S223" i="20"/>
  <c r="T223" i="20"/>
  <c r="U223" i="20"/>
  <c r="P224" i="20"/>
  <c r="Q224" i="20"/>
  <c r="R224" i="20"/>
  <c r="S224" i="20"/>
  <c r="T224" i="20"/>
  <c r="U224" i="20"/>
  <c r="P225" i="20"/>
  <c r="Q225" i="20"/>
  <c r="R225" i="20"/>
  <c r="S225" i="20"/>
  <c r="T225" i="20"/>
  <c r="U225" i="20"/>
  <c r="P226" i="20"/>
  <c r="Q226" i="20"/>
  <c r="R226" i="20"/>
  <c r="S226" i="20"/>
  <c r="T226" i="20"/>
  <c r="U226" i="20"/>
  <c r="P227" i="20"/>
  <c r="Q227" i="20"/>
  <c r="R227" i="20"/>
  <c r="S227" i="20"/>
  <c r="T227" i="20"/>
  <c r="U227" i="20"/>
  <c r="P228" i="20"/>
  <c r="Q228" i="20"/>
  <c r="R228" i="20"/>
  <c r="S228" i="20"/>
  <c r="T228" i="20"/>
  <c r="U228" i="20"/>
  <c r="P229" i="20"/>
  <c r="Q229" i="20"/>
  <c r="R229" i="20"/>
  <c r="S229" i="20"/>
  <c r="T229" i="20"/>
  <c r="U229" i="20"/>
  <c r="P230" i="20"/>
  <c r="Q230" i="20"/>
  <c r="R230" i="20"/>
  <c r="S230" i="20"/>
  <c r="T230" i="20"/>
  <c r="U230" i="20"/>
  <c r="P231" i="20"/>
  <c r="Q231" i="20"/>
  <c r="R231" i="20"/>
  <c r="S231" i="20"/>
  <c r="T231" i="20"/>
  <c r="U231" i="20"/>
  <c r="P232" i="20"/>
  <c r="Q232" i="20"/>
  <c r="R232" i="20"/>
  <c r="S232" i="20"/>
  <c r="T232" i="20"/>
  <c r="U232" i="20"/>
  <c r="P233" i="20"/>
  <c r="Q233" i="20"/>
  <c r="R233" i="20"/>
  <c r="S233" i="20"/>
  <c r="T233" i="20"/>
  <c r="U233" i="20"/>
  <c r="P234" i="20"/>
  <c r="Q234" i="20"/>
  <c r="R234" i="20"/>
  <c r="S234" i="20"/>
  <c r="T234" i="20"/>
  <c r="U234" i="20"/>
  <c r="P235" i="20"/>
  <c r="Q235" i="20"/>
  <c r="R235" i="20"/>
  <c r="S235" i="20"/>
  <c r="T235" i="20"/>
  <c r="U235" i="20"/>
  <c r="P236" i="20"/>
  <c r="Q236" i="20"/>
  <c r="R236" i="20"/>
  <c r="S236" i="20"/>
  <c r="T236" i="20"/>
  <c r="U236" i="20"/>
  <c r="P237" i="20"/>
  <c r="Q237" i="20"/>
  <c r="R237" i="20"/>
  <c r="S237" i="20"/>
  <c r="T237" i="20"/>
  <c r="U237" i="20"/>
  <c r="P238" i="20"/>
  <c r="Q238" i="20"/>
  <c r="R238" i="20"/>
  <c r="S238" i="20"/>
  <c r="T238" i="20"/>
  <c r="U238" i="20"/>
  <c r="P239" i="20"/>
  <c r="Q239" i="20"/>
  <c r="R239" i="20"/>
  <c r="S239" i="20"/>
  <c r="T239" i="20"/>
  <c r="U239" i="20"/>
  <c r="P240" i="20"/>
  <c r="Q240" i="20"/>
  <c r="R240" i="20"/>
  <c r="S240" i="20"/>
  <c r="T240" i="20"/>
  <c r="U240" i="20"/>
  <c r="P241" i="20"/>
  <c r="Q241" i="20"/>
  <c r="R241" i="20"/>
  <c r="S241" i="20"/>
  <c r="T241" i="20"/>
  <c r="U241" i="20"/>
  <c r="P242" i="20"/>
  <c r="Q242" i="20"/>
  <c r="R242" i="20"/>
  <c r="S242" i="20"/>
  <c r="T242" i="20"/>
  <c r="U242" i="20"/>
  <c r="P243" i="20"/>
  <c r="Q243" i="20"/>
  <c r="R243" i="20"/>
  <c r="S243" i="20"/>
  <c r="T243" i="20"/>
  <c r="U243" i="20"/>
  <c r="P244" i="20"/>
  <c r="Q244" i="20"/>
  <c r="R244" i="20"/>
  <c r="S244" i="20"/>
  <c r="T244" i="20"/>
  <c r="U244" i="20"/>
  <c r="P245" i="20"/>
  <c r="Q245" i="20"/>
  <c r="R245" i="20"/>
  <c r="S245" i="20"/>
  <c r="T245" i="20"/>
  <c r="U245" i="20"/>
  <c r="P246" i="20"/>
  <c r="Q246" i="20"/>
  <c r="R246" i="20"/>
  <c r="S246" i="20"/>
  <c r="T246" i="20"/>
  <c r="U246" i="20"/>
  <c r="P247" i="20"/>
  <c r="Q247" i="20"/>
  <c r="R247" i="20"/>
  <c r="S247" i="20"/>
  <c r="T247" i="20"/>
  <c r="U247" i="20"/>
  <c r="P248" i="20"/>
  <c r="Q248" i="20"/>
  <c r="R248" i="20"/>
  <c r="S248" i="20"/>
  <c r="T248" i="20"/>
  <c r="U248" i="20"/>
  <c r="P249" i="20"/>
  <c r="Q249" i="20"/>
  <c r="R249" i="20"/>
  <c r="S249" i="20"/>
  <c r="T249" i="20"/>
  <c r="U249" i="20"/>
  <c r="P250" i="20"/>
  <c r="Q250" i="20"/>
  <c r="R250" i="20"/>
  <c r="S250" i="20"/>
  <c r="T250" i="20"/>
  <c r="U250" i="20"/>
  <c r="P251" i="20"/>
  <c r="Q251" i="20"/>
  <c r="R251" i="20"/>
  <c r="S251" i="20"/>
  <c r="T251" i="20"/>
  <c r="U251" i="20"/>
  <c r="P252" i="20"/>
  <c r="Q252" i="20"/>
  <c r="R252" i="20"/>
  <c r="S252" i="20"/>
  <c r="T252" i="20"/>
  <c r="U252" i="20"/>
  <c r="P253" i="20"/>
  <c r="Q253" i="20"/>
  <c r="R253" i="20"/>
  <c r="S253" i="20"/>
  <c r="T253" i="20"/>
  <c r="U253" i="20"/>
  <c r="P254" i="20"/>
  <c r="Q254" i="20"/>
  <c r="R254" i="20"/>
  <c r="S254" i="20"/>
  <c r="T254" i="20"/>
  <c r="U254" i="20"/>
  <c r="P255" i="20"/>
  <c r="Q255" i="20"/>
  <c r="R255" i="20"/>
  <c r="S255" i="20"/>
  <c r="T255" i="20"/>
  <c r="U255" i="20"/>
  <c r="P256" i="20"/>
  <c r="Q256" i="20"/>
  <c r="R256" i="20"/>
  <c r="S256" i="20"/>
  <c r="T256" i="20"/>
  <c r="U256" i="20"/>
  <c r="P257" i="20"/>
  <c r="Q257" i="20"/>
  <c r="R257" i="20"/>
  <c r="S257" i="20"/>
  <c r="T257" i="20"/>
  <c r="U257" i="20"/>
  <c r="P258" i="20"/>
  <c r="Q258" i="20"/>
  <c r="R258" i="20"/>
  <c r="S258" i="20"/>
  <c r="T258" i="20"/>
  <c r="U258" i="20"/>
  <c r="P259" i="20"/>
  <c r="Q259" i="20"/>
  <c r="R259" i="20"/>
  <c r="S259" i="20"/>
  <c r="T259" i="20"/>
  <c r="U259" i="20"/>
  <c r="P260" i="20"/>
  <c r="Q260" i="20"/>
  <c r="R260" i="20"/>
  <c r="S260" i="20"/>
  <c r="T260" i="20"/>
  <c r="U260" i="20"/>
  <c r="P261" i="20"/>
  <c r="Q261" i="20"/>
  <c r="R261" i="20"/>
  <c r="S261" i="20"/>
  <c r="T261" i="20"/>
  <c r="U261" i="20"/>
  <c r="P262" i="20"/>
  <c r="Q262" i="20"/>
  <c r="R262" i="20"/>
  <c r="S262" i="20"/>
  <c r="T262" i="20"/>
  <c r="U262" i="20"/>
  <c r="P263" i="20"/>
  <c r="Q263" i="20"/>
  <c r="R263" i="20"/>
  <c r="S263" i="20"/>
  <c r="T263" i="20"/>
  <c r="U263" i="20"/>
  <c r="P264" i="20"/>
  <c r="Q264" i="20"/>
  <c r="R264" i="20"/>
  <c r="S264" i="20"/>
  <c r="T264" i="20"/>
  <c r="U264" i="20"/>
  <c r="P265" i="20"/>
  <c r="Q265" i="20"/>
  <c r="R265" i="20"/>
  <c r="S265" i="20"/>
  <c r="T265" i="20"/>
  <c r="U265" i="20"/>
  <c r="P266" i="20"/>
  <c r="Q266" i="20"/>
  <c r="R266" i="20"/>
  <c r="S266" i="20"/>
  <c r="T266" i="20"/>
  <c r="U266" i="20"/>
  <c r="P267" i="20"/>
  <c r="Q267" i="20"/>
  <c r="R267" i="20"/>
  <c r="S267" i="20"/>
  <c r="T267" i="20"/>
  <c r="U267" i="20"/>
  <c r="P268" i="20"/>
  <c r="Q268" i="20"/>
  <c r="R268" i="20"/>
  <c r="S268" i="20"/>
  <c r="T268" i="20"/>
  <c r="U268" i="20"/>
  <c r="P269" i="20"/>
  <c r="Q269" i="20"/>
  <c r="R269" i="20"/>
  <c r="S269" i="20"/>
  <c r="T269" i="20"/>
  <c r="U269" i="20"/>
  <c r="P270" i="20"/>
  <c r="Q270" i="20"/>
  <c r="R270" i="20"/>
  <c r="S270" i="20"/>
  <c r="T270" i="20"/>
  <c r="U270" i="20"/>
  <c r="P271" i="20"/>
  <c r="Q271" i="20"/>
  <c r="R271" i="20"/>
  <c r="S271" i="20"/>
  <c r="T271" i="20"/>
  <c r="U271" i="20"/>
  <c r="P272" i="20"/>
  <c r="Q272" i="20"/>
  <c r="R272" i="20"/>
  <c r="S272" i="20"/>
  <c r="T272" i="20"/>
  <c r="U272" i="20"/>
  <c r="P273" i="20"/>
  <c r="Q273" i="20"/>
  <c r="R273" i="20"/>
  <c r="S273" i="20"/>
  <c r="T273" i="20"/>
  <c r="U273" i="20"/>
  <c r="P274" i="20"/>
  <c r="Q274" i="20"/>
  <c r="R274" i="20"/>
  <c r="S274" i="20"/>
  <c r="T274" i="20"/>
  <c r="U274" i="20"/>
  <c r="P275" i="20"/>
  <c r="Q275" i="20"/>
  <c r="R275" i="20"/>
  <c r="S275" i="20"/>
  <c r="T275" i="20"/>
  <c r="U275" i="20"/>
  <c r="P276" i="20"/>
  <c r="Q276" i="20"/>
  <c r="R276" i="20"/>
  <c r="S276" i="20"/>
  <c r="T276" i="20"/>
  <c r="U276" i="20"/>
  <c r="P277" i="20"/>
  <c r="Q277" i="20"/>
  <c r="R277" i="20"/>
  <c r="S277" i="20"/>
  <c r="T277" i="20"/>
  <c r="U277" i="20"/>
  <c r="P278" i="20"/>
  <c r="Q278" i="20"/>
  <c r="R278" i="20"/>
  <c r="S278" i="20"/>
  <c r="T278" i="20"/>
  <c r="U278" i="20"/>
  <c r="P279" i="20"/>
  <c r="Q279" i="20"/>
  <c r="R279" i="20"/>
  <c r="S279" i="20"/>
  <c r="T279" i="20"/>
  <c r="U279" i="20"/>
  <c r="P280" i="20"/>
  <c r="Q280" i="20"/>
  <c r="R280" i="20"/>
  <c r="S280" i="20"/>
  <c r="T280" i="20"/>
  <c r="U280" i="20"/>
  <c r="P281" i="20"/>
  <c r="Q281" i="20"/>
  <c r="R281" i="20"/>
  <c r="S281" i="20"/>
  <c r="T281" i="20"/>
  <c r="U281" i="20"/>
  <c r="P282" i="20"/>
  <c r="Q282" i="20"/>
  <c r="R282" i="20"/>
  <c r="S282" i="20"/>
  <c r="T282" i="20"/>
  <c r="U282" i="20"/>
  <c r="P283" i="20"/>
  <c r="Q283" i="20"/>
  <c r="R283" i="20"/>
  <c r="S283" i="20"/>
  <c r="T283" i="20"/>
  <c r="U283" i="20"/>
  <c r="P284" i="20"/>
  <c r="Q284" i="20"/>
  <c r="R284" i="20"/>
  <c r="S284" i="20"/>
  <c r="T284" i="20"/>
  <c r="U284" i="20"/>
  <c r="P285" i="20"/>
  <c r="Q285" i="20"/>
  <c r="R285" i="20"/>
  <c r="S285" i="20"/>
  <c r="T285" i="20"/>
  <c r="U285" i="20"/>
  <c r="P286" i="20"/>
  <c r="Q286" i="20"/>
  <c r="R286" i="20"/>
  <c r="S286" i="20"/>
  <c r="T286" i="20"/>
  <c r="U286" i="20"/>
  <c r="P287" i="20"/>
  <c r="Q287" i="20"/>
  <c r="R287" i="20"/>
  <c r="S287" i="20"/>
  <c r="T287" i="20"/>
  <c r="U287" i="20"/>
  <c r="P288" i="20"/>
  <c r="Q288" i="20"/>
  <c r="R288" i="20"/>
  <c r="S288" i="20"/>
  <c r="T288" i="20"/>
  <c r="U288" i="20"/>
  <c r="P289" i="20"/>
  <c r="Q289" i="20"/>
  <c r="R289" i="20"/>
  <c r="S289" i="20"/>
  <c r="T289" i="20"/>
  <c r="U289" i="20"/>
  <c r="P290" i="20"/>
  <c r="Q290" i="20"/>
  <c r="R290" i="20"/>
  <c r="S290" i="20"/>
  <c r="T290" i="20"/>
  <c r="U290" i="20"/>
  <c r="P291" i="20"/>
  <c r="Q291" i="20"/>
  <c r="R291" i="20"/>
  <c r="S291" i="20"/>
  <c r="T291" i="20"/>
  <c r="U291" i="20"/>
  <c r="P292" i="20"/>
  <c r="Q292" i="20"/>
  <c r="R292" i="20"/>
  <c r="S292" i="20"/>
  <c r="T292" i="20"/>
  <c r="U292" i="20"/>
  <c r="T34" i="11"/>
  <c r="T33" i="11"/>
  <c r="T32" i="11"/>
  <c r="T31" i="11"/>
  <c r="T30" i="11"/>
  <c r="T29" i="11"/>
  <c r="T28" i="11"/>
  <c r="T27" i="11"/>
  <c r="I15" i="11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3" i="20"/>
  <c r="N3" i="20" s="1"/>
  <c r="B2" i="9"/>
  <c r="D3" i="20"/>
  <c r="J20" i="11"/>
  <c r="B12" i="9"/>
  <c r="C11" i="9"/>
  <c r="B11" i="9"/>
  <c r="B10" i="9"/>
  <c r="B9" i="9"/>
  <c r="B8" i="9"/>
  <c r="B7" i="9"/>
  <c r="B6" i="9"/>
  <c r="B5" i="9"/>
  <c r="B4" i="9"/>
  <c r="P186" i="21" l="1"/>
  <c r="Q186" i="21"/>
  <c r="O186" i="21"/>
  <c r="L186" i="21"/>
  <c r="N186" i="21"/>
  <c r="K186" i="21"/>
  <c r="M186" i="21"/>
  <c r="K9" i="21"/>
  <c r="P9" i="21"/>
  <c r="N9" i="21"/>
  <c r="Q9" i="21"/>
  <c r="L9" i="21"/>
  <c r="O9" i="21"/>
  <c r="M9" i="21"/>
  <c r="L10" i="21"/>
  <c r="M10" i="21"/>
  <c r="Q10" i="21"/>
  <c r="N10" i="21"/>
  <c r="P10" i="21"/>
  <c r="K10" i="21"/>
  <c r="O10" i="21"/>
  <c r="M11" i="21"/>
  <c r="P11" i="21"/>
  <c r="O11" i="21"/>
  <c r="K11" i="21"/>
  <c r="N11" i="21"/>
  <c r="Q11" i="21"/>
  <c r="L11" i="21"/>
  <c r="O12" i="21"/>
  <c r="N12" i="21"/>
  <c r="Q12" i="21"/>
  <c r="M12" i="21"/>
  <c r="K12" i="21"/>
  <c r="P12" i="21"/>
  <c r="L12" i="21"/>
  <c r="M22" i="21"/>
  <c r="K22" i="21"/>
  <c r="O22" i="21"/>
  <c r="L22" i="21"/>
  <c r="Q22" i="21"/>
  <c r="P22" i="21"/>
  <c r="N22" i="21"/>
  <c r="O30" i="21"/>
  <c r="M30" i="21"/>
  <c r="P30" i="21"/>
  <c r="Q30" i="21"/>
  <c r="L30" i="21"/>
  <c r="N30" i="21"/>
  <c r="K30" i="21"/>
  <c r="O31" i="21"/>
  <c r="M31" i="21"/>
  <c r="N31" i="21"/>
  <c r="P31" i="21"/>
  <c r="L31" i="21"/>
  <c r="K31" i="21"/>
  <c r="Q31" i="21"/>
  <c r="P32" i="21"/>
  <c r="L32" i="21"/>
  <c r="Q32" i="21"/>
  <c r="N32" i="21"/>
  <c r="M32" i="21"/>
  <c r="K32" i="21"/>
  <c r="O32" i="21"/>
  <c r="K34" i="21"/>
  <c r="Q34" i="21"/>
  <c r="N34" i="21"/>
  <c r="P34" i="21"/>
  <c r="M34" i="21"/>
  <c r="L34" i="21"/>
  <c r="O34" i="21"/>
  <c r="M35" i="21"/>
  <c r="L35" i="21"/>
  <c r="O35" i="21"/>
  <c r="N35" i="21"/>
  <c r="K35" i="21"/>
  <c r="Q35" i="21"/>
  <c r="P35" i="21"/>
  <c r="N36" i="21"/>
  <c r="L36" i="21"/>
  <c r="O36" i="21"/>
  <c r="P36" i="21"/>
  <c r="M36" i="21"/>
  <c r="Q36" i="21"/>
  <c r="K36" i="21"/>
  <c r="K42" i="21"/>
  <c r="P42" i="21"/>
  <c r="L42" i="21"/>
  <c r="N42" i="21"/>
  <c r="Q42" i="21"/>
  <c r="M42" i="21"/>
  <c r="O42" i="21"/>
  <c r="N43" i="21"/>
  <c r="M43" i="21"/>
  <c r="Q43" i="21"/>
  <c r="AK43" i="21" s="1"/>
  <c r="O43" i="21"/>
  <c r="AI43" i="21" s="1"/>
  <c r="K43" i="21"/>
  <c r="P43" i="21"/>
  <c r="L43" i="21"/>
  <c r="O44" i="21"/>
  <c r="L44" i="21"/>
  <c r="N44" i="21"/>
  <c r="K44" i="21"/>
  <c r="M44" i="21"/>
  <c r="Q44" i="21"/>
  <c r="P44" i="21"/>
  <c r="P54" i="21"/>
  <c r="L54" i="21"/>
  <c r="M54" i="21"/>
  <c r="Q54" i="21"/>
  <c r="O54" i="21"/>
  <c r="K54" i="21"/>
  <c r="N54" i="21"/>
  <c r="N55" i="21"/>
  <c r="O55" i="21"/>
  <c r="K55" i="21"/>
  <c r="L55" i="21"/>
  <c r="Q55" i="21"/>
  <c r="P55" i="21"/>
  <c r="M55" i="21"/>
  <c r="N56" i="21"/>
  <c r="L56" i="21"/>
  <c r="Q56" i="21"/>
  <c r="P56" i="21"/>
  <c r="K56" i="21"/>
  <c r="O56" i="21"/>
  <c r="M56" i="21"/>
  <c r="N69" i="21"/>
  <c r="M69" i="21"/>
  <c r="K69" i="21"/>
  <c r="O69" i="21"/>
  <c r="P69" i="21"/>
  <c r="L69" i="21"/>
  <c r="Q69" i="21"/>
  <c r="O70" i="21"/>
  <c r="M70" i="21"/>
  <c r="L70" i="21"/>
  <c r="N70" i="21"/>
  <c r="K70" i="21"/>
  <c r="P70" i="21"/>
  <c r="Q70" i="21"/>
  <c r="N71" i="21"/>
  <c r="O71" i="21"/>
  <c r="K71" i="21"/>
  <c r="Q71" i="21"/>
  <c r="P71" i="21"/>
  <c r="M71" i="21"/>
  <c r="L71" i="21"/>
  <c r="M72" i="21"/>
  <c r="N72" i="21"/>
  <c r="K72" i="21"/>
  <c r="L72" i="21"/>
  <c r="O72" i="21"/>
  <c r="Q72" i="21"/>
  <c r="P72" i="21"/>
  <c r="N82" i="21"/>
  <c r="O82" i="21"/>
  <c r="M82" i="21"/>
  <c r="P82" i="21"/>
  <c r="Q82" i="21"/>
  <c r="K82" i="21"/>
  <c r="L82" i="21"/>
  <c r="P84" i="21"/>
  <c r="K84" i="21"/>
  <c r="Q84" i="21"/>
  <c r="L84" i="21"/>
  <c r="M84" i="21"/>
  <c r="N84" i="21"/>
  <c r="O84" i="21"/>
  <c r="O90" i="21"/>
  <c r="P90" i="21"/>
  <c r="M90" i="21"/>
  <c r="K90" i="21"/>
  <c r="N90" i="21"/>
  <c r="L90" i="21"/>
  <c r="Q90" i="21"/>
  <c r="P91" i="21"/>
  <c r="M91" i="21"/>
  <c r="K91" i="21"/>
  <c r="N91" i="21"/>
  <c r="L91" i="21"/>
  <c r="O91" i="21"/>
  <c r="Q91" i="21"/>
  <c r="L92" i="21"/>
  <c r="K92" i="21"/>
  <c r="N92" i="21"/>
  <c r="Q92" i="21"/>
  <c r="P92" i="21"/>
  <c r="M92" i="21"/>
  <c r="O92" i="21"/>
  <c r="P94" i="21"/>
  <c r="K94" i="21"/>
  <c r="M94" i="21"/>
  <c r="N94" i="21"/>
  <c r="L94" i="21"/>
  <c r="O94" i="21"/>
  <c r="Q94" i="21"/>
  <c r="M95" i="21"/>
  <c r="K95" i="21"/>
  <c r="AE95" i="21" s="1"/>
  <c r="Q95" i="21"/>
  <c r="N95" i="21"/>
  <c r="O95" i="21"/>
  <c r="P95" i="21"/>
  <c r="L95" i="21"/>
  <c r="M96" i="21"/>
  <c r="Q96" i="21"/>
  <c r="L96" i="21"/>
  <c r="O96" i="21"/>
  <c r="N96" i="21"/>
  <c r="P96" i="21"/>
  <c r="K96" i="21"/>
  <c r="O102" i="21"/>
  <c r="M102" i="21"/>
  <c r="L102" i="21"/>
  <c r="N102" i="21"/>
  <c r="K102" i="21"/>
  <c r="P102" i="21"/>
  <c r="Q102" i="21"/>
  <c r="O104" i="21"/>
  <c r="L104" i="21"/>
  <c r="M104" i="21"/>
  <c r="P104" i="21"/>
  <c r="K104" i="21"/>
  <c r="N104" i="21"/>
  <c r="Q104" i="21"/>
  <c r="K115" i="21"/>
  <c r="O115" i="21"/>
  <c r="M115" i="21"/>
  <c r="P115" i="21"/>
  <c r="L115" i="21"/>
  <c r="Q115" i="21"/>
  <c r="N115" i="21"/>
  <c r="L116" i="21"/>
  <c r="M116" i="21"/>
  <c r="O116" i="21"/>
  <c r="N116" i="21"/>
  <c r="Q116" i="21"/>
  <c r="P116" i="21"/>
  <c r="K116" i="21"/>
  <c r="L126" i="21"/>
  <c r="O126" i="21"/>
  <c r="K126" i="21"/>
  <c r="N126" i="21"/>
  <c r="Q126" i="21"/>
  <c r="P126" i="21"/>
  <c r="M126" i="21"/>
  <c r="O129" i="21"/>
  <c r="Q129" i="21"/>
  <c r="L129" i="21"/>
  <c r="K129" i="21"/>
  <c r="N129" i="21"/>
  <c r="P129" i="21"/>
  <c r="M129" i="21"/>
  <c r="L130" i="21"/>
  <c r="N130" i="21"/>
  <c r="O130" i="21"/>
  <c r="P130" i="21"/>
  <c r="Q130" i="21"/>
  <c r="M130" i="21"/>
  <c r="K130" i="21"/>
  <c r="M131" i="21"/>
  <c r="P131" i="21"/>
  <c r="Q131" i="21"/>
  <c r="N131" i="21"/>
  <c r="L131" i="21"/>
  <c r="K131" i="21"/>
  <c r="O131" i="21"/>
  <c r="P132" i="21"/>
  <c r="N132" i="21"/>
  <c r="K132" i="21"/>
  <c r="L132" i="21"/>
  <c r="Q132" i="21"/>
  <c r="O132" i="21"/>
  <c r="M132" i="21"/>
  <c r="M142" i="21"/>
  <c r="N142" i="21"/>
  <c r="K142" i="21"/>
  <c r="O142" i="21"/>
  <c r="Q142" i="21"/>
  <c r="P142" i="21"/>
  <c r="L142" i="21"/>
  <c r="O144" i="21"/>
  <c r="K144" i="21"/>
  <c r="M144" i="21"/>
  <c r="N144" i="21"/>
  <c r="Q144" i="21"/>
  <c r="L144" i="21"/>
  <c r="P144" i="21"/>
  <c r="M150" i="21"/>
  <c r="O150" i="21"/>
  <c r="P150" i="21"/>
  <c r="Q150" i="21"/>
  <c r="N150" i="21"/>
  <c r="K150" i="21"/>
  <c r="L150" i="21"/>
  <c r="L151" i="21"/>
  <c r="K151" i="21"/>
  <c r="N151" i="21"/>
  <c r="P151" i="21"/>
  <c r="Q151" i="21"/>
  <c r="O151" i="21"/>
  <c r="M151" i="21"/>
  <c r="N152" i="21"/>
  <c r="L152" i="21"/>
  <c r="K152" i="21"/>
  <c r="Q152" i="21"/>
  <c r="M152" i="21"/>
  <c r="O152" i="21"/>
  <c r="P152" i="21"/>
  <c r="M154" i="21"/>
  <c r="K154" i="21"/>
  <c r="L154" i="21"/>
  <c r="Q154" i="21"/>
  <c r="N154" i="21"/>
  <c r="P154" i="21"/>
  <c r="O154" i="21"/>
  <c r="Q155" i="21"/>
  <c r="K155" i="21"/>
  <c r="M155" i="21"/>
  <c r="N155" i="21"/>
  <c r="P155" i="21"/>
  <c r="O155" i="21"/>
  <c r="L155" i="21"/>
  <c r="P156" i="21"/>
  <c r="K156" i="21"/>
  <c r="N156" i="21"/>
  <c r="O156" i="21"/>
  <c r="L156" i="21"/>
  <c r="M156" i="21"/>
  <c r="Q156" i="21"/>
  <c r="L162" i="21"/>
  <c r="M162" i="21"/>
  <c r="N162" i="21"/>
  <c r="O162" i="21"/>
  <c r="K162" i="21"/>
  <c r="Q162" i="21"/>
  <c r="P162" i="21"/>
  <c r="K164" i="21"/>
  <c r="P164" i="21"/>
  <c r="M164" i="21"/>
  <c r="Q164" i="21"/>
  <c r="O164" i="21"/>
  <c r="L164" i="21"/>
  <c r="N164" i="21"/>
  <c r="Q174" i="21"/>
  <c r="P174" i="21"/>
  <c r="O174" i="21"/>
  <c r="L174" i="21"/>
  <c r="M174" i="21"/>
  <c r="K174" i="21"/>
  <c r="N174" i="21"/>
  <c r="P175" i="21"/>
  <c r="L175" i="21"/>
  <c r="K175" i="21"/>
  <c r="Q175" i="21"/>
  <c r="N175" i="21"/>
  <c r="M175" i="21"/>
  <c r="O175" i="21"/>
  <c r="L176" i="21"/>
  <c r="N176" i="21"/>
  <c r="M176" i="21"/>
  <c r="K176" i="21"/>
  <c r="P176" i="21"/>
  <c r="Q176" i="21"/>
  <c r="O176" i="21"/>
  <c r="K190" i="21"/>
  <c r="L190" i="21"/>
  <c r="O190" i="21"/>
  <c r="N190" i="21"/>
  <c r="Q190" i="21"/>
  <c r="M190" i="21"/>
  <c r="P190" i="21"/>
  <c r="Q191" i="21"/>
  <c r="O191" i="21"/>
  <c r="N191" i="21"/>
  <c r="L191" i="21"/>
  <c r="P191" i="21"/>
  <c r="K191" i="21"/>
  <c r="M191" i="21"/>
  <c r="Q192" i="21"/>
  <c r="O192" i="21"/>
  <c r="K192" i="21"/>
  <c r="N192" i="21"/>
  <c r="M192" i="21"/>
  <c r="L192" i="21"/>
  <c r="P192" i="21"/>
  <c r="P202" i="21"/>
  <c r="M202" i="21"/>
  <c r="O202" i="21"/>
  <c r="N202" i="21"/>
  <c r="L202" i="21"/>
  <c r="K202" i="21"/>
  <c r="Q202" i="21"/>
  <c r="O204" i="21"/>
  <c r="P204" i="21"/>
  <c r="L204" i="21"/>
  <c r="Q204" i="21"/>
  <c r="M204" i="21"/>
  <c r="K204" i="21"/>
  <c r="N204" i="21"/>
  <c r="M210" i="21"/>
  <c r="N210" i="21"/>
  <c r="Q210" i="21"/>
  <c r="K210" i="21"/>
  <c r="L210" i="21"/>
  <c r="P210" i="21"/>
  <c r="O210" i="21"/>
  <c r="Q211" i="21"/>
  <c r="P211" i="21"/>
  <c r="L211" i="21"/>
  <c r="M211" i="21"/>
  <c r="N211" i="21"/>
  <c r="O211" i="21"/>
  <c r="K211" i="21"/>
  <c r="O212" i="21"/>
  <c r="L212" i="21"/>
  <c r="Q212" i="21"/>
  <c r="P212" i="21"/>
  <c r="M212" i="21"/>
  <c r="K212" i="21"/>
  <c r="N212" i="21"/>
  <c r="O214" i="21"/>
  <c r="N214" i="21"/>
  <c r="L214" i="21"/>
  <c r="P214" i="21"/>
  <c r="M214" i="21"/>
  <c r="Q214" i="21"/>
  <c r="K214" i="21"/>
  <c r="O215" i="21"/>
  <c r="Q215" i="21"/>
  <c r="M215" i="21"/>
  <c r="N215" i="21"/>
  <c r="L215" i="21"/>
  <c r="P215" i="21"/>
  <c r="K215" i="21"/>
  <c r="K216" i="21"/>
  <c r="Q216" i="21"/>
  <c r="O216" i="21"/>
  <c r="M216" i="21"/>
  <c r="L216" i="21"/>
  <c r="P216" i="21"/>
  <c r="N216" i="21"/>
  <c r="P222" i="21"/>
  <c r="N222" i="21"/>
  <c r="O222" i="21"/>
  <c r="L222" i="21"/>
  <c r="M222" i="21"/>
  <c r="K222" i="21"/>
  <c r="Q222" i="21"/>
  <c r="M224" i="21"/>
  <c r="Q224" i="21"/>
  <c r="P224" i="21"/>
  <c r="K224" i="21"/>
  <c r="N224" i="21"/>
  <c r="L224" i="21"/>
  <c r="O224" i="21"/>
  <c r="L225" i="21"/>
  <c r="Q225" i="21"/>
  <c r="K225" i="21"/>
  <c r="M225" i="21"/>
  <c r="P225" i="21"/>
  <c r="N225" i="21"/>
  <c r="O225" i="21"/>
  <c r="O234" i="21"/>
  <c r="L234" i="21"/>
  <c r="P234" i="21"/>
  <c r="Q234" i="21"/>
  <c r="K234" i="21"/>
  <c r="N234" i="21"/>
  <c r="M234" i="21"/>
  <c r="K235" i="21"/>
  <c r="P235" i="21"/>
  <c r="O235" i="21"/>
  <c r="Q235" i="21"/>
  <c r="M235" i="21"/>
  <c r="N235" i="21"/>
  <c r="L235" i="21"/>
  <c r="O236" i="21"/>
  <c r="N236" i="21"/>
  <c r="P236" i="21"/>
  <c r="M236" i="21"/>
  <c r="K236" i="21"/>
  <c r="Q236" i="21"/>
  <c r="L236" i="21"/>
  <c r="M246" i="21"/>
  <c r="K246" i="21"/>
  <c r="P246" i="21"/>
  <c r="Q246" i="21"/>
  <c r="L246" i="21"/>
  <c r="N246" i="21"/>
  <c r="O246" i="21"/>
  <c r="Q250" i="21"/>
  <c r="P250" i="21"/>
  <c r="L250" i="21"/>
  <c r="N250" i="21"/>
  <c r="K250" i="21"/>
  <c r="O250" i="21"/>
  <c r="M250" i="21"/>
  <c r="P251" i="21"/>
  <c r="L251" i="21"/>
  <c r="O251" i="21"/>
  <c r="N251" i="21"/>
  <c r="Q251" i="21"/>
  <c r="K251" i="21"/>
  <c r="M251" i="21"/>
  <c r="N252" i="21"/>
  <c r="M252" i="21"/>
  <c r="O252" i="21"/>
  <c r="K252" i="21"/>
  <c r="L252" i="21"/>
  <c r="Q252" i="21"/>
  <c r="P252" i="21"/>
  <c r="Q262" i="21"/>
  <c r="P262" i="21"/>
  <c r="O262" i="21"/>
  <c r="L262" i="21"/>
  <c r="M262" i="21"/>
  <c r="K262" i="21"/>
  <c r="N262" i="21"/>
  <c r="O264" i="21"/>
  <c r="M264" i="21"/>
  <c r="L264" i="21"/>
  <c r="K264" i="21"/>
  <c r="N264" i="21"/>
  <c r="Q264" i="21"/>
  <c r="P264" i="21"/>
  <c r="K270" i="21"/>
  <c r="P270" i="21"/>
  <c r="N270" i="21"/>
  <c r="L270" i="21"/>
  <c r="M270" i="21"/>
  <c r="Q270" i="21"/>
  <c r="O270" i="21"/>
  <c r="M271" i="21"/>
  <c r="L271" i="21"/>
  <c r="N271" i="21"/>
  <c r="O271" i="21"/>
  <c r="P271" i="21"/>
  <c r="Q271" i="21"/>
  <c r="K271" i="21"/>
  <c r="M272" i="21"/>
  <c r="L272" i="21"/>
  <c r="Q272" i="21"/>
  <c r="K272" i="21"/>
  <c r="N272" i="21"/>
  <c r="P272" i="21"/>
  <c r="O272" i="21"/>
  <c r="M273" i="21"/>
  <c r="N273" i="21"/>
  <c r="L273" i="21"/>
  <c r="Q273" i="21"/>
  <c r="O273" i="21"/>
  <c r="K273" i="21"/>
  <c r="P273" i="21"/>
  <c r="K274" i="21"/>
  <c r="L274" i="21"/>
  <c r="Q274" i="21"/>
  <c r="P274" i="21"/>
  <c r="M274" i="21"/>
  <c r="N274" i="21"/>
  <c r="O274" i="21"/>
  <c r="Q275" i="21"/>
  <c r="M275" i="21"/>
  <c r="O275" i="21"/>
  <c r="K275" i="21"/>
  <c r="P275" i="21"/>
  <c r="N275" i="21"/>
  <c r="L275" i="21"/>
  <c r="L276" i="21"/>
  <c r="P276" i="21"/>
  <c r="M276" i="21"/>
  <c r="O276" i="21"/>
  <c r="Q276" i="21"/>
  <c r="N276" i="21"/>
  <c r="K276" i="21"/>
  <c r="P277" i="21"/>
  <c r="N277" i="21"/>
  <c r="O277" i="21"/>
  <c r="M277" i="21"/>
  <c r="K277" i="21"/>
  <c r="Q277" i="21"/>
  <c r="L277" i="21"/>
  <c r="M278" i="21"/>
  <c r="L278" i="21"/>
  <c r="K278" i="21"/>
  <c r="N278" i="21"/>
  <c r="O278" i="21"/>
  <c r="P278" i="21"/>
  <c r="Q278" i="21"/>
  <c r="O280" i="21"/>
  <c r="L280" i="21"/>
  <c r="N280" i="21"/>
  <c r="P280" i="21"/>
  <c r="K280" i="21"/>
  <c r="M280" i="21"/>
  <c r="Q280" i="21"/>
  <c r="N281" i="21"/>
  <c r="Q281" i="21"/>
  <c r="M281" i="21"/>
  <c r="K281" i="21"/>
  <c r="O281" i="21"/>
  <c r="L281" i="21"/>
  <c r="P281" i="21"/>
  <c r="L282" i="21"/>
  <c r="M282" i="21"/>
  <c r="N282" i="21"/>
  <c r="K282" i="21"/>
  <c r="Q282" i="21"/>
  <c r="O282" i="21"/>
  <c r="P282" i="21"/>
  <c r="Q283" i="21"/>
  <c r="K283" i="21"/>
  <c r="L283" i="21"/>
  <c r="P283" i="21"/>
  <c r="O283" i="21"/>
  <c r="M283" i="21"/>
  <c r="N283" i="21"/>
  <c r="P284" i="21"/>
  <c r="M284" i="21"/>
  <c r="K284" i="21"/>
  <c r="N284" i="21"/>
  <c r="Q284" i="21"/>
  <c r="L284" i="21"/>
  <c r="O284" i="21"/>
  <c r="O285" i="21"/>
  <c r="P285" i="21"/>
  <c r="M285" i="21"/>
  <c r="Q285" i="21"/>
  <c r="K285" i="21"/>
  <c r="N285" i="21"/>
  <c r="L285" i="21"/>
  <c r="P286" i="21"/>
  <c r="K286" i="21"/>
  <c r="M286" i="21"/>
  <c r="O286" i="21"/>
  <c r="L286" i="21"/>
  <c r="Q286" i="21"/>
  <c r="N286" i="21"/>
  <c r="L287" i="21"/>
  <c r="Q287" i="21"/>
  <c r="M287" i="21"/>
  <c r="K287" i="21"/>
  <c r="P287" i="21"/>
  <c r="N287" i="21"/>
  <c r="O287" i="21"/>
  <c r="M288" i="21"/>
  <c r="O288" i="21"/>
  <c r="K288" i="21"/>
  <c r="L288" i="21"/>
  <c r="N288" i="21"/>
  <c r="P288" i="21"/>
  <c r="Q288" i="21"/>
  <c r="N289" i="21"/>
  <c r="O289" i="21"/>
  <c r="L289" i="21"/>
  <c r="M289" i="21"/>
  <c r="K289" i="21"/>
  <c r="Q289" i="21"/>
  <c r="P289" i="21"/>
  <c r="P290" i="21"/>
  <c r="O290" i="21"/>
  <c r="K290" i="21"/>
  <c r="L290" i="21"/>
  <c r="M290" i="21"/>
  <c r="Q290" i="21"/>
  <c r="N290" i="21"/>
  <c r="K292" i="21"/>
  <c r="Q292" i="21"/>
  <c r="M292" i="21"/>
  <c r="P292" i="21"/>
  <c r="N292" i="21"/>
  <c r="O292" i="21"/>
  <c r="L292" i="21"/>
  <c r="N3" i="21"/>
  <c r="K3" i="21"/>
  <c r="M3" i="21"/>
  <c r="P3" i="21"/>
  <c r="L3" i="21"/>
  <c r="Q3" i="21"/>
  <c r="O3" i="21"/>
  <c r="K3" i="20"/>
  <c r="J3" i="20"/>
  <c r="L3" i="20"/>
  <c r="M3" i="20"/>
  <c r="AH192" i="21" l="1"/>
  <c r="AE91" i="21"/>
  <c r="AI34" i="21"/>
  <c r="AK30" i="21"/>
  <c r="AJ174" i="21"/>
  <c r="AG154" i="21"/>
  <c r="AH190" i="21"/>
  <c r="AG175" i="21"/>
  <c r="AL175" i="21" s="1"/>
  <c r="AJ155" i="21"/>
  <c r="AK84" i="21"/>
  <c r="AG69" i="21"/>
  <c r="AK44" i="21"/>
  <c r="AI36" i="21"/>
  <c r="AK31" i="21"/>
  <c r="AG162" i="21"/>
  <c r="AK95" i="21"/>
  <c r="AL95" i="21" s="1"/>
  <c r="AK90" i="21"/>
  <c r="AE84" i="21"/>
  <c r="AI42" i="21"/>
  <c r="AI30" i="21"/>
  <c r="AL224" i="21"/>
  <c r="AG155" i="21"/>
  <c r="AI116" i="21"/>
  <c r="AE96" i="21"/>
  <c r="AL96" i="21" s="1"/>
  <c r="AK92" i="21"/>
  <c r="AG56" i="21"/>
  <c r="AH202" i="21"/>
  <c r="AL202" i="21" s="1"/>
  <c r="AK42" i="21"/>
  <c r="AK34" i="21"/>
  <c r="AH186" i="21"/>
  <c r="AL222" i="21"/>
  <c r="AG156" i="21"/>
  <c r="AK94" i="21"/>
  <c r="AE92" i="21"/>
  <c r="AE90" i="21"/>
  <c r="AE82" i="21"/>
  <c r="AG72" i="21"/>
  <c r="AK35" i="21"/>
  <c r="AJ175" i="21"/>
  <c r="AG164" i="21"/>
  <c r="AH115" i="21"/>
  <c r="AK82" i="21"/>
  <c r="AG70" i="21"/>
  <c r="AI44" i="21"/>
  <c r="AI32" i="21"/>
  <c r="AH191" i="21"/>
  <c r="AJ176" i="21"/>
  <c r="AJ164" i="21"/>
  <c r="AJ154" i="21"/>
  <c r="AI104" i="21"/>
  <c r="AK91" i="21"/>
  <c r="AG71" i="21"/>
  <c r="AI31" i="21"/>
  <c r="AL225" i="21"/>
  <c r="AK102" i="21"/>
  <c r="AK96" i="21"/>
  <c r="AI35" i="21"/>
  <c r="AJ186" i="21"/>
  <c r="AG176" i="21"/>
  <c r="AG174" i="21"/>
  <c r="AL174" i="21" s="1"/>
  <c r="AJ162" i="21"/>
  <c r="AI126" i="21"/>
  <c r="AL126" i="21" s="1"/>
  <c r="AG54" i="21"/>
  <c r="AJ156" i="21"/>
  <c r="AE102" i="21"/>
  <c r="AL102" i="21" s="1"/>
  <c r="AE94" i="21"/>
  <c r="AL94" i="21" s="1"/>
  <c r="AG55" i="21"/>
  <c r="AK36" i="21"/>
  <c r="AK32" i="21"/>
  <c r="L136" i="21"/>
  <c r="K136" i="21"/>
  <c r="P136" i="21"/>
  <c r="Q136" i="21"/>
  <c r="N136" i="21"/>
  <c r="O136" i="21"/>
  <c r="M136" i="21"/>
  <c r="K64" i="21"/>
  <c r="M64" i="21"/>
  <c r="P64" i="21"/>
  <c r="Q64" i="21"/>
  <c r="O64" i="21"/>
  <c r="N64" i="21"/>
  <c r="L64" i="21"/>
  <c r="P112" i="21"/>
  <c r="Q112" i="21"/>
  <c r="M112" i="21"/>
  <c r="L112" i="21"/>
  <c r="O112" i="21"/>
  <c r="N112" i="21"/>
  <c r="K112" i="21"/>
  <c r="O256" i="21"/>
  <c r="P256" i="21"/>
  <c r="L256" i="21"/>
  <c r="K256" i="21"/>
  <c r="M256" i="21"/>
  <c r="Q256" i="21"/>
  <c r="N256" i="21"/>
  <c r="K184" i="21"/>
  <c r="P184" i="21"/>
  <c r="N184" i="21"/>
  <c r="M184" i="21"/>
  <c r="O184" i="21"/>
  <c r="L184" i="21"/>
  <c r="Q184" i="21"/>
  <c r="N76" i="21"/>
  <c r="K76" i="21"/>
  <c r="Q76" i="21"/>
  <c r="P76" i="21"/>
  <c r="M76" i="21"/>
  <c r="AG76" i="21" s="1"/>
  <c r="O76" i="21"/>
  <c r="L76" i="21"/>
  <c r="N189" i="21"/>
  <c r="P189" i="21"/>
  <c r="K189" i="21"/>
  <c r="O189" i="21"/>
  <c r="M189" i="21"/>
  <c r="L189" i="21"/>
  <c r="Q189" i="21"/>
  <c r="N52" i="21"/>
  <c r="K52" i="21"/>
  <c r="M52" i="21"/>
  <c r="P52" i="21"/>
  <c r="L52" i="21"/>
  <c r="Q52" i="21"/>
  <c r="O52" i="21"/>
  <c r="O249" i="21"/>
  <c r="L249" i="21"/>
  <c r="K249" i="21"/>
  <c r="Q249" i="21"/>
  <c r="P249" i="21"/>
  <c r="N249" i="21"/>
  <c r="M249" i="21"/>
  <c r="L124" i="21"/>
  <c r="O124" i="21"/>
  <c r="P124" i="21"/>
  <c r="N124" i="21"/>
  <c r="Q124" i="21"/>
  <c r="K124" i="21"/>
  <c r="M124" i="21"/>
  <c r="Q232" i="21"/>
  <c r="L232" i="21"/>
  <c r="P232" i="21"/>
  <c r="O232" i="21"/>
  <c r="M232" i="21"/>
  <c r="N232" i="21"/>
  <c r="K232" i="21"/>
  <c r="O165" i="21"/>
  <c r="P165" i="21"/>
  <c r="AJ165" i="21" s="1"/>
  <c r="M165" i="21"/>
  <c r="N165" i="21"/>
  <c r="K165" i="21"/>
  <c r="L165" i="21"/>
  <c r="Q165" i="21"/>
  <c r="P16" i="21"/>
  <c r="Q16" i="21"/>
  <c r="L16" i="21"/>
  <c r="M16" i="21"/>
  <c r="O16" i="21"/>
  <c r="K16" i="21"/>
  <c r="N16" i="21"/>
  <c r="K172" i="21"/>
  <c r="O172" i="21"/>
  <c r="N172" i="21"/>
  <c r="M172" i="21"/>
  <c r="P172" i="21"/>
  <c r="Q172" i="21"/>
  <c r="L172" i="21"/>
  <c r="Q244" i="21"/>
  <c r="O244" i="21"/>
  <c r="P244" i="21"/>
  <c r="K244" i="21"/>
  <c r="L244" i="21"/>
  <c r="N244" i="21"/>
  <c r="M244" i="21"/>
  <c r="P196" i="21"/>
  <c r="K196" i="21"/>
  <c r="N196" i="21"/>
  <c r="L196" i="21"/>
  <c r="M196" i="21"/>
  <c r="O196" i="21"/>
  <c r="Q196" i="21"/>
  <c r="P220" i="21"/>
  <c r="N220" i="21"/>
  <c r="O220" i="21"/>
  <c r="M220" i="21"/>
  <c r="K220" i="21"/>
  <c r="L220" i="21"/>
  <c r="Q220" i="21"/>
  <c r="P88" i="21"/>
  <c r="N88" i="21"/>
  <c r="O88" i="21"/>
  <c r="Q88" i="21"/>
  <c r="L88" i="21"/>
  <c r="K88" i="21"/>
  <c r="M88" i="21"/>
  <c r="O230" i="21"/>
  <c r="Q230" i="21"/>
  <c r="N230" i="21"/>
  <c r="K230" i="21"/>
  <c r="P230" i="21"/>
  <c r="L230" i="21"/>
  <c r="M230" i="21"/>
  <c r="L194" i="21"/>
  <c r="Q194" i="21"/>
  <c r="N194" i="21"/>
  <c r="K194" i="21"/>
  <c r="O194" i="21"/>
  <c r="M194" i="21"/>
  <c r="P194" i="21"/>
  <c r="L170" i="21"/>
  <c r="Q170" i="21"/>
  <c r="O170" i="21"/>
  <c r="N170" i="21"/>
  <c r="M170" i="21"/>
  <c r="P170" i="21"/>
  <c r="K170" i="21"/>
  <c r="P149" i="21"/>
  <c r="L149" i="21"/>
  <c r="N149" i="21"/>
  <c r="K149" i="21"/>
  <c r="M149" i="21"/>
  <c r="O149" i="21"/>
  <c r="Q149" i="21"/>
  <c r="M74" i="21"/>
  <c r="L74" i="21"/>
  <c r="O74" i="21"/>
  <c r="N74" i="21"/>
  <c r="K74" i="21"/>
  <c r="Q74" i="21"/>
  <c r="P74" i="21"/>
  <c r="O110" i="21"/>
  <c r="M110" i="21"/>
  <c r="P110" i="21"/>
  <c r="K110" i="21"/>
  <c r="Q110" i="21"/>
  <c r="N110" i="21"/>
  <c r="L110" i="21"/>
  <c r="K14" i="21"/>
  <c r="M14" i="21"/>
  <c r="N14" i="21"/>
  <c r="L14" i="21"/>
  <c r="Q14" i="21"/>
  <c r="O14" i="21"/>
  <c r="P14" i="21"/>
  <c r="M122" i="21"/>
  <c r="O122" i="21"/>
  <c r="L122" i="21"/>
  <c r="N122" i="21"/>
  <c r="Q122" i="21"/>
  <c r="P122" i="21"/>
  <c r="K122" i="21"/>
  <c r="N50" i="21"/>
  <c r="P50" i="21"/>
  <c r="M50" i="21"/>
  <c r="Q50" i="21"/>
  <c r="L50" i="21"/>
  <c r="K50" i="21"/>
  <c r="O50" i="21"/>
  <c r="Q29" i="21"/>
  <c r="K29" i="21"/>
  <c r="N29" i="21"/>
  <c r="O29" i="21"/>
  <c r="M29" i="21"/>
  <c r="L29" i="21"/>
  <c r="P29" i="21"/>
  <c r="N245" i="21"/>
  <c r="P245" i="21"/>
  <c r="M245" i="21"/>
  <c r="L245" i="21"/>
  <c r="O245" i="21"/>
  <c r="K245" i="21"/>
  <c r="Q245" i="21"/>
  <c r="K209" i="21"/>
  <c r="Q209" i="21"/>
  <c r="N209" i="21"/>
  <c r="M209" i="21"/>
  <c r="L209" i="21"/>
  <c r="O209" i="21"/>
  <c r="P209" i="21"/>
  <c r="K26" i="21"/>
  <c r="Q26" i="21"/>
  <c r="P26" i="21"/>
  <c r="O26" i="21"/>
  <c r="L26" i="21"/>
  <c r="M26" i="21"/>
  <c r="N26" i="21"/>
  <c r="Q266" i="21"/>
  <c r="K266" i="21"/>
  <c r="P266" i="21"/>
  <c r="L266" i="21"/>
  <c r="M266" i="21"/>
  <c r="O266" i="21"/>
  <c r="N266" i="21"/>
  <c r="M206" i="21"/>
  <c r="K206" i="21"/>
  <c r="Q206" i="21"/>
  <c r="L206" i="21"/>
  <c r="O206" i="21"/>
  <c r="P206" i="21"/>
  <c r="N206" i="21"/>
  <c r="Q182" i="21"/>
  <c r="P182" i="21"/>
  <c r="M182" i="21"/>
  <c r="N182" i="21"/>
  <c r="O182" i="21"/>
  <c r="L182" i="21"/>
  <c r="K182" i="21"/>
  <c r="N134" i="21"/>
  <c r="O134" i="21"/>
  <c r="Q134" i="21"/>
  <c r="K134" i="21"/>
  <c r="L134" i="21"/>
  <c r="M134" i="21"/>
  <c r="P134" i="21"/>
  <c r="O146" i="21"/>
  <c r="Q146" i="21"/>
  <c r="P146" i="21"/>
  <c r="K146" i="21"/>
  <c r="M146" i="21"/>
  <c r="L146" i="21"/>
  <c r="N146" i="21"/>
  <c r="P254" i="21"/>
  <c r="M254" i="21"/>
  <c r="K254" i="21"/>
  <c r="N254" i="21"/>
  <c r="Q254" i="21"/>
  <c r="L254" i="21"/>
  <c r="O254" i="21"/>
  <c r="O98" i="21"/>
  <c r="N98" i="21"/>
  <c r="K98" i="21"/>
  <c r="P98" i="21"/>
  <c r="Q98" i="21"/>
  <c r="M98" i="21"/>
  <c r="L98" i="21"/>
  <c r="M62" i="21"/>
  <c r="L62" i="21"/>
  <c r="N62" i="21"/>
  <c r="Q62" i="21"/>
  <c r="O62" i="21"/>
  <c r="K62" i="21"/>
  <c r="P62" i="21"/>
  <c r="O242" i="21"/>
  <c r="P242" i="21"/>
  <c r="K242" i="21"/>
  <c r="L242" i="21"/>
  <c r="M242" i="21"/>
  <c r="N242" i="21"/>
  <c r="Q242" i="21"/>
  <c r="N86" i="21"/>
  <c r="P86" i="21"/>
  <c r="Q86" i="21"/>
  <c r="L86" i="21"/>
  <c r="K86" i="21"/>
  <c r="O86" i="21"/>
  <c r="M86" i="21"/>
  <c r="Q218" i="21"/>
  <c r="M218" i="21"/>
  <c r="P218" i="21"/>
  <c r="L218" i="21"/>
  <c r="N218" i="21"/>
  <c r="O218" i="21"/>
  <c r="K218" i="21"/>
  <c r="Q197" i="21"/>
  <c r="O197" i="21"/>
  <c r="P197" i="21"/>
  <c r="L197" i="21"/>
  <c r="N197" i="21"/>
  <c r="K197" i="21"/>
  <c r="M197" i="21"/>
  <c r="Q133" i="21"/>
  <c r="M133" i="21"/>
  <c r="P133" i="21"/>
  <c r="N133" i="21"/>
  <c r="O133" i="21"/>
  <c r="K133" i="21"/>
  <c r="L133" i="21"/>
  <c r="O77" i="21"/>
  <c r="N77" i="21"/>
  <c r="Q77" i="21"/>
  <c r="K77" i="21"/>
  <c r="P77" i="21"/>
  <c r="L77" i="21"/>
  <c r="M77" i="21"/>
  <c r="K269" i="21"/>
  <c r="O269" i="21"/>
  <c r="Q269" i="21"/>
  <c r="L269" i="21"/>
  <c r="M269" i="21"/>
  <c r="N269" i="21"/>
  <c r="P269" i="21"/>
  <c r="P173" i="21"/>
  <c r="Q173" i="21"/>
  <c r="M173" i="21"/>
  <c r="K173" i="21"/>
  <c r="N173" i="21"/>
  <c r="L173" i="21"/>
  <c r="O173" i="21"/>
  <c r="L265" i="21"/>
  <c r="P265" i="21"/>
  <c r="K265" i="21"/>
  <c r="M265" i="21"/>
  <c r="N265" i="21"/>
  <c r="Q265" i="21"/>
  <c r="O265" i="21"/>
  <c r="M89" i="21"/>
  <c r="N89" i="21"/>
  <c r="K89" i="21"/>
  <c r="P89" i="21"/>
  <c r="O89" i="21"/>
  <c r="L89" i="21"/>
  <c r="Q89" i="21"/>
  <c r="M49" i="21"/>
  <c r="K49" i="21"/>
  <c r="N49" i="21"/>
  <c r="L49" i="21"/>
  <c r="Q49" i="21"/>
  <c r="P49" i="21"/>
  <c r="O49" i="21"/>
  <c r="L229" i="21"/>
  <c r="N229" i="21"/>
  <c r="P229" i="21"/>
  <c r="K229" i="21"/>
  <c r="O229" i="21"/>
  <c r="Q229" i="21"/>
  <c r="M229" i="21"/>
  <c r="L125" i="21"/>
  <c r="O125" i="21"/>
  <c r="K125" i="21"/>
  <c r="M125" i="21"/>
  <c r="Q125" i="21"/>
  <c r="P125" i="21"/>
  <c r="N125" i="21"/>
  <c r="O85" i="21"/>
  <c r="P85" i="21"/>
  <c r="L85" i="21"/>
  <c r="M85" i="21"/>
  <c r="Q85" i="21"/>
  <c r="K85" i="21"/>
  <c r="N85" i="21"/>
  <c r="M5" i="21"/>
  <c r="O5" i="21"/>
  <c r="N5" i="21"/>
  <c r="K5" i="21"/>
  <c r="Q5" i="21"/>
  <c r="L5" i="21"/>
  <c r="P5" i="21"/>
  <c r="K109" i="21"/>
  <c r="L109" i="21"/>
  <c r="N109" i="21"/>
  <c r="O109" i="21"/>
  <c r="M109" i="21"/>
  <c r="Q109" i="21"/>
  <c r="P109" i="21"/>
  <c r="N221" i="21"/>
  <c r="Q221" i="21"/>
  <c r="L221" i="21"/>
  <c r="O221" i="21"/>
  <c r="P221" i="21"/>
  <c r="M221" i="21"/>
  <c r="K221" i="21"/>
  <c r="Q205" i="21"/>
  <c r="K205" i="21"/>
  <c r="L205" i="21"/>
  <c r="O205" i="21"/>
  <c r="N205" i="21"/>
  <c r="M205" i="21"/>
  <c r="P205" i="21"/>
  <c r="K185" i="21"/>
  <c r="O185" i="21"/>
  <c r="Q185" i="21"/>
  <c r="P185" i="21"/>
  <c r="M185" i="21"/>
  <c r="N185" i="21"/>
  <c r="L185" i="21"/>
  <c r="P65" i="21"/>
  <c r="N65" i="21"/>
  <c r="K65" i="21"/>
  <c r="L65" i="21"/>
  <c r="O65" i="21"/>
  <c r="M65" i="21"/>
  <c r="Q65" i="21"/>
  <c r="P25" i="21"/>
  <c r="L25" i="21"/>
  <c r="O25" i="21"/>
  <c r="N25" i="21"/>
  <c r="M25" i="21"/>
  <c r="Q25" i="21"/>
  <c r="K25" i="21"/>
  <c r="P233" i="21"/>
  <c r="M233" i="21"/>
  <c r="L233" i="21"/>
  <c r="K233" i="21"/>
  <c r="Q233" i="21"/>
  <c r="N233" i="21"/>
  <c r="O233" i="21"/>
  <c r="N169" i="21"/>
  <c r="O169" i="21"/>
  <c r="L169" i="21"/>
  <c r="M169" i="21"/>
  <c r="K169" i="21"/>
  <c r="P169" i="21"/>
  <c r="Q169" i="21"/>
  <c r="N145" i="21"/>
  <c r="Q145" i="21"/>
  <c r="L145" i="21"/>
  <c r="P145" i="21"/>
  <c r="K145" i="21"/>
  <c r="M145" i="21"/>
  <c r="O145" i="21"/>
  <c r="M157" i="21"/>
  <c r="N157" i="21"/>
  <c r="P157" i="21"/>
  <c r="L157" i="21"/>
  <c r="O157" i="21"/>
  <c r="Q157" i="21"/>
  <c r="K157" i="21"/>
  <c r="M97" i="21"/>
  <c r="L97" i="21"/>
  <c r="K97" i="21"/>
  <c r="O97" i="21"/>
  <c r="Q97" i="21"/>
  <c r="N97" i="21"/>
  <c r="P97" i="21"/>
  <c r="N253" i="21"/>
  <c r="Q253" i="21"/>
  <c r="O253" i="21"/>
  <c r="L253" i="21"/>
  <c r="K253" i="21"/>
  <c r="P253" i="21"/>
  <c r="M253" i="21"/>
  <c r="L217" i="21"/>
  <c r="M217" i="21"/>
  <c r="O217" i="21"/>
  <c r="P217" i="21"/>
  <c r="K217" i="21"/>
  <c r="Q217" i="21"/>
  <c r="N217" i="21"/>
  <c r="Q37" i="21"/>
  <c r="O37" i="21"/>
  <c r="N37" i="21"/>
  <c r="M37" i="21"/>
  <c r="L37" i="21"/>
  <c r="P37" i="21"/>
  <c r="K37" i="21"/>
  <c r="M108" i="21"/>
  <c r="K108" i="21"/>
  <c r="Q108" i="21"/>
  <c r="P108" i="21"/>
  <c r="O108" i="21"/>
  <c r="N108" i="21"/>
  <c r="L108" i="21"/>
  <c r="P21" i="21"/>
  <c r="N21" i="21"/>
  <c r="L21" i="21"/>
  <c r="K21" i="21"/>
  <c r="Q21" i="21"/>
  <c r="M21" i="21"/>
  <c r="O21" i="21"/>
  <c r="N248" i="21"/>
  <c r="O248" i="21"/>
  <c r="M248" i="21"/>
  <c r="Q248" i="21"/>
  <c r="L248" i="21"/>
  <c r="P248" i="21"/>
  <c r="K248" i="21"/>
  <c r="N161" i="21"/>
  <c r="L161" i="21"/>
  <c r="M161" i="21"/>
  <c r="Q161" i="21"/>
  <c r="O161" i="21"/>
  <c r="P161" i="21"/>
  <c r="K161" i="21"/>
  <c r="P139" i="21"/>
  <c r="L139" i="21"/>
  <c r="K139" i="21"/>
  <c r="M139" i="21"/>
  <c r="O139" i="21"/>
  <c r="N139" i="21"/>
  <c r="Q139" i="21"/>
  <c r="L8" i="21"/>
  <c r="K8" i="21"/>
  <c r="P8" i="21"/>
  <c r="N8" i="21"/>
  <c r="M8" i="21"/>
  <c r="Q8" i="21"/>
  <c r="O8" i="21"/>
  <c r="Q79" i="21"/>
  <c r="N79" i="21"/>
  <c r="P79" i="21"/>
  <c r="M79" i="21"/>
  <c r="O79" i="21"/>
  <c r="L79" i="21"/>
  <c r="K79" i="21"/>
  <c r="O57" i="21"/>
  <c r="P57" i="21"/>
  <c r="K57" i="21"/>
  <c r="L57" i="21"/>
  <c r="M57" i="21"/>
  <c r="Q57" i="21"/>
  <c r="N57" i="21"/>
  <c r="M13" i="21"/>
  <c r="K13" i="21"/>
  <c r="O13" i="21"/>
  <c r="Q13" i="21"/>
  <c r="P13" i="21"/>
  <c r="N13" i="21"/>
  <c r="L13" i="21"/>
  <c r="K140" i="21"/>
  <c r="Q140" i="21"/>
  <c r="O140" i="21"/>
  <c r="M140" i="21"/>
  <c r="N140" i="21"/>
  <c r="L140" i="21"/>
  <c r="P140" i="21"/>
  <c r="N80" i="21"/>
  <c r="K80" i="21"/>
  <c r="L80" i="21"/>
  <c r="Q80" i="21"/>
  <c r="P80" i="21"/>
  <c r="O80" i="21"/>
  <c r="M80" i="21"/>
  <c r="P247" i="21"/>
  <c r="K247" i="21"/>
  <c r="O247" i="21"/>
  <c r="M247" i="21"/>
  <c r="L247" i="21"/>
  <c r="N247" i="21"/>
  <c r="Q247" i="21"/>
  <c r="L203" i="21"/>
  <c r="O203" i="21"/>
  <c r="M203" i="21"/>
  <c r="P203" i="21"/>
  <c r="Q203" i="21"/>
  <c r="K203" i="21"/>
  <c r="N203" i="21"/>
  <c r="Q181" i="21"/>
  <c r="M181" i="21"/>
  <c r="L181" i="21"/>
  <c r="N181" i="21"/>
  <c r="O181" i="21"/>
  <c r="K181" i="21"/>
  <c r="P181" i="21"/>
  <c r="M160" i="21"/>
  <c r="K160" i="21"/>
  <c r="N160" i="21"/>
  <c r="Q160" i="21"/>
  <c r="P160" i="21"/>
  <c r="O160" i="21"/>
  <c r="L160" i="21"/>
  <c r="N138" i="21"/>
  <c r="O138" i="21"/>
  <c r="L138" i="21"/>
  <c r="P138" i="21"/>
  <c r="M138" i="21"/>
  <c r="K138" i="21"/>
  <c r="Q138" i="21"/>
  <c r="K7" i="21"/>
  <c r="O7" i="21"/>
  <c r="L7" i="21"/>
  <c r="P7" i="21"/>
  <c r="N7" i="21"/>
  <c r="M7" i="21"/>
  <c r="Q7" i="21"/>
  <c r="M187" i="21"/>
  <c r="K187" i="21"/>
  <c r="Q187" i="21"/>
  <c r="O187" i="21"/>
  <c r="L187" i="21"/>
  <c r="N187" i="21"/>
  <c r="P187" i="21"/>
  <c r="O78" i="21"/>
  <c r="M78" i="21"/>
  <c r="Q78" i="21"/>
  <c r="K78" i="21"/>
  <c r="AE78" i="21" s="1"/>
  <c r="N78" i="21"/>
  <c r="P78" i="21"/>
  <c r="L78" i="21"/>
  <c r="O153" i="21"/>
  <c r="Q153" i="21"/>
  <c r="N153" i="21"/>
  <c r="M153" i="21"/>
  <c r="K153" i="21"/>
  <c r="P153" i="21"/>
  <c r="L153" i="21"/>
  <c r="Q268" i="21"/>
  <c r="K268" i="21"/>
  <c r="O268" i="21"/>
  <c r="L268" i="21"/>
  <c r="P268" i="21"/>
  <c r="N268" i="21"/>
  <c r="M268" i="21"/>
  <c r="P180" i="21"/>
  <c r="M180" i="21"/>
  <c r="K180" i="21"/>
  <c r="L180" i="21"/>
  <c r="Q180" i="21"/>
  <c r="N180" i="21"/>
  <c r="O180" i="21"/>
  <c r="L158" i="21"/>
  <c r="Q158" i="21"/>
  <c r="M158" i="21"/>
  <c r="O158" i="21"/>
  <c r="P158" i="21"/>
  <c r="N158" i="21"/>
  <c r="K158" i="21"/>
  <c r="Q137" i="21"/>
  <c r="M137" i="21"/>
  <c r="L137" i="21"/>
  <c r="K137" i="21"/>
  <c r="P137" i="21"/>
  <c r="O137" i="21"/>
  <c r="N137" i="21"/>
  <c r="N93" i="21"/>
  <c r="M93" i="21"/>
  <c r="P93" i="21"/>
  <c r="L93" i="21"/>
  <c r="K93" i="21"/>
  <c r="Q93" i="21"/>
  <c r="O93" i="21"/>
  <c r="O28" i="21"/>
  <c r="K28" i="21"/>
  <c r="Q28" i="21"/>
  <c r="M28" i="21"/>
  <c r="N28" i="21"/>
  <c r="L28" i="21"/>
  <c r="P28" i="21"/>
  <c r="K33" i="21"/>
  <c r="M33" i="21"/>
  <c r="Q33" i="21"/>
  <c r="O33" i="21"/>
  <c r="L33" i="21"/>
  <c r="N33" i="21"/>
  <c r="P33" i="21"/>
  <c r="L201" i="21"/>
  <c r="Q201" i="21"/>
  <c r="P201" i="21"/>
  <c r="M201" i="21"/>
  <c r="K201" i="21"/>
  <c r="O201" i="21"/>
  <c r="N201" i="21"/>
  <c r="L179" i="21"/>
  <c r="M179" i="21"/>
  <c r="K179" i="21"/>
  <c r="Q179" i="21"/>
  <c r="P179" i="21"/>
  <c r="O179" i="21"/>
  <c r="N179" i="21"/>
  <c r="K48" i="21"/>
  <c r="L48" i="21"/>
  <c r="Q48" i="21"/>
  <c r="M48" i="21"/>
  <c r="N48" i="21"/>
  <c r="P48" i="21"/>
  <c r="O48" i="21"/>
  <c r="K200" i="21"/>
  <c r="Q200" i="21"/>
  <c r="O200" i="21"/>
  <c r="M200" i="21"/>
  <c r="P200" i="21"/>
  <c r="N200" i="21"/>
  <c r="L200" i="21"/>
  <c r="L178" i="21"/>
  <c r="O178" i="21"/>
  <c r="N178" i="21"/>
  <c r="Q178" i="21"/>
  <c r="M178" i="21"/>
  <c r="K178" i="21"/>
  <c r="P178" i="21"/>
  <c r="L113" i="21"/>
  <c r="P113" i="21"/>
  <c r="N113" i="21"/>
  <c r="K113" i="21"/>
  <c r="M113" i="21"/>
  <c r="Q113" i="21"/>
  <c r="O113" i="21"/>
  <c r="L47" i="21"/>
  <c r="P47" i="21"/>
  <c r="N47" i="21"/>
  <c r="K47" i="21"/>
  <c r="O47" i="21"/>
  <c r="M47" i="21"/>
  <c r="Q47" i="21"/>
  <c r="Q53" i="21"/>
  <c r="L53" i="21"/>
  <c r="O53" i="21"/>
  <c r="P53" i="21"/>
  <c r="N53" i="21"/>
  <c r="M53" i="21"/>
  <c r="K53" i="21"/>
  <c r="K59" i="21"/>
  <c r="O59" i="21"/>
  <c r="N59" i="21"/>
  <c r="Q59" i="21"/>
  <c r="P59" i="21"/>
  <c r="L59" i="21"/>
  <c r="M59" i="21"/>
  <c r="N105" i="21"/>
  <c r="L105" i="21"/>
  <c r="K105" i="21"/>
  <c r="Q105" i="21"/>
  <c r="M105" i="21"/>
  <c r="P105" i="21"/>
  <c r="O105" i="21"/>
  <c r="L58" i="21"/>
  <c r="P58" i="21"/>
  <c r="M58" i="21"/>
  <c r="N58" i="21"/>
  <c r="Q58" i="21"/>
  <c r="K58" i="21"/>
  <c r="O58" i="21"/>
  <c r="Q261" i="21"/>
  <c r="L261" i="21"/>
  <c r="N261" i="21"/>
  <c r="O261" i="21"/>
  <c r="K261" i="21"/>
  <c r="M261" i="21"/>
  <c r="P261" i="21"/>
  <c r="N208" i="21"/>
  <c r="L208" i="21"/>
  <c r="O208" i="21"/>
  <c r="M208" i="21"/>
  <c r="P208" i="21"/>
  <c r="K208" i="21"/>
  <c r="Q208" i="21"/>
  <c r="K260" i="21"/>
  <c r="L260" i="21"/>
  <c r="M260" i="21"/>
  <c r="N260" i="21"/>
  <c r="Q260" i="21"/>
  <c r="O260" i="21"/>
  <c r="P260" i="21"/>
  <c r="M238" i="21"/>
  <c r="L238" i="21"/>
  <c r="Q238" i="21"/>
  <c r="O238" i="21"/>
  <c r="K238" i="21"/>
  <c r="P238" i="21"/>
  <c r="N238" i="21"/>
  <c r="O107" i="21"/>
  <c r="Q107" i="21"/>
  <c r="P107" i="21"/>
  <c r="M107" i="21"/>
  <c r="K107" i="21"/>
  <c r="L107" i="21"/>
  <c r="N107" i="21"/>
  <c r="O20" i="21"/>
  <c r="N20" i="21"/>
  <c r="P20" i="21"/>
  <c r="M20" i="21"/>
  <c r="K20" i="21"/>
  <c r="L20" i="21"/>
  <c r="Q20" i="21"/>
  <c r="M228" i="21"/>
  <c r="K228" i="21"/>
  <c r="N228" i="21"/>
  <c r="O228" i="21"/>
  <c r="L228" i="21"/>
  <c r="Q228" i="21"/>
  <c r="P228" i="21"/>
  <c r="N163" i="21"/>
  <c r="M163" i="21"/>
  <c r="Q163" i="21"/>
  <c r="K163" i="21"/>
  <c r="P163" i="21"/>
  <c r="O163" i="21"/>
  <c r="L163" i="21"/>
  <c r="Q141" i="21"/>
  <c r="O141" i="21"/>
  <c r="N141" i="21"/>
  <c r="M141" i="21"/>
  <c r="P141" i="21"/>
  <c r="L141" i="21"/>
  <c r="K141" i="21"/>
  <c r="M119" i="21"/>
  <c r="L119" i="21"/>
  <c r="P119" i="21"/>
  <c r="K119" i="21"/>
  <c r="Q119" i="21"/>
  <c r="N119" i="21"/>
  <c r="O119" i="21"/>
  <c r="M259" i="21"/>
  <c r="Q259" i="21"/>
  <c r="L259" i="21"/>
  <c r="O259" i="21"/>
  <c r="K259" i="21"/>
  <c r="P259" i="21"/>
  <c r="N259" i="21"/>
  <c r="N237" i="21"/>
  <c r="K237" i="21"/>
  <c r="L237" i="21"/>
  <c r="P237" i="21"/>
  <c r="Q237" i="21"/>
  <c r="O237" i="21"/>
  <c r="M237" i="21"/>
  <c r="P193" i="21"/>
  <c r="N193" i="21"/>
  <c r="K193" i="21"/>
  <c r="Q193" i="21"/>
  <c r="L193" i="21"/>
  <c r="M193" i="21"/>
  <c r="O193" i="21"/>
  <c r="L128" i="21"/>
  <c r="K128" i="21"/>
  <c r="P128" i="21"/>
  <c r="N128" i="21"/>
  <c r="Q128" i="21"/>
  <c r="O128" i="21"/>
  <c r="M128" i="21"/>
  <c r="O106" i="21"/>
  <c r="N106" i="21"/>
  <c r="L106" i="21"/>
  <c r="K106" i="21"/>
  <c r="M106" i="21"/>
  <c r="Q106" i="21"/>
  <c r="P106" i="21"/>
  <c r="N41" i="21"/>
  <c r="M41" i="21"/>
  <c r="Q41" i="21"/>
  <c r="K41" i="21"/>
  <c r="P41" i="21"/>
  <c r="L41" i="21"/>
  <c r="O41" i="21"/>
  <c r="Q19" i="21"/>
  <c r="M19" i="21"/>
  <c r="N19" i="21"/>
  <c r="L19" i="21"/>
  <c r="K19" i="21"/>
  <c r="O19" i="21"/>
  <c r="P19" i="21"/>
  <c r="K199" i="21"/>
  <c r="P199" i="21"/>
  <c r="Q199" i="21"/>
  <c r="N199" i="21"/>
  <c r="M199" i="21"/>
  <c r="L199" i="21"/>
  <c r="O199" i="21"/>
  <c r="P177" i="21"/>
  <c r="N177" i="21"/>
  <c r="L177" i="21"/>
  <c r="K177" i="21"/>
  <c r="Q177" i="21"/>
  <c r="O177" i="21"/>
  <c r="M177" i="21"/>
  <c r="O46" i="21"/>
  <c r="N46" i="21"/>
  <c r="P46" i="21"/>
  <c r="M46" i="21"/>
  <c r="K46" i="21"/>
  <c r="Q46" i="21"/>
  <c r="L46" i="21"/>
  <c r="K227" i="21"/>
  <c r="P227" i="21"/>
  <c r="O227" i="21"/>
  <c r="L227" i="21"/>
  <c r="M227" i="21"/>
  <c r="N227" i="21"/>
  <c r="Q227" i="21"/>
  <c r="L118" i="21"/>
  <c r="P118" i="21"/>
  <c r="O118" i="21"/>
  <c r="M118" i="21"/>
  <c r="K118" i="21"/>
  <c r="N118" i="21"/>
  <c r="Q118" i="21"/>
  <c r="P166" i="21"/>
  <c r="M166" i="21"/>
  <c r="Q166" i="21"/>
  <c r="N166" i="21"/>
  <c r="O166" i="21"/>
  <c r="L166" i="21"/>
  <c r="K166" i="21"/>
  <c r="N258" i="21"/>
  <c r="L258" i="21"/>
  <c r="P258" i="21"/>
  <c r="Q258" i="21"/>
  <c r="K258" i="21"/>
  <c r="M258" i="21"/>
  <c r="O258" i="21"/>
  <c r="L127" i="21"/>
  <c r="O127" i="21"/>
  <c r="P127" i="21"/>
  <c r="K127" i="21"/>
  <c r="Q127" i="21"/>
  <c r="N127" i="21"/>
  <c r="M127" i="21"/>
  <c r="O83" i="21"/>
  <c r="M83" i="21"/>
  <c r="N83" i="21"/>
  <c r="K83" i="21"/>
  <c r="P83" i="21"/>
  <c r="L83" i="21"/>
  <c r="Q83" i="21"/>
  <c r="K61" i="21"/>
  <c r="O61" i="21"/>
  <c r="N61" i="21"/>
  <c r="Q61" i="21"/>
  <c r="L61" i="21"/>
  <c r="M61" i="21"/>
  <c r="P61" i="21"/>
  <c r="M40" i="21"/>
  <c r="N40" i="21"/>
  <c r="P40" i="21"/>
  <c r="O40" i="21"/>
  <c r="K40" i="21"/>
  <c r="L40" i="21"/>
  <c r="Q40" i="21"/>
  <c r="Q18" i="21"/>
  <c r="P18" i="21"/>
  <c r="K18" i="21"/>
  <c r="M18" i="21"/>
  <c r="L18" i="21"/>
  <c r="N18" i="21"/>
  <c r="O18" i="21"/>
  <c r="M198" i="21"/>
  <c r="O198" i="21"/>
  <c r="P198" i="21"/>
  <c r="N198" i="21"/>
  <c r="K198" i="21"/>
  <c r="Q198" i="21"/>
  <c r="L198" i="21"/>
  <c r="M23" i="21"/>
  <c r="L23" i="21"/>
  <c r="Q23" i="21"/>
  <c r="N23" i="21"/>
  <c r="P23" i="21"/>
  <c r="O23" i="21"/>
  <c r="K23" i="21"/>
  <c r="L226" i="21"/>
  <c r="P226" i="21"/>
  <c r="M226" i="21"/>
  <c r="N226" i="21"/>
  <c r="Q226" i="21"/>
  <c r="O226" i="21"/>
  <c r="K226" i="21"/>
  <c r="M117" i="21"/>
  <c r="N117" i="21"/>
  <c r="Q117" i="21"/>
  <c r="L117" i="21"/>
  <c r="K117" i="21"/>
  <c r="O117" i="21"/>
  <c r="P117" i="21"/>
  <c r="P73" i="21"/>
  <c r="M73" i="21"/>
  <c r="K73" i="21"/>
  <c r="N73" i="21"/>
  <c r="O73" i="21"/>
  <c r="Q73" i="21"/>
  <c r="L73" i="21"/>
  <c r="L257" i="21"/>
  <c r="P257" i="21"/>
  <c r="M257" i="21"/>
  <c r="O257" i="21"/>
  <c r="N257" i="21"/>
  <c r="K257" i="21"/>
  <c r="Q257" i="21"/>
  <c r="Q213" i="21"/>
  <c r="K213" i="21"/>
  <c r="L213" i="21"/>
  <c r="P213" i="21"/>
  <c r="O213" i="21"/>
  <c r="N213" i="21"/>
  <c r="M213" i="21"/>
  <c r="P148" i="21"/>
  <c r="L148" i="21"/>
  <c r="Q148" i="21"/>
  <c r="N148" i="21"/>
  <c r="M148" i="21"/>
  <c r="K148" i="21"/>
  <c r="O148" i="21"/>
  <c r="O60" i="21"/>
  <c r="P60" i="21"/>
  <c r="K60" i="21"/>
  <c r="N60" i="21"/>
  <c r="Q60" i="21"/>
  <c r="L60" i="21"/>
  <c r="M60" i="21"/>
  <c r="L38" i="21"/>
  <c r="Q38" i="21"/>
  <c r="N38" i="21"/>
  <c r="M38" i="21"/>
  <c r="P38" i="21"/>
  <c r="O38" i="21"/>
  <c r="K38" i="21"/>
  <c r="O17" i="21"/>
  <c r="Q17" i="21"/>
  <c r="M17" i="21"/>
  <c r="P17" i="21"/>
  <c r="K17" i="21"/>
  <c r="N17" i="21"/>
  <c r="L17" i="21"/>
  <c r="O240" i="21"/>
  <c r="Q240" i="21"/>
  <c r="N240" i="21"/>
  <c r="P240" i="21"/>
  <c r="K240" i="21"/>
  <c r="L240" i="21"/>
  <c r="M240" i="21"/>
  <c r="P66" i="21"/>
  <c r="N66" i="21"/>
  <c r="K66" i="21"/>
  <c r="Q66" i="21"/>
  <c r="L66" i="21"/>
  <c r="O66" i="21"/>
  <c r="M66" i="21"/>
  <c r="K6" i="21"/>
  <c r="P6" i="21"/>
  <c r="M6" i="21"/>
  <c r="O6" i="21"/>
  <c r="Q6" i="21"/>
  <c r="N6" i="21"/>
  <c r="L6" i="21"/>
  <c r="P121" i="21"/>
  <c r="M121" i="21"/>
  <c r="O121" i="21"/>
  <c r="L121" i="21"/>
  <c r="N121" i="21"/>
  <c r="K121" i="21"/>
  <c r="Q121" i="21"/>
  <c r="K120" i="21"/>
  <c r="L120" i="21"/>
  <c r="O120" i="21"/>
  <c r="N120" i="21"/>
  <c r="Q120" i="21"/>
  <c r="P120" i="21"/>
  <c r="M120" i="21"/>
  <c r="P168" i="21"/>
  <c r="K168" i="21"/>
  <c r="N168" i="21"/>
  <c r="M168" i="21"/>
  <c r="Q168" i="21"/>
  <c r="O168" i="21"/>
  <c r="L168" i="21"/>
  <c r="Q81" i="21"/>
  <c r="M81" i="21"/>
  <c r="N81" i="21"/>
  <c r="L81" i="21"/>
  <c r="O81" i="21"/>
  <c r="K81" i="21"/>
  <c r="P81" i="21"/>
  <c r="N167" i="21"/>
  <c r="K167" i="21"/>
  <c r="Q167" i="21"/>
  <c r="P167" i="21"/>
  <c r="L167" i="21"/>
  <c r="M167" i="21"/>
  <c r="O167" i="21"/>
  <c r="P223" i="21"/>
  <c r="N223" i="21"/>
  <c r="Q223" i="21"/>
  <c r="K223" i="21"/>
  <c r="L223" i="21"/>
  <c r="O223" i="21"/>
  <c r="M223" i="21"/>
  <c r="L114" i="21"/>
  <c r="N114" i="21"/>
  <c r="O114" i="21"/>
  <c r="K114" i="21"/>
  <c r="M114" i="21"/>
  <c r="Q114" i="21"/>
  <c r="P114" i="21"/>
  <c r="N241" i="21"/>
  <c r="M241" i="21"/>
  <c r="O241" i="21"/>
  <c r="P241" i="21"/>
  <c r="Q241" i="21"/>
  <c r="K241" i="21"/>
  <c r="L241" i="21"/>
  <c r="K103" i="21"/>
  <c r="N103" i="21"/>
  <c r="M103" i="21"/>
  <c r="Q103" i="21"/>
  <c r="O103" i="21"/>
  <c r="P103" i="21"/>
  <c r="L103" i="21"/>
  <c r="L188" i="21"/>
  <c r="P188" i="21"/>
  <c r="O188" i="21"/>
  <c r="Q188" i="21"/>
  <c r="M188" i="21"/>
  <c r="K188" i="21"/>
  <c r="N188" i="21"/>
  <c r="L101" i="21"/>
  <c r="K101" i="21"/>
  <c r="M101" i="21"/>
  <c r="Q101" i="21"/>
  <c r="O101" i="21"/>
  <c r="N101" i="21"/>
  <c r="P101" i="21"/>
  <c r="P24" i="21"/>
  <c r="K24" i="21"/>
  <c r="L24" i="21"/>
  <c r="N24" i="21"/>
  <c r="Q24" i="21"/>
  <c r="O24" i="21"/>
  <c r="M24" i="21"/>
  <c r="O239" i="21"/>
  <c r="Q239" i="21"/>
  <c r="L239" i="21"/>
  <c r="P239" i="21"/>
  <c r="K239" i="21"/>
  <c r="M239" i="21"/>
  <c r="N239" i="21"/>
  <c r="P143" i="21"/>
  <c r="M143" i="21"/>
  <c r="N143" i="21"/>
  <c r="K143" i="21"/>
  <c r="Q143" i="21"/>
  <c r="L143" i="21"/>
  <c r="O143" i="21"/>
  <c r="O100" i="21"/>
  <c r="P100" i="21"/>
  <c r="N100" i="21"/>
  <c r="M100" i="21"/>
  <c r="K100" i="21"/>
  <c r="Q100" i="21"/>
  <c r="L100" i="21"/>
  <c r="P68" i="21"/>
  <c r="O68" i="21"/>
  <c r="N68" i="21"/>
  <c r="L68" i="21"/>
  <c r="Q68" i="21"/>
  <c r="M68" i="21"/>
  <c r="K68" i="21"/>
  <c r="O45" i="21"/>
  <c r="P45" i="21"/>
  <c r="K45" i="21"/>
  <c r="L45" i="21"/>
  <c r="N45" i="21"/>
  <c r="Q45" i="21"/>
  <c r="M45" i="21"/>
  <c r="P263" i="21"/>
  <c r="K263" i="21"/>
  <c r="O263" i="21"/>
  <c r="M263" i="21"/>
  <c r="L263" i="21"/>
  <c r="N263" i="21"/>
  <c r="Q263" i="21"/>
  <c r="M67" i="21"/>
  <c r="N67" i="21"/>
  <c r="K67" i="21"/>
  <c r="Q67" i="21"/>
  <c r="O67" i="21"/>
  <c r="P67" i="21"/>
  <c r="L67" i="21"/>
  <c r="O291" i="21"/>
  <c r="M291" i="21"/>
  <c r="L291" i="21"/>
  <c r="K291" i="21"/>
  <c r="N291" i="21"/>
  <c r="P291" i="21"/>
  <c r="Q291" i="21"/>
  <c r="M279" i="21"/>
  <c r="K279" i="21"/>
  <c r="L279" i="21"/>
  <c r="O279" i="21"/>
  <c r="P279" i="21"/>
  <c r="Q279" i="21"/>
  <c r="N279" i="21"/>
  <c r="Q267" i="21"/>
  <c r="P267" i="21"/>
  <c r="N267" i="21"/>
  <c r="L267" i="21"/>
  <c r="K267" i="21"/>
  <c r="O267" i="21"/>
  <c r="M267" i="21"/>
  <c r="Q255" i="21"/>
  <c r="O255" i="21"/>
  <c r="M255" i="21"/>
  <c r="P255" i="21"/>
  <c r="N255" i="21"/>
  <c r="L255" i="21"/>
  <c r="K255" i="21"/>
  <c r="O243" i="21"/>
  <c r="Q243" i="21"/>
  <c r="L243" i="21"/>
  <c r="K243" i="21"/>
  <c r="N243" i="21"/>
  <c r="P243" i="21"/>
  <c r="M243" i="21"/>
  <c r="M231" i="21"/>
  <c r="N231" i="21"/>
  <c r="Q231" i="21"/>
  <c r="K231" i="21"/>
  <c r="O231" i="21"/>
  <c r="L231" i="21"/>
  <c r="P231" i="21"/>
  <c r="P219" i="21"/>
  <c r="M219" i="21"/>
  <c r="O219" i="21"/>
  <c r="K219" i="21"/>
  <c r="L219" i="21"/>
  <c r="Q219" i="21"/>
  <c r="N219" i="21"/>
  <c r="N207" i="21"/>
  <c r="O207" i="21"/>
  <c r="P207" i="21"/>
  <c r="L207" i="21"/>
  <c r="K207" i="21"/>
  <c r="Q207" i="21"/>
  <c r="M207" i="21"/>
  <c r="N195" i="21"/>
  <c r="K195" i="21"/>
  <c r="O195" i="21"/>
  <c r="L195" i="21"/>
  <c r="P195" i="21"/>
  <c r="Q195" i="21"/>
  <c r="M195" i="21"/>
  <c r="L183" i="21"/>
  <c r="K183" i="21"/>
  <c r="M183" i="21"/>
  <c r="O183" i="21"/>
  <c r="P183" i="21"/>
  <c r="Q183" i="21"/>
  <c r="N183" i="21"/>
  <c r="N171" i="21"/>
  <c r="L171" i="21"/>
  <c r="Q171" i="21"/>
  <c r="M171" i="21"/>
  <c r="O171" i="21"/>
  <c r="K171" i="21"/>
  <c r="P171" i="21"/>
  <c r="K159" i="21"/>
  <c r="L159" i="21"/>
  <c r="P159" i="21"/>
  <c r="O159" i="21"/>
  <c r="N159" i="21"/>
  <c r="Q159" i="21"/>
  <c r="M159" i="21"/>
  <c r="K147" i="21"/>
  <c r="N147" i="21"/>
  <c r="L147" i="21"/>
  <c r="M147" i="21"/>
  <c r="P147" i="21"/>
  <c r="Q147" i="21"/>
  <c r="O147" i="21"/>
  <c r="K135" i="21"/>
  <c r="M135" i="21"/>
  <c r="P135" i="21"/>
  <c r="N135" i="21"/>
  <c r="L135" i="21"/>
  <c r="O135" i="21"/>
  <c r="Q135" i="21"/>
  <c r="N123" i="21"/>
  <c r="K123" i="21"/>
  <c r="P123" i="21"/>
  <c r="O123" i="21"/>
  <c r="Q123" i="21"/>
  <c r="M123" i="21"/>
  <c r="L123" i="21"/>
  <c r="Q111" i="21"/>
  <c r="P111" i="21"/>
  <c r="O111" i="21"/>
  <c r="K111" i="21"/>
  <c r="N111" i="21"/>
  <c r="L111" i="21"/>
  <c r="M111" i="21"/>
  <c r="O99" i="21"/>
  <c r="L99" i="21"/>
  <c r="M99" i="21"/>
  <c r="Q99" i="21"/>
  <c r="N99" i="21"/>
  <c r="K99" i="21"/>
  <c r="P99" i="21"/>
  <c r="M87" i="21"/>
  <c r="K87" i="21"/>
  <c r="P87" i="21"/>
  <c r="Q87" i="21"/>
  <c r="O87" i="21"/>
  <c r="L87" i="21"/>
  <c r="N87" i="21"/>
  <c r="L75" i="21"/>
  <c r="M75" i="21"/>
  <c r="N75" i="21"/>
  <c r="K75" i="21"/>
  <c r="O75" i="21"/>
  <c r="Q75" i="21"/>
  <c r="P75" i="21"/>
  <c r="N63" i="21"/>
  <c r="P63" i="21"/>
  <c r="K63" i="21"/>
  <c r="Q63" i="21"/>
  <c r="O63" i="21"/>
  <c r="M63" i="21"/>
  <c r="L63" i="21"/>
  <c r="M51" i="21"/>
  <c r="Q51" i="21"/>
  <c r="O51" i="21"/>
  <c r="L51" i="21"/>
  <c r="N51" i="21"/>
  <c r="P51" i="21"/>
  <c r="K51" i="21"/>
  <c r="M39" i="21"/>
  <c r="O39" i="21"/>
  <c r="P39" i="21"/>
  <c r="Q39" i="21"/>
  <c r="N39" i="21"/>
  <c r="L39" i="21"/>
  <c r="K39" i="21"/>
  <c r="K27" i="21"/>
  <c r="N27" i="21"/>
  <c r="M27" i="21"/>
  <c r="Q27" i="21"/>
  <c r="O27" i="21"/>
  <c r="P27" i="21"/>
  <c r="L27" i="21"/>
  <c r="K15" i="21"/>
  <c r="N15" i="21"/>
  <c r="M15" i="21"/>
  <c r="Q15" i="21"/>
  <c r="L15" i="21"/>
  <c r="P15" i="21"/>
  <c r="O15" i="21"/>
  <c r="P4" i="21"/>
  <c r="M4" i="21"/>
  <c r="O4" i="21"/>
  <c r="K4" i="21"/>
  <c r="N4" i="21"/>
  <c r="L4" i="21"/>
  <c r="Q4" i="21"/>
  <c r="AL251" i="21"/>
  <c r="AL232" i="21"/>
  <c r="AL91" i="21"/>
  <c r="AL3" i="21"/>
  <c r="AL162" i="21"/>
  <c r="AL231" i="21"/>
  <c r="AL11" i="21"/>
  <c r="AL92" i="21"/>
  <c r="AL22" i="21"/>
  <c r="AL10" i="21"/>
  <c r="AL250" i="21"/>
  <c r="AL252" i="21"/>
  <c r="AL191" i="21"/>
  <c r="AL90" i="21"/>
  <c r="AL190" i="21"/>
  <c r="AL12" i="21"/>
  <c r="AL230" i="21"/>
  <c r="AL9" i="21"/>
  <c r="AL244" i="21"/>
  <c r="AL242" i="21"/>
  <c r="S96" i="21"/>
  <c r="S252" i="21"/>
  <c r="S246" i="21"/>
  <c r="S30" i="21"/>
  <c r="S11" i="21"/>
  <c r="S42" i="21"/>
  <c r="S102" i="21"/>
  <c r="S150" i="21"/>
  <c r="S162" i="21"/>
  <c r="S288" i="21"/>
  <c r="S154" i="21"/>
  <c r="S174" i="21"/>
  <c r="S204" i="21"/>
  <c r="S222" i="21"/>
  <c r="S12" i="21"/>
  <c r="S54" i="21"/>
  <c r="S56" i="21"/>
  <c r="S215" i="21"/>
  <c r="S191" i="21"/>
  <c r="S278" i="21"/>
  <c r="S44" i="21"/>
  <c r="S275" i="21"/>
  <c r="S156" i="21"/>
  <c r="S270" i="21"/>
  <c r="S69" i="21"/>
  <c r="S236" i="21"/>
  <c r="S129" i="21"/>
  <c r="S251" i="21"/>
  <c r="S9" i="21"/>
  <c r="S186" i="21"/>
  <c r="S210" i="21"/>
  <c r="S234" i="21"/>
  <c r="S35" i="21"/>
  <c r="S71" i="21"/>
  <c r="S95" i="21"/>
  <c r="S131" i="21"/>
  <c r="S155" i="21"/>
  <c r="S92" i="21"/>
  <c r="S225" i="21"/>
  <c r="S164" i="21"/>
  <c r="S224" i="21"/>
  <c r="S84" i="21"/>
  <c r="S132" i="21"/>
  <c r="S192" i="21"/>
  <c r="S216" i="21"/>
  <c r="S142" i="21"/>
  <c r="S190" i="21"/>
  <c r="S126" i="21"/>
  <c r="S271" i="21"/>
  <c r="S82" i="21"/>
  <c r="S289" i="21"/>
  <c r="S90" i="21"/>
  <c r="S287" i="21"/>
  <c r="S292" i="21"/>
  <c r="S211" i="21"/>
  <c r="S274" i="21"/>
  <c r="S175" i="21"/>
  <c r="S283" i="21"/>
  <c r="S130" i="21"/>
  <c r="S272" i="21"/>
  <c r="S104" i="21"/>
  <c r="S282" i="21"/>
  <c r="S212" i="21"/>
  <c r="S290" i="21"/>
  <c r="S31" i="21"/>
  <c r="S151" i="21"/>
  <c r="S36" i="21"/>
  <c r="S286" i="21"/>
  <c r="S235" i="21"/>
  <c r="S72" i="21"/>
  <c r="S264" i="21"/>
  <c r="S70" i="21"/>
  <c r="S94" i="21"/>
  <c r="S214" i="21"/>
  <c r="S280" i="21"/>
  <c r="S91" i="21"/>
  <c r="S34" i="21"/>
  <c r="S250" i="21"/>
  <c r="S262" i="21"/>
  <c r="S152" i="21"/>
  <c r="S277" i="21"/>
  <c r="S32" i="21"/>
  <c r="S116" i="21"/>
  <c r="S284" i="21"/>
  <c r="S55" i="21"/>
  <c r="S281" i="21"/>
  <c r="S285" i="21"/>
  <c r="S115" i="21"/>
  <c r="S144" i="21"/>
  <c r="S276" i="21"/>
  <c r="S22" i="21"/>
  <c r="S202" i="21"/>
  <c r="S273" i="21"/>
  <c r="S176" i="21"/>
  <c r="S10" i="21"/>
  <c r="S3" i="21"/>
  <c r="T3" i="20"/>
  <c r="S3" i="20"/>
  <c r="R3" i="20"/>
  <c r="O3" i="20"/>
  <c r="Q3" i="20"/>
  <c r="P3" i="20"/>
  <c r="W3" i="20"/>
  <c r="V3" i="20"/>
  <c r="U3" i="20"/>
  <c r="AE87" i="21" l="1"/>
  <c r="AK101" i="21"/>
  <c r="AL223" i="21"/>
  <c r="AH198" i="21"/>
  <c r="AL198" i="21" s="1"/>
  <c r="AL227" i="21"/>
  <c r="AH199" i="21"/>
  <c r="AL199" i="21" s="1"/>
  <c r="AI106" i="21"/>
  <c r="AG163" i="21"/>
  <c r="AK33" i="21"/>
  <c r="AE93" i="21"/>
  <c r="AG153" i="21"/>
  <c r="AH187" i="21"/>
  <c r="AI108" i="21"/>
  <c r="AJ169" i="21"/>
  <c r="AG173" i="21"/>
  <c r="AL173" i="21" s="1"/>
  <c r="AG197" i="21"/>
  <c r="AL197" i="21" s="1"/>
  <c r="AL209" i="21"/>
  <c r="AI29" i="21"/>
  <c r="AG170" i="21"/>
  <c r="AI38" i="21"/>
  <c r="AI111" i="21"/>
  <c r="AG159" i="21"/>
  <c r="AL219" i="21"/>
  <c r="AG60" i="21"/>
  <c r="AK83" i="21"/>
  <c r="AI46" i="21"/>
  <c r="AH193" i="21"/>
  <c r="AL208" i="21"/>
  <c r="AG53" i="21"/>
  <c r="AH178" i="21"/>
  <c r="AL178" i="21" s="1"/>
  <c r="AH201" i="21"/>
  <c r="AJ157" i="21"/>
  <c r="AK49" i="21"/>
  <c r="AK98" i="21"/>
  <c r="AH196" i="21"/>
  <c r="AJ172" i="21"/>
  <c r="AE100" i="21"/>
  <c r="AI51" i="21"/>
  <c r="AE101" i="21"/>
  <c r="AL101" i="21" s="1"/>
  <c r="AI40" i="21"/>
  <c r="AG177" i="21"/>
  <c r="AI113" i="21"/>
  <c r="AJ158" i="21"/>
  <c r="AG160" i="21"/>
  <c r="AL160" i="21" s="1"/>
  <c r="AJ161" i="21"/>
  <c r="AG169" i="21"/>
  <c r="AL169" i="21" s="1"/>
  <c r="AJ173" i="21"/>
  <c r="AH197" i="21"/>
  <c r="AH122" i="21"/>
  <c r="AL122" i="21" s="1"/>
  <c r="AG74" i="21"/>
  <c r="AL220" i="21"/>
  <c r="AG172" i="21"/>
  <c r="AL172" i="21" s="1"/>
  <c r="AG67" i="21"/>
  <c r="AL67" i="21" s="1"/>
  <c r="AG58" i="21"/>
  <c r="AK51" i="21"/>
  <c r="AE99" i="21"/>
  <c r="AL99" i="21" s="1"/>
  <c r="AH183" i="21"/>
  <c r="AH120" i="21"/>
  <c r="AL120" i="21" s="1"/>
  <c r="AG166" i="21"/>
  <c r="AK41" i="21"/>
  <c r="AK48" i="21"/>
  <c r="AK80" i="21"/>
  <c r="AG157" i="21"/>
  <c r="AE85" i="21"/>
  <c r="AE98" i="21"/>
  <c r="AL98" i="21" s="1"/>
  <c r="AK29" i="21"/>
  <c r="AH195" i="21"/>
  <c r="AL195" i="21" s="1"/>
  <c r="AK45" i="21"/>
  <c r="AH188" i="21"/>
  <c r="AL188" i="21" s="1"/>
  <c r="AH103" i="21"/>
  <c r="AG167" i="21"/>
  <c r="AK81" i="21"/>
  <c r="AE83" i="21"/>
  <c r="AJ166" i="21"/>
  <c r="AH107" i="21"/>
  <c r="AL107" i="21" s="1"/>
  <c r="AH105" i="21"/>
  <c r="AL105" i="21" s="1"/>
  <c r="AL201" i="21"/>
  <c r="AG158" i="21"/>
  <c r="AE79" i="21"/>
  <c r="AK97" i="21"/>
  <c r="AH185" i="21"/>
  <c r="AH109" i="21"/>
  <c r="AK85" i="21"/>
  <c r="AE86" i="21"/>
  <c r="AL86" i="21" s="1"/>
  <c r="AI50" i="21"/>
  <c r="AG64" i="21"/>
  <c r="AL64" i="21" s="1"/>
  <c r="AG75" i="21"/>
  <c r="AK99" i="21"/>
  <c r="AJ159" i="21"/>
  <c r="AH117" i="21"/>
  <c r="AL117" i="21" s="1"/>
  <c r="AI119" i="21"/>
  <c r="AL119" i="21" s="1"/>
  <c r="AG59" i="21"/>
  <c r="AH200" i="21"/>
  <c r="AL200" i="21" s="1"/>
  <c r="AE80" i="21"/>
  <c r="AG161" i="21"/>
  <c r="AG165" i="21"/>
  <c r="AI52" i="21"/>
  <c r="AH112" i="21"/>
  <c r="AK47" i="21"/>
  <c r="AK39" i="21"/>
  <c r="AG63" i="21"/>
  <c r="AL207" i="21"/>
  <c r="AK100" i="21"/>
  <c r="AH114" i="21"/>
  <c r="AJ167" i="21"/>
  <c r="AH179" i="21"/>
  <c r="AH181" i="21"/>
  <c r="AE97" i="21"/>
  <c r="AL97" i="21" s="1"/>
  <c r="AK89" i="21"/>
  <c r="AK86" i="21"/>
  <c r="AH182" i="21"/>
  <c r="AK52" i="21"/>
  <c r="AH189" i="21"/>
  <c r="AL189" i="21" s="1"/>
  <c r="AH184" i="21"/>
  <c r="AK28" i="21"/>
  <c r="AG182" i="21"/>
  <c r="AL182" i="21" s="1"/>
  <c r="AK50" i="21"/>
  <c r="AI110" i="21"/>
  <c r="AI39" i="21"/>
  <c r="AL39" i="21" s="1"/>
  <c r="AJ171" i="21"/>
  <c r="AG168" i="21"/>
  <c r="AK46" i="21"/>
  <c r="AJ177" i="21"/>
  <c r="AH180" i="21"/>
  <c r="AL180" i="21" s="1"/>
  <c r="AK78" i="21"/>
  <c r="AL78" i="21" s="1"/>
  <c r="AG181" i="21"/>
  <c r="AE88" i="21"/>
  <c r="AI124" i="21"/>
  <c r="AL124" i="21" s="1"/>
  <c r="AG61" i="21"/>
  <c r="AL61" i="21" s="1"/>
  <c r="AI45" i="21"/>
  <c r="AG66" i="21"/>
  <c r="AL66" i="21" s="1"/>
  <c r="AL226" i="21"/>
  <c r="AH127" i="21"/>
  <c r="AL127" i="21" s="1"/>
  <c r="AI118" i="21"/>
  <c r="AL118" i="21" s="1"/>
  <c r="AJ163" i="21"/>
  <c r="AI47" i="21"/>
  <c r="AI28" i="21"/>
  <c r="AG65" i="21"/>
  <c r="AL65" i="21" s="1"/>
  <c r="AH125" i="21"/>
  <c r="AL125" i="21" s="1"/>
  <c r="AH194" i="21"/>
  <c r="AG73" i="21"/>
  <c r="AJ153" i="21"/>
  <c r="AJ160" i="21"/>
  <c r="AK79" i="21"/>
  <c r="AI37" i="21"/>
  <c r="AL221" i="21"/>
  <c r="AE89" i="21"/>
  <c r="AG77" i="21"/>
  <c r="AL77" i="21" s="1"/>
  <c r="AG62" i="21"/>
  <c r="AL62" i="21" s="1"/>
  <c r="AK88" i="21"/>
  <c r="AK87" i="21"/>
  <c r="AH123" i="21"/>
  <c r="AL123" i="21" s="1"/>
  <c r="AG171" i="21"/>
  <c r="AL171" i="21" s="1"/>
  <c r="AG68" i="21"/>
  <c r="AL68" i="21" s="1"/>
  <c r="AE81" i="21"/>
  <c r="AJ168" i="21"/>
  <c r="AI121" i="21"/>
  <c r="AL121" i="21" s="1"/>
  <c r="AK38" i="21"/>
  <c r="AK40" i="21"/>
  <c r="AI41" i="21"/>
  <c r="AL41" i="21" s="1"/>
  <c r="AI48" i="21"/>
  <c r="AI33" i="21"/>
  <c r="AK93" i="21"/>
  <c r="AJ187" i="21"/>
  <c r="AG57" i="21"/>
  <c r="AK37" i="21"/>
  <c r="AL37" i="21" s="1"/>
  <c r="AI49" i="21"/>
  <c r="AJ170" i="21"/>
  <c r="AG196" i="21"/>
  <c r="AL196" i="21" s="1"/>
  <c r="AL176" i="21"/>
  <c r="S52" i="21"/>
  <c r="S265" i="21"/>
  <c r="S249" i="21"/>
  <c r="S232" i="21"/>
  <c r="S105" i="21"/>
  <c r="S78" i="21"/>
  <c r="S57" i="21"/>
  <c r="S49" i="21"/>
  <c r="S40" i="21"/>
  <c r="S14" i="21"/>
  <c r="S68" i="21"/>
  <c r="S146" i="21"/>
  <c r="S58" i="21"/>
  <c r="S194" i="21"/>
  <c r="S169" i="21"/>
  <c r="S18" i="21"/>
  <c r="S120" i="21"/>
  <c r="S137" i="21"/>
  <c r="S201" i="21"/>
  <c r="S64" i="21"/>
  <c r="S53" i="21"/>
  <c r="S148" i="21"/>
  <c r="S66" i="21"/>
  <c r="S108" i="21"/>
  <c r="S8" i="21"/>
  <c r="S16" i="21"/>
  <c r="S189" i="21"/>
  <c r="S62" i="21"/>
  <c r="S188" i="21"/>
  <c r="S43" i="21"/>
  <c r="S173" i="21"/>
  <c r="S157" i="21"/>
  <c r="S245" i="21"/>
  <c r="S65" i="21"/>
  <c r="S149" i="21"/>
  <c r="S230" i="21"/>
  <c r="S124" i="21"/>
  <c r="S26" i="21"/>
  <c r="S139" i="21"/>
  <c r="S60" i="21"/>
  <c r="S166" i="21"/>
  <c r="AL30" i="21"/>
  <c r="S93" i="21"/>
  <c r="S213" i="21"/>
  <c r="S112" i="21"/>
  <c r="S253" i="21"/>
  <c r="S223" i="21"/>
  <c r="S196" i="21"/>
  <c r="S165" i="21"/>
  <c r="S45" i="21"/>
  <c r="S242" i="21"/>
  <c r="S267" i="21"/>
  <c r="S76" i="21"/>
  <c r="S59" i="21"/>
  <c r="S140" i="21"/>
  <c r="S172" i="21"/>
  <c r="S47" i="21"/>
  <c r="S24" i="21"/>
  <c r="AL203" i="21"/>
  <c r="S199" i="21"/>
  <c r="S123" i="21"/>
  <c r="S136" i="21"/>
  <c r="S153" i="21"/>
  <c r="AL157" i="21"/>
  <c r="S182" i="21"/>
  <c r="S240" i="21"/>
  <c r="S258" i="21"/>
  <c r="S145" i="21"/>
  <c r="S233" i="21"/>
  <c r="AL55" i="21"/>
  <c r="AL216" i="21"/>
  <c r="AL84" i="21"/>
  <c r="S133" i="21"/>
  <c r="S180" i="21"/>
  <c r="S171" i="21"/>
  <c r="S117" i="21"/>
  <c r="S198" i="21"/>
  <c r="S187" i="21"/>
  <c r="S113" i="21"/>
  <c r="S110" i="21"/>
  <c r="AL183" i="21"/>
  <c r="AL82" i="21"/>
  <c r="AL161" i="21"/>
  <c r="S74" i="21"/>
  <c r="S206" i="21"/>
  <c r="AL249" i="21"/>
  <c r="AL215" i="21"/>
  <c r="AL24" i="21"/>
  <c r="AL18" i="21"/>
  <c r="AL158" i="21"/>
  <c r="AL246" i="21"/>
  <c r="AL32" i="21"/>
  <c r="S184" i="21"/>
  <c r="S181" i="21"/>
  <c r="S163" i="21"/>
  <c r="AL28" i="21"/>
  <c r="AL193" i="21"/>
  <c r="AL240" i="21"/>
  <c r="AL237" i="21"/>
  <c r="AL167" i="21"/>
  <c r="AL75" i="21"/>
  <c r="AL164" i="21"/>
  <c r="S79" i="21"/>
  <c r="S256" i="21"/>
  <c r="S244" i="21"/>
  <c r="AL4" i="21"/>
  <c r="AL54" i="21"/>
  <c r="S83" i="21"/>
  <c r="S218" i="21"/>
  <c r="AL69" i="21"/>
  <c r="AL53" i="21"/>
  <c r="AL154" i="21"/>
  <c r="S25" i="21"/>
  <c r="AL104" i="21"/>
  <c r="AL34" i="21"/>
  <c r="AL93" i="21"/>
  <c r="AL31" i="21"/>
  <c r="AL194" i="21"/>
  <c r="AL70" i="21"/>
  <c r="AL210" i="21"/>
  <c r="AL228" i="21"/>
  <c r="S28" i="21"/>
  <c r="S237" i="21"/>
  <c r="AL204" i="21"/>
  <c r="AL42" i="21"/>
  <c r="AL248" i="21"/>
  <c r="AL85" i="21"/>
  <c r="AL218" i="21"/>
  <c r="AL38" i="21"/>
  <c r="AL114" i="21"/>
  <c r="AL205" i="21"/>
  <c r="AL239" i="21"/>
  <c r="AL17" i="21"/>
  <c r="AL186" i="21"/>
  <c r="AL187" i="21"/>
  <c r="S50" i="21"/>
  <c r="AL115" i="21"/>
  <c r="AL35" i="21"/>
  <c r="AL213" i="21"/>
  <c r="AL111" i="21"/>
  <c r="AL71" i="21"/>
  <c r="AL73" i="21"/>
  <c r="S254" i="21"/>
  <c r="AL59" i="21"/>
  <c r="AL229" i="21"/>
  <c r="AL7" i="21"/>
  <c r="AL27" i="21"/>
  <c r="AL163" i="21"/>
  <c r="AL83" i="21"/>
  <c r="AL81" i="21"/>
  <c r="S21" i="21"/>
  <c r="S89" i="21"/>
  <c r="S5" i="21"/>
  <c r="AL23" i="21"/>
  <c r="AL58" i="21"/>
  <c r="AL159" i="21"/>
  <c r="AL109" i="21"/>
  <c r="S38" i="21"/>
  <c r="AL108" i="21"/>
  <c r="AL212" i="21"/>
  <c r="AL15" i="21"/>
  <c r="AL20" i="21"/>
  <c r="AL6" i="21"/>
  <c r="AL235" i="21"/>
  <c r="S19" i="21"/>
  <c r="S227" i="21"/>
  <c r="S167" i="21"/>
  <c r="AL113" i="21"/>
  <c r="AL165" i="21"/>
  <c r="AL155" i="21"/>
  <c r="AL106" i="21"/>
  <c r="AL16" i="21"/>
  <c r="AL214" i="21"/>
  <c r="AL13" i="21"/>
  <c r="AL63" i="21"/>
  <c r="AL241" i="21"/>
  <c r="AL103" i="21"/>
  <c r="AL185" i="21"/>
  <c r="AL234" i="21"/>
  <c r="AL76" i="21"/>
  <c r="AL247" i="21"/>
  <c r="AL5" i="21"/>
  <c r="AL72" i="21"/>
  <c r="AL14" i="21"/>
  <c r="S27" i="21"/>
  <c r="S134" i="21"/>
  <c r="S203" i="21"/>
  <c r="S217" i="21"/>
  <c r="S114" i="21"/>
  <c r="AL8" i="21"/>
  <c r="AL57" i="21"/>
  <c r="AL25" i="21"/>
  <c r="AL233" i="21"/>
  <c r="AL206" i="21"/>
  <c r="AL217" i="21"/>
  <c r="AL179" i="21"/>
  <c r="AL166" i="21"/>
  <c r="AL36" i="21"/>
  <c r="S185" i="21"/>
  <c r="S67" i="21"/>
  <c r="AL192" i="21"/>
  <c r="AL19" i="21"/>
  <c r="AL74" i="21"/>
  <c r="AL184" i="21"/>
  <c r="AL33" i="21"/>
  <c r="AL89" i="21"/>
  <c r="AL116" i="21"/>
  <c r="AL26" i="21"/>
  <c r="AL236" i="21"/>
  <c r="AL112" i="21"/>
  <c r="AL110" i="21"/>
  <c r="S263" i="21"/>
  <c r="S29" i="21"/>
  <c r="S226" i="21"/>
  <c r="S266" i="21"/>
  <c r="S80" i="21"/>
  <c r="S119" i="21"/>
  <c r="S20" i="21"/>
  <c r="S179" i="21"/>
  <c r="AL243" i="21"/>
  <c r="AL211" i="21"/>
  <c r="AL153" i="21"/>
  <c r="AL60" i="21"/>
  <c r="AL245" i="21"/>
  <c r="AL238" i="21"/>
  <c r="AL21" i="21"/>
  <c r="AL79" i="21"/>
  <c r="AL56" i="21"/>
  <c r="AL156" i="21"/>
  <c r="S121" i="21"/>
  <c r="S143" i="21"/>
  <c r="S170" i="21"/>
  <c r="S61" i="21"/>
  <c r="S241" i="21"/>
  <c r="S168" i="21"/>
  <c r="S109" i="21"/>
  <c r="S209" i="21"/>
  <c r="S122" i="21"/>
  <c r="S77" i="21"/>
  <c r="S86" i="21"/>
  <c r="S248" i="21"/>
  <c r="S260" i="21"/>
  <c r="S37" i="21"/>
  <c r="S257" i="21"/>
  <c r="S107" i="21"/>
  <c r="S125" i="21"/>
  <c r="S97" i="21"/>
  <c r="S178" i="21"/>
  <c r="S103" i="21"/>
  <c r="S247" i="21"/>
  <c r="S85" i="21"/>
  <c r="S229" i="21"/>
  <c r="S269" i="21"/>
  <c r="S200" i="21"/>
  <c r="S48" i="21"/>
  <c r="S100" i="21"/>
  <c r="S158" i="21"/>
  <c r="S98" i="21"/>
  <c r="S177" i="21"/>
  <c r="S15" i="21"/>
  <c r="S160" i="21"/>
  <c r="S141" i="21"/>
  <c r="S197" i="21"/>
  <c r="S268" i="21"/>
  <c r="S205" i="21"/>
  <c r="S220" i="21"/>
  <c r="S238" i="21"/>
  <c r="S81" i="21"/>
  <c r="S23" i="21"/>
  <c r="S73" i="21"/>
  <c r="S193" i="21"/>
  <c r="S208" i="21"/>
  <c r="S33" i="21"/>
  <c r="S111" i="21"/>
  <c r="S138" i="21"/>
  <c r="S221" i="21"/>
  <c r="S6" i="21"/>
  <c r="S46" i="21"/>
  <c r="S7" i="21"/>
  <c r="S239" i="21"/>
  <c r="S75" i="21"/>
  <c r="S88" i="21"/>
  <c r="S41" i="21"/>
  <c r="S261" i="21"/>
  <c r="S219" i="21"/>
  <c r="S207" i="21"/>
  <c r="S135" i="21"/>
  <c r="S231" i="21"/>
  <c r="S228" i="21"/>
  <c r="S259" i="21"/>
  <c r="S39" i="21"/>
  <c r="S106" i="21"/>
  <c r="S128" i="21"/>
  <c r="S127" i="21"/>
  <c r="S161" i="21"/>
  <c r="S118" i="21"/>
  <c r="S13" i="21"/>
  <c r="S87" i="21"/>
  <c r="S159" i="21"/>
  <c r="S279" i="21"/>
  <c r="S183" i="21"/>
  <c r="S63" i="21"/>
  <c r="S17" i="21"/>
  <c r="S255" i="21"/>
  <c r="S101" i="21"/>
  <c r="S147" i="21"/>
  <c r="S195" i="21"/>
  <c r="S99" i="21"/>
  <c r="S291" i="21"/>
  <c r="S51" i="21"/>
  <c r="S243" i="21"/>
  <c r="S4" i="21"/>
  <c r="AL181" i="21" l="1"/>
  <c r="AL100" i="21"/>
  <c r="AL80" i="21"/>
  <c r="AL177" i="21"/>
  <c r="AL170" i="21"/>
  <c r="AL88" i="21"/>
  <c r="AL168" i="21"/>
  <c r="AL40" i="21"/>
  <c r="AL29" i="21"/>
  <c r="AL87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H7" authorId="0" shapeId="0" xr:uid="{56553D7F-7654-48B6-BC61-FDCC51570D70}">
      <text>
        <r>
          <rPr>
            <b/>
            <sz val="9"/>
            <color indexed="81"/>
            <rFont val="돋움"/>
            <family val="3"/>
            <charset val="129"/>
          </rPr>
          <t>회피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1" authorId="0" shapeId="0" xr:uid="{D0A3D99B-B48B-4EEA-8BF7-885A44B443D9}">
      <text>
        <r>
          <rPr>
            <sz val="9"/>
            <color indexed="81"/>
            <rFont val="돋움"/>
            <family val="3"/>
            <charset val="129"/>
          </rPr>
          <t>명중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T2" authorId="0" shapeId="0" xr:uid="{96BEB5C3-8C54-4B6A-B229-C7538918D5C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 shapeId="0" xr:uid="{BD629E98-2DF3-4349-A8E9-B1545EB32CA4}">
      <text>
        <r>
          <rPr>
            <b/>
            <sz val="9"/>
            <color indexed="81"/>
            <rFont val="돋움"/>
            <family val="3"/>
            <charset val="129"/>
          </rPr>
          <t>회피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<sst xmlns="http://schemas.openxmlformats.org/spreadsheetml/2006/main" count="1511" uniqueCount="674">
  <si>
    <t>Type</t>
    <phoneticPr fontId="1" type="noConversion"/>
  </si>
  <si>
    <t>Value</t>
    <phoneticPr fontId="1" type="noConversion"/>
  </si>
  <si>
    <t>base_stats</t>
    <phoneticPr fontId="1" type="noConversion"/>
  </si>
  <si>
    <t>설명</t>
    <phoneticPr fontId="1" type="noConversion"/>
  </si>
  <si>
    <t>Level</t>
    <phoneticPr fontId="1" type="noConversion"/>
  </si>
  <si>
    <t>M1</t>
    <phoneticPr fontId="1" type="noConversion"/>
  </si>
  <si>
    <t>생명,대미지,방어율,숙련도,행운,이동속도,행동력</t>
    <phoneticPr fontId="1" type="noConversion"/>
  </si>
  <si>
    <t>Attack</t>
    <phoneticPr fontId="1" type="noConversion"/>
  </si>
  <si>
    <t>Defense</t>
    <phoneticPr fontId="1" type="noConversion"/>
  </si>
  <si>
    <t>Hp</t>
    <phoneticPr fontId="1" type="noConversion"/>
  </si>
  <si>
    <t>CriticalRate</t>
    <phoneticPr fontId="1" type="noConversion"/>
  </si>
  <si>
    <t>CriticalDamage</t>
    <phoneticPr fontId="1" type="noConversion"/>
  </si>
  <si>
    <t xml:space="preserve">Accuracy </t>
    <phoneticPr fontId="1" type="noConversion"/>
  </si>
  <si>
    <t>Hero_Image</t>
    <phoneticPr fontId="1" type="noConversion"/>
  </si>
  <si>
    <t>1번캐릭터,2번캐릭터,3번캐릭터,4번캐릭터</t>
    <phoneticPr fontId="1" type="noConversion"/>
  </si>
  <si>
    <t>"Hero_1,Hero_2,Hero_3,Hero_4"</t>
    <phoneticPr fontId="1" type="noConversion"/>
  </si>
  <si>
    <t>DodgeRate</t>
  </si>
  <si>
    <t>DodgeRate</t>
    <phoneticPr fontId="1" type="noConversion"/>
  </si>
  <si>
    <t>대미지</t>
    <phoneticPr fontId="1" type="noConversion"/>
  </si>
  <si>
    <t>방어율</t>
    <phoneticPr fontId="1" type="noConversion"/>
  </si>
  <si>
    <t>숙련도</t>
    <phoneticPr fontId="1" type="noConversion"/>
  </si>
  <si>
    <t>행운</t>
    <phoneticPr fontId="1" type="noConversion"/>
  </si>
  <si>
    <t>생명</t>
    <phoneticPr fontId="1" type="noConversion"/>
  </si>
  <si>
    <t>HP</t>
    <phoneticPr fontId="1" type="noConversion"/>
  </si>
  <si>
    <t>Hp</t>
  </si>
  <si>
    <t>Defense</t>
  </si>
  <si>
    <t>Attack</t>
  </si>
  <si>
    <t>CriticalDamage</t>
  </si>
  <si>
    <t>CriticalRate</t>
  </si>
  <si>
    <t>1차스탯 올리면 올라갈 2차스탯 계수</t>
    <phoneticPr fontId="1" type="noConversion"/>
  </si>
  <si>
    <t>Strength</t>
    <phoneticPr fontId="1" type="noConversion"/>
  </si>
  <si>
    <t>Power</t>
    <phoneticPr fontId="1" type="noConversion"/>
  </si>
  <si>
    <t>Proficiency</t>
    <phoneticPr fontId="1" type="noConversion"/>
  </si>
  <si>
    <t>Luck</t>
    <phoneticPr fontId="1" type="noConversion"/>
  </si>
  <si>
    <t xml:space="preserve">Image </t>
  </si>
  <si>
    <t>Hp,Attack,Defense,CriticalRate,CriticalDamage,Accuracy,DodgeRate</t>
    <phoneticPr fontId="1" type="noConversion"/>
  </si>
  <si>
    <t>현재 만들어져 있는 1차 스탯 생명,대미지,방어율,숙련도,행운을 올리면 2차스 탯이 올라갈거야
2차 스탯은 Hp,Attack,Defense,CriticalRate,CriticalDamage,Accuracy,DodgeRate 이거고
생명 1스탯을 올리면 아래 값을 곱하는거야
1.8,1,1.2,1,1,1.2,1 = Hp,Attack,Defense,CriticalRate,CriticalDamage,Accuracy,DodgeRate 이순서로 곱해서 2차스탯 만들면 돼
생명 = Health
대미지 = Power
방어율 = Strength
숙련도 = Proficiency
행운 = Luck</t>
    <phoneticPr fontId="1" type="noConversion"/>
  </si>
  <si>
    <t>체력,공격력,방어율,크리티컬확률,크리티컬대미지,명중률,회피율</t>
    <phoneticPr fontId="1" type="noConversion"/>
  </si>
  <si>
    <t>Speed</t>
    <phoneticPr fontId="1" type="noConversion"/>
  </si>
  <si>
    <t>Stamina</t>
    <phoneticPr fontId="1" type="noConversion"/>
  </si>
  <si>
    <t>Accuracy</t>
    <phoneticPr fontId="1" type="noConversion"/>
  </si>
  <si>
    <t>ID</t>
    <phoneticPr fontId="1" type="noConversion"/>
  </si>
  <si>
    <t>Health</t>
    <phoneticPr fontId="1" type="noConversion"/>
  </si>
  <si>
    <t>이동속도 10이 최대</t>
    <phoneticPr fontId="1" type="noConversion"/>
  </si>
  <si>
    <t>투구</t>
  </si>
  <si>
    <t>Helmet</t>
  </si>
  <si>
    <t>팬던트</t>
  </si>
  <si>
    <t>Pendant</t>
  </si>
  <si>
    <t>장갑</t>
  </si>
  <si>
    <t>Gloves</t>
  </si>
  <si>
    <t>부츠</t>
  </si>
  <si>
    <t>Boots</t>
  </si>
  <si>
    <t>코일</t>
  </si>
  <si>
    <t>Bracelet</t>
  </si>
  <si>
    <t>망토</t>
  </si>
  <si>
    <t>Cloak</t>
  </si>
  <si>
    <t>왕관</t>
  </si>
  <si>
    <t>Crown</t>
  </si>
  <si>
    <t>팔보호구</t>
  </si>
  <si>
    <t>Armguard</t>
  </si>
  <si>
    <t>상의</t>
  </si>
  <si>
    <t>Armor</t>
  </si>
  <si>
    <t>하의</t>
  </si>
  <si>
    <t>Pants</t>
  </si>
  <si>
    <t>검</t>
  </si>
  <si>
    <t>Sword</t>
  </si>
  <si>
    <t>방패</t>
  </si>
  <si>
    <t>Shield</t>
  </si>
  <si>
    <t>밴드</t>
  </si>
  <si>
    <t>Band</t>
  </si>
  <si>
    <t>악세서리</t>
  </si>
  <si>
    <t>Accessory</t>
  </si>
  <si>
    <t>타입</t>
    <phoneticPr fontId="1" type="noConversion"/>
  </si>
  <si>
    <t>종류</t>
    <phoneticPr fontId="1" type="noConversion"/>
  </si>
  <si>
    <t>비고</t>
    <phoneticPr fontId="1" type="noConversion"/>
  </si>
  <si>
    <t>무기종류</t>
    <phoneticPr fontId="1" type="noConversion"/>
  </si>
  <si>
    <t>가격계수</t>
    <phoneticPr fontId="1" type="noConversion"/>
  </si>
  <si>
    <t>가격베이스</t>
    <phoneticPr fontId="1" type="noConversion"/>
  </si>
  <si>
    <t>Helmet</t>
    <phoneticPr fontId="1" type="noConversion"/>
  </si>
  <si>
    <t>InventorySlot</t>
    <phoneticPr fontId="1" type="noConversion"/>
  </si>
  <si>
    <t>M2</t>
  </si>
  <si>
    <t>InventorySlot_Text</t>
    <phoneticPr fontId="1" type="noConversion"/>
  </si>
  <si>
    <t>1레벨업 당 획득 하는 스탯 포인트</t>
    <phoneticPr fontId="1" type="noConversion"/>
  </si>
  <si>
    <t>LevelUpGainPoint</t>
    <phoneticPr fontId="1" type="noConversion"/>
  </si>
  <si>
    <t>Power</t>
  </si>
  <si>
    <t>Strength</t>
  </si>
  <si>
    <t>Proficiency</t>
  </si>
  <si>
    <t>Luck</t>
  </si>
  <si>
    <t>Speed</t>
  </si>
  <si>
    <t>Stamina</t>
  </si>
  <si>
    <t>Accuracy</t>
  </si>
  <si>
    <t>HpRate</t>
  </si>
  <si>
    <t>AttackRate</t>
  </si>
  <si>
    <t>DefenseRate</t>
  </si>
  <si>
    <t>스탯명</t>
  </si>
  <si>
    <t>설명</t>
  </si>
  <si>
    <t>형식</t>
  </si>
  <si>
    <t>float</t>
  </si>
  <si>
    <t>체력 % 증가</t>
  </si>
  <si>
    <t>공격력 % 증가</t>
  </si>
  <si>
    <t>방어율 % 증가</t>
  </si>
  <si>
    <t>크리티컬 확률 % 증가</t>
  </si>
  <si>
    <t>크리티컬 대미지 % 증가</t>
  </si>
  <si>
    <t>명중 % 증가</t>
  </si>
  <si>
    <t>회피율 % 증가</t>
  </si>
  <si>
    <t>int</t>
  </si>
  <si>
    <t>레벨업 포인트, 아이템, 스킬</t>
  </si>
  <si>
    <t>힘</t>
  </si>
  <si>
    <t>근력</t>
  </si>
  <si>
    <t>숙련도</t>
  </si>
  <si>
    <t>행운</t>
  </si>
  <si>
    <t>이동속도</t>
  </si>
  <si>
    <t>장비 전용</t>
  </si>
  <si>
    <t>행동력</t>
  </si>
  <si>
    <t>장비, 스킬 전용</t>
  </si>
  <si>
    <t>체력</t>
  </si>
  <si>
    <t>장비, 스킬</t>
  </si>
  <si>
    <t>공격력</t>
  </si>
  <si>
    <t>방어율</t>
  </si>
  <si>
    <t>크리티컬 확률</t>
  </si>
  <si>
    <t>크리티컬 대미지</t>
  </si>
  <si>
    <t>명중</t>
  </si>
  <si>
    <t>회피율</t>
  </si>
  <si>
    <t>2차스탯</t>
    <phoneticPr fontId="1" type="noConversion"/>
  </si>
  <si>
    <t>2차스탯비율</t>
    <phoneticPr fontId="1" type="noConversion"/>
  </si>
  <si>
    <t>CriticalChance</t>
    <phoneticPr fontId="1" type="noConversion"/>
  </si>
  <si>
    <t>CriticalChanceRate</t>
    <phoneticPr fontId="1" type="noConversion"/>
  </si>
  <si>
    <t>DodgeChance</t>
    <phoneticPr fontId="1" type="noConversion"/>
  </si>
  <si>
    <t>DodgeChanceRate</t>
    <phoneticPr fontId="1" type="noConversion"/>
  </si>
  <si>
    <t>1차스탯,장비, 스킬</t>
    <phoneticPr fontId="1" type="noConversion"/>
  </si>
  <si>
    <t>육성 콘텐츠</t>
    <phoneticPr fontId="1" type="noConversion"/>
  </si>
  <si>
    <t>분류</t>
    <phoneticPr fontId="1" type="noConversion"/>
  </si>
  <si>
    <t>1차스탯</t>
    <phoneticPr fontId="1" type="noConversion"/>
  </si>
  <si>
    <t>총스탯타입</t>
    <phoneticPr fontId="1" type="noConversion"/>
  </si>
  <si>
    <t>M5</t>
  </si>
  <si>
    <t>M4</t>
  </si>
  <si>
    <t>M3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</si>
  <si>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</si>
  <si>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</si>
  <si>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</si>
  <si>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</si>
  <si>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</si>
  <si>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</si>
  <si>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</si>
  <si>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</si>
  <si>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</si>
  <si>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</si>
  <si>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</si>
  <si>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</si>
  <si>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</si>
  <si>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</si>
  <si>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</si>
  <si>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</si>
  <si>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</si>
  <si>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</si>
  <si>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</si>
  <si>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</si>
  <si>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</si>
  <si>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</si>
  <si>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</si>
  <si>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</si>
  <si>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</si>
  <si>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</si>
  <si>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</si>
  <si>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</si>
  <si>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</si>
  <si>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</si>
  <si>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</si>
  <si>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</si>
  <si>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</si>
  <si>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</si>
  <si>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</si>
  <si>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</si>
  <si>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</si>
  <si>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</si>
  <si>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</si>
  <si>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</si>
  <si>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</si>
  <si>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</si>
  <si>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</si>
  <si>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</si>
  <si>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</si>
  <si>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</si>
  <si>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</si>
  <si>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</si>
  <si>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</si>
  <si>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</si>
  <si>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</si>
  <si>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</si>
  <si>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</si>
  <si>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</si>
  <si>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</si>
  <si>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</si>
  <si>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</si>
  <si>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</si>
  <si>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</si>
  <si>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</si>
  <si>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</si>
  <si>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</si>
  <si>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</si>
  <si>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</si>
  <si>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</si>
  <si>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</si>
  <si>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</si>
  <si>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</si>
  <si>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</si>
  <si>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</si>
  <si>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</si>
  <si>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</si>
  <si>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</si>
  <si>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</si>
  <si>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</si>
  <si>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</si>
  <si>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</si>
  <si>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</si>
  <si>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</si>
  <si>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</si>
  <si>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</si>
  <si>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</si>
  <si>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</si>
  <si>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</si>
  <si>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</si>
  <si>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</si>
  <si>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</si>
  <si>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</si>
  <si>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</si>
  <si>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</si>
  <si>
    <t>M100</t>
  </si>
  <si>
    <t>M101</t>
  </si>
  <si>
    <t>M102</t>
  </si>
  <si>
    <t>M103</t>
  </si>
  <si>
    <t>M104</t>
  </si>
  <si>
    <t>M105</t>
  </si>
  <si>
    <t>M106</t>
  </si>
  <si>
    <t>M107</t>
  </si>
  <si>
    <t>M108</t>
  </si>
  <si>
    <t>M109</t>
  </si>
  <si>
    <t>M110</t>
  </si>
  <si>
    <t>M111</t>
  </si>
  <si>
    <t>M112</t>
  </si>
  <si>
    <t>M113</t>
  </si>
  <si>
    <t>M114</t>
  </si>
  <si>
    <t>M115</t>
  </si>
  <si>
    <t>M116</t>
  </si>
  <si>
    <t>M117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</si>
  <si>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</si>
  <si>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</si>
  <si>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</si>
  <si>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</si>
  <si>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</si>
  <si>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</si>
  <si>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</si>
  <si>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</si>
  <si>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</si>
  <si>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</si>
  <si>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</si>
  <si>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</si>
  <si>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</si>
  <si>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</si>
  <si>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</si>
  <si>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</si>
  <si>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</si>
  <si>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</si>
  <si>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M136</t>
  </si>
  <si>
    <t>M137</t>
  </si>
  <si>
    <t>M138</t>
  </si>
  <si>
    <t>M139</t>
  </si>
  <si>
    <t>M140</t>
  </si>
  <si>
    <t>M141</t>
  </si>
  <si>
    <t>M142</t>
  </si>
  <si>
    <t>M143</t>
  </si>
  <si>
    <t>M144</t>
  </si>
  <si>
    <t>M145</t>
  </si>
  <si>
    <t>M146</t>
  </si>
  <si>
    <t>M147</t>
  </si>
  <si>
    <t>M148</t>
  </si>
  <si>
    <t>M149</t>
  </si>
  <si>
    <t>M150</t>
  </si>
  <si>
    <t>M151</t>
  </si>
  <si>
    <t>M152</t>
  </si>
  <si>
    <t>M153</t>
  </si>
  <si>
    <t>M154</t>
  </si>
  <si>
    <t>M155</t>
  </si>
  <si>
    <t>M156</t>
  </si>
  <si>
    <t>M157</t>
  </si>
  <si>
    <t>M158</t>
  </si>
  <si>
    <t>M159</t>
  </si>
  <si>
    <t>M160</t>
  </si>
  <si>
    <t>M161</t>
  </si>
  <si>
    <t>M162</t>
  </si>
  <si>
    <t>M163</t>
  </si>
  <si>
    <t>M164</t>
  </si>
  <si>
    <t>M165</t>
  </si>
  <si>
    <t>M166</t>
  </si>
  <si>
    <t>M167</t>
  </si>
  <si>
    <t>M168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</si>
  <si>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</si>
  <si>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</si>
  <si>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</si>
  <si>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</si>
  <si>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</si>
  <si>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</si>
  <si>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</si>
  <si>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</si>
  <si>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</si>
  <si>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</si>
  <si>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</si>
  <si>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</si>
  <si>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</si>
  <si>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</si>
  <si>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</si>
  <si>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</si>
  <si>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</si>
  <si>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</si>
  <si>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M187</t>
  </si>
  <si>
    <t>M188</t>
  </si>
  <si>
    <t>M189</t>
  </si>
  <si>
    <t>M190</t>
  </si>
  <si>
    <t>M191</t>
  </si>
  <si>
    <t>M192</t>
  </si>
  <si>
    <t>M193</t>
  </si>
  <si>
    <t>M194</t>
  </si>
  <si>
    <t>M195</t>
  </si>
  <si>
    <t>M196</t>
  </si>
  <si>
    <t>M197</t>
  </si>
  <si>
    <t>M198</t>
  </si>
  <si>
    <t>M199</t>
  </si>
  <si>
    <t>M200</t>
  </si>
  <si>
    <t>M201</t>
  </si>
  <si>
    <t>M202</t>
  </si>
  <si>
    <t>M203</t>
  </si>
  <si>
    <t>M204</t>
  </si>
  <si>
    <t>M205</t>
  </si>
  <si>
    <t>M206</t>
  </si>
  <si>
    <t>M207</t>
  </si>
  <si>
    <t>M208</t>
  </si>
  <si>
    <t>M209</t>
  </si>
  <si>
    <t>M210</t>
  </si>
  <si>
    <t>M211</t>
  </si>
  <si>
    <t>M212</t>
  </si>
  <si>
    <t>M213</t>
  </si>
  <si>
    <t>M214</t>
  </si>
  <si>
    <t>M215</t>
  </si>
  <si>
    <t>M216</t>
  </si>
  <si>
    <t>M217</t>
  </si>
  <si>
    <t>M218</t>
  </si>
  <si>
    <t>M219</t>
  </si>
  <si>
    <t>M220</t>
  </si>
  <si>
    <t>M221</t>
  </si>
  <si>
    <t>M222</t>
  </si>
  <si>
    <t>M223</t>
  </si>
  <si>
    <t>M224</t>
  </si>
  <si>
    <t>M225</t>
  </si>
  <si>
    <t>M226</t>
  </si>
  <si>
    <t>M227</t>
  </si>
  <si>
    <t>M228</t>
  </si>
  <si>
    <t>M229</t>
  </si>
  <si>
    <t>M230</t>
  </si>
  <si>
    <t>M231</t>
  </si>
  <si>
    <t>M232</t>
  </si>
  <si>
    <t>M233</t>
  </si>
  <si>
    <t>M234</t>
  </si>
  <si>
    <t>M235</t>
  </si>
  <si>
    <t>M236</t>
  </si>
  <si>
    <t>M237</t>
  </si>
  <si>
    <t>M238</t>
  </si>
  <si>
    <t>M239</t>
  </si>
  <si>
    <t>M240</t>
  </si>
  <si>
    <t>M241</t>
  </si>
  <si>
    <t>M242</t>
  </si>
  <si>
    <t>M243</t>
  </si>
  <si>
    <t>M244</t>
  </si>
  <si>
    <t>M245</t>
  </si>
  <si>
    <t>M246</t>
  </si>
  <si>
    <t>M247</t>
  </si>
  <si>
    <t>M248</t>
  </si>
  <si>
    <t>M249</t>
  </si>
  <si>
    <t>M250</t>
  </si>
  <si>
    <t>M252</t>
  </si>
  <si>
    <t>M253</t>
  </si>
  <si>
    <t>M254</t>
  </si>
  <si>
    <t>M255</t>
  </si>
  <si>
    <t>M256</t>
  </si>
  <si>
    <t>M257</t>
  </si>
  <si>
    <t>M258</t>
  </si>
  <si>
    <t>M259</t>
  </si>
  <si>
    <t>M260</t>
  </si>
  <si>
    <t>M261</t>
  </si>
  <si>
    <t>M262</t>
  </si>
  <si>
    <t>M263</t>
  </si>
  <si>
    <t>M264</t>
  </si>
  <si>
    <t>M265</t>
  </si>
  <si>
    <t>M266</t>
  </si>
  <si>
    <t>M267</t>
  </si>
  <si>
    <t>M268</t>
  </si>
  <si>
    <t>M269</t>
  </si>
  <si>
    <t>M270</t>
  </si>
  <si>
    <t>M271</t>
  </si>
  <si>
    <t>M272</t>
  </si>
  <si>
    <t>M273</t>
  </si>
  <si>
    <t>M274</t>
  </si>
  <si>
    <t>M275</t>
  </si>
  <si>
    <t>M276</t>
  </si>
  <si>
    <t>M277</t>
  </si>
  <si>
    <t>M278</t>
  </si>
  <si>
    <t>M279</t>
  </si>
  <si>
    <t>M280</t>
  </si>
  <si>
    <t>M281</t>
  </si>
  <si>
    <t>M282</t>
  </si>
  <si>
    <t>M283</t>
  </si>
  <si>
    <t>M284</t>
  </si>
  <si>
    <t>M285</t>
  </si>
  <si>
    <t>M286</t>
  </si>
  <si>
    <t>M287</t>
  </si>
  <si>
    <t>M288</t>
  </si>
  <si>
    <t>M289</t>
  </si>
  <si>
    <t>M290</t>
  </si>
  <si>
    <t>M291</t>
  </si>
  <si>
    <t>M6</t>
  </si>
  <si>
    <t>M7</t>
  </si>
  <si>
    <t>M8</t>
  </si>
  <si>
    <t>M9</t>
  </si>
  <si>
    <t>실효 대미지 = 기본 대미지 × (100 / (100 + 방어력))</t>
    <phoneticPr fontId="1" type="noConversion"/>
  </si>
  <si>
    <t>방어력</t>
    <phoneticPr fontId="1" type="noConversion"/>
  </si>
  <si>
    <t>명중확률 = 명중률 / (명중률 + 회피율)</t>
    <phoneticPr fontId="1" type="noConversion"/>
  </si>
  <si>
    <t>회피율</t>
    <phoneticPr fontId="1" type="noConversion"/>
  </si>
  <si>
    <t>열1</t>
  </si>
  <si>
    <t>Boots</t>
    <phoneticPr fontId="1" type="noConversion"/>
  </si>
  <si>
    <t>Gloves</t>
    <phoneticPr fontId="1" type="noConversion"/>
  </si>
  <si>
    <t>Pants</t>
    <phoneticPr fontId="1" type="noConversion"/>
  </si>
  <si>
    <t>Pendant</t>
    <phoneticPr fontId="1" type="noConversion"/>
  </si>
  <si>
    <t>Bracelet</t>
    <phoneticPr fontId="1" type="noConversion"/>
  </si>
  <si>
    <t>Shield</t>
    <phoneticPr fontId="1" type="noConversion"/>
  </si>
  <si>
    <t>ExpRewardDecayRate</t>
    <phoneticPr fontId="1" type="noConversion"/>
  </si>
  <si>
    <t>ExpRewardMinGuaranteeRate</t>
    <phoneticPr fontId="1" type="noConversion"/>
  </si>
  <si>
    <t>GoldRewardDecayRate</t>
    <phoneticPr fontId="1" type="noConversion"/>
  </si>
  <si>
    <t>GoldRewardMinGuaranteeRate</t>
    <phoneticPr fontId="1" type="noConversion"/>
  </si>
  <si>
    <t>몬스터와 레벨 1차이당 깎이는 경험치 비율</t>
    <phoneticPr fontId="1" type="noConversion"/>
  </si>
  <si>
    <t>최소 보장 경험치 비율</t>
    <phoneticPr fontId="1" type="noConversion"/>
  </si>
  <si>
    <t>베이스</t>
    <phoneticPr fontId="1" type="noConversion"/>
  </si>
  <si>
    <t>1차 스탯 비율</t>
    <phoneticPr fontId="1" type="noConversion"/>
  </si>
  <si>
    <t>1차 스탯 찍힘</t>
    <phoneticPr fontId="1" type="noConversion"/>
  </si>
  <si>
    <t>포인트</t>
    <phoneticPr fontId="1" type="noConversion"/>
  </si>
  <si>
    <t>포인트계수</t>
    <phoneticPr fontId="1" type="noConversion"/>
  </si>
  <si>
    <t>합계</t>
    <phoneticPr fontId="1" type="noConversion"/>
  </si>
  <si>
    <t>스탯계수</t>
    <phoneticPr fontId="1" type="noConversion"/>
  </si>
  <si>
    <t>Lv</t>
    <phoneticPr fontId="1" type="noConversion"/>
  </si>
  <si>
    <t>Attack * (1 + CriticalRate * CriticalDamage)
크리티컬을 반영한 “효과 공격력”
(1 + Accuracy / 100)
명중률(Accuracy%)만큼 공격 가중치
Defense * (1 + DodgeRate / 100)
회피를 곱한 “효과 방어력”
0.05 * Hp
HP 20 = 공격력 1 정도로 환산</t>
    <phoneticPr fontId="1" type="noConversion"/>
  </si>
  <si>
    <t>전투력</t>
    <phoneticPr fontId="1" type="noConversion"/>
  </si>
  <si>
    <t>Staminadecrease</t>
    <phoneticPr fontId="1" type="noConversion"/>
  </si>
  <si>
    <t>패배 시 스태미너 감소</t>
    <phoneticPr fontId="1" type="noConversion"/>
  </si>
  <si>
    <t>공격력</t>
    <phoneticPr fontId="1" type="noConversion"/>
  </si>
  <si>
    <t>체력</t>
    <phoneticPr fontId="1" type="noConversion"/>
  </si>
  <si>
    <t>크리티컬 확률</t>
    <phoneticPr fontId="1" type="noConversion"/>
  </si>
  <si>
    <t>속도</t>
    <phoneticPr fontId="1" type="noConversion"/>
  </si>
  <si>
    <t>명중</t>
    <phoneticPr fontId="1" type="noConversion"/>
  </si>
  <si>
    <t>크리티컬 대미지</t>
    <phoneticPr fontId="1" type="noConversion"/>
  </si>
  <si>
    <t>속도계수 0.5</t>
    <phoneticPr fontId="1" type="noConversion"/>
  </si>
  <si>
    <t>공격형</t>
    <phoneticPr fontId="1" type="noConversion"/>
  </si>
  <si>
    <t>방어형</t>
    <phoneticPr fontId="1" type="noConversion"/>
  </si>
  <si>
    <t>회피형</t>
    <phoneticPr fontId="1" type="noConversion"/>
  </si>
  <si>
    <t>생명계수</t>
    <phoneticPr fontId="1" type="noConversion"/>
  </si>
  <si>
    <t>힘계수</t>
    <phoneticPr fontId="1" type="noConversion"/>
  </si>
  <si>
    <t>근력게수</t>
    <phoneticPr fontId="1" type="noConversion"/>
  </si>
  <si>
    <t>숙련도계수</t>
    <phoneticPr fontId="1" type="noConversion"/>
  </si>
  <si>
    <t>행운계수</t>
    <phoneticPr fontId="1" type="noConversion"/>
  </si>
  <si>
    <t>몬스터계수</t>
    <phoneticPr fontId="1" type="noConversion"/>
  </si>
  <si>
    <t>계수</t>
    <phoneticPr fontId="1" type="noConversion"/>
  </si>
  <si>
    <t>상점 갱신 버튼 다이아 가격</t>
    <phoneticPr fontId="1" type="noConversion"/>
  </si>
  <si>
    <t>ShoopResetDiamond</t>
    <phoneticPr fontId="1" type="noConversion"/>
  </si>
  <si>
    <t>몬스터밸런스</t>
    <phoneticPr fontId="1" type="noConversion"/>
  </si>
  <si>
    <t>아이템밸런스</t>
    <phoneticPr fontId="1" type="noConversion"/>
  </si>
  <si>
    <t>아이템계수</t>
    <phoneticPr fontId="1" type="noConversion"/>
  </si>
  <si>
    <t>INDEX(아이템계수[합계],MATCH(AG12,아이템계수[타입],0))</t>
  </si>
  <si>
    <t>전투력공식: CP = (HP * 1) + (Atk * 10) + (Def * 10) + (CritR\% * 50) + (CritD\% * 5) + (Acc * 5) + (Ddg \* 5)</t>
    <phoneticPr fontId="1" type="noConversion"/>
  </si>
  <si>
    <t>속도핸들러_곱</t>
    <phoneticPr fontId="1" type="noConversion"/>
  </si>
  <si>
    <t>속도핸들러_합</t>
    <phoneticPr fontId="1" type="noConversion"/>
  </si>
  <si>
    <t>보스</t>
    <phoneticPr fontId="1" type="noConversion"/>
  </si>
  <si>
    <t>보스계수</t>
    <phoneticPr fontId="1" type="noConversion"/>
  </si>
  <si>
    <t>체력형</t>
    <phoneticPr fontId="1" type="noConversion"/>
  </si>
  <si>
    <t>이름</t>
    <phoneticPr fontId="1" type="noConversion"/>
  </si>
  <si>
    <t>2,5,8,12</t>
    <phoneticPr fontId="1" type="noConversion"/>
  </si>
  <si>
    <t>final_exp = base_exp × max(최소보장율, 감소율^레벨차이)</t>
    <phoneticPr fontId="1" type="noConversion"/>
  </si>
  <si>
    <t>몬스터와 레벨 1차이당 깎이는 골드/경험치 획득 비율</t>
    <phoneticPr fontId="1" type="noConversion"/>
  </si>
  <si>
    <t xml:space="preserve">최소 보장 골드/경험치 비율 </t>
    <phoneticPr fontId="1" type="noConversion"/>
  </si>
  <si>
    <t>MonsterEnd</t>
    <phoneticPr fontId="1" type="noConversion"/>
  </si>
  <si>
    <t>마지막 몬스터 정의</t>
    <phoneticPr fontId="1" type="noConversion"/>
  </si>
  <si>
    <t>DiamondProp</t>
    <phoneticPr fontId="1" type="noConversion"/>
  </si>
  <si>
    <t>Crown</t>
    <phoneticPr fontId="1" type="noConversion"/>
  </si>
  <si>
    <t>다이아 몬드 드롭 확률</t>
    <phoneticPr fontId="1" type="noConversion"/>
  </si>
  <si>
    <t>희귀도</t>
    <phoneticPr fontId="1" type="noConversion"/>
  </si>
  <si>
    <t>확률</t>
    <phoneticPr fontId="1" type="noConversion"/>
  </si>
  <si>
    <t>일반</t>
    <phoneticPr fontId="1" type="noConversion"/>
  </si>
  <si>
    <t>고급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</si>
  <si>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</si>
  <si>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</si>
  <si>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</si>
  <si>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신화</t>
    <phoneticPr fontId="1" type="noConversion"/>
  </si>
  <si>
    <t>GachaRarityProb</t>
    <phoneticPr fontId="1" type="noConversion"/>
  </si>
  <si>
    <t>ShopRarityProb</t>
    <phoneticPr fontId="1" type="noConversion"/>
  </si>
  <si>
    <t>상점 새로고침 확률</t>
    <phoneticPr fontId="1" type="noConversion"/>
  </si>
  <si>
    <t>뽑기상점 희귀도 별 확률</t>
    <phoneticPr fontId="1" type="noConversion"/>
  </si>
  <si>
    <t>뽑기 상점 획득 확률</t>
    <phoneticPr fontId="1" type="noConversion"/>
  </si>
  <si>
    <t>기본 무기 상점</t>
    <phoneticPr fontId="1" type="noConversion"/>
  </si>
  <si>
    <t>GachaDiaPrice</t>
    <phoneticPr fontId="1" type="noConversion"/>
  </si>
  <si>
    <t>Double</t>
    <phoneticPr fontId="1" type="noConversion"/>
  </si>
  <si>
    <t>Adddmg</t>
    <phoneticPr fontId="1" type="noConversion"/>
  </si>
  <si>
    <t>Prop</t>
    <phoneticPr fontId="1" type="noConversion"/>
  </si>
  <si>
    <t>CriticalStun</t>
    <phoneticPr fontId="1" type="noConversion"/>
  </si>
  <si>
    <t>CriticalAdd</t>
    <phoneticPr fontId="1" type="noConversion"/>
  </si>
  <si>
    <t>크리티컬 터질 때마다 {Prop}% 확률로 {Prop} 추가대미지를 줍니다</t>
    <phoneticPr fontId="1" type="noConversion"/>
  </si>
  <si>
    <t>더블 스킬 발동</t>
    <phoneticPr fontId="1" type="noConversion"/>
  </si>
  <si>
    <t xml:space="preserve">스턴 스킬 발동 </t>
    <phoneticPr fontId="1" type="noConversion"/>
  </si>
  <si>
    <t>크리티컬 터질 때마다 {Prop}% 확률로 {Value}턴 스턴</t>
    <phoneticPr fontId="1" type="noConversion"/>
  </si>
  <si>
    <t>데스티니 발동 추가 대미지 {Value}</t>
    <phoneticPr fontId="1" type="noConversion"/>
  </si>
  <si>
    <t>크리티카나 발동 추가 대미지 {Value}</t>
    <phoneticPr fontId="1" type="noConversion"/>
  </si>
  <si>
    <t>공격 할때마다 {Prop}% 확률로 {Value} 추가대미지</t>
    <phoneticPr fontId="1" type="noConversion"/>
  </si>
  <si>
    <t>공격할때마다 {Prop}% 확률로 두번 공격</t>
    <phoneticPr fontId="1" type="noConversion"/>
  </si>
  <si>
    <t>LogText</t>
    <phoneticPr fontId="1" type="noConversion"/>
  </si>
  <si>
    <t>SkillText</t>
    <phoneticPr fontId="1" type="noConversion"/>
  </si>
  <si>
    <t>크리티컬 터질 때마다 {Prop}% 확률로 {Value} 추가대미지</t>
    <phoneticPr fontId="1" type="noConversion"/>
  </si>
  <si>
    <t>단계</t>
    <phoneticPr fontId="1" type="noConversion"/>
  </si>
  <si>
    <t>순서</t>
    <phoneticPr fontId="1" type="noConversion"/>
  </si>
  <si>
    <t>id</t>
  </si>
  <si>
    <t>name</t>
  </si>
  <si>
    <t>map_id</t>
  </si>
  <si>
    <t>rarity</t>
  </si>
  <si>
    <t>min_size</t>
  </si>
  <si>
    <t>max_size</t>
  </si>
  <si>
    <t>hp</t>
  </si>
  <si>
    <t>min_dist</t>
  </si>
  <si>
    <t>max_dist</t>
  </si>
  <si>
    <t>ring_speed</t>
  </si>
  <si>
    <t>target_radius</t>
  </si>
  <si>
    <t>hold_time</t>
  </si>
  <si>
    <t>gold</t>
  </si>
  <si>
    <t>FISH_01</t>
  </si>
  <si>
    <t>common</t>
  </si>
  <si>
    <t>FISH_02</t>
  </si>
  <si>
    <t>MAP_01</t>
  </si>
  <si>
    <t>FISH_03</t>
  </si>
  <si>
    <t>epic</t>
  </si>
  <si>
    <t>FISH_04</t>
  </si>
  <si>
    <t>FISH_05</t>
  </si>
  <si>
    <t>MAP_02</t>
  </si>
  <si>
    <t>rare</t>
  </si>
  <si>
    <t>FISH_06</t>
  </si>
  <si>
    <t>FISH_07</t>
  </si>
  <si>
    <t>MAP_03</t>
  </si>
  <si>
    <t>FISH_08</t>
  </si>
  <si>
    <t>FISH_09</t>
  </si>
  <si>
    <t>FISH_10</t>
  </si>
  <si>
    <t>FISH_11</t>
  </si>
  <si>
    <t>FISH_12</t>
  </si>
  <si>
    <t>MAP_04</t>
  </si>
  <si>
    <t>category</t>
  </si>
  <si>
    <t>price</t>
  </si>
  <si>
    <t>upgrade_cost</t>
  </si>
  <si>
    <t>stats</t>
  </si>
  <si>
    <t>desc</t>
  </si>
  <si>
    <t>pack_size</t>
  </si>
  <si>
    <t>time_reduction</t>
  </si>
  <si>
    <t>rare_mod</t>
  </si>
  <si>
    <t>epic_mod</t>
  </si>
  <si>
    <t>ROD</t>
  </si>
  <si>
    <t>ROD_01</t>
  </si>
  <si>
    <t>1.0|1.05|1.1|1.15|1.2</t>
  </si>
  <si>
    <t>ROD_02</t>
  </si>
  <si>
    <t>1.2|1.3|1.4|1.5|1.65</t>
  </si>
  <si>
    <t>ROD_03</t>
  </si>
  <si>
    <t>1.7|1.85|2.0|2.15|2.35</t>
  </si>
  <si>
    <t>ROD_04</t>
  </si>
  <si>
    <t>2.5|2.75|3.0|3.3|3.7</t>
  </si>
  <si>
    <t>REEL</t>
  </si>
  <si>
    <t>REEL_01</t>
  </si>
  <si>
    <t>3.0|3.3|3.6|3.9|4.2</t>
  </si>
  <si>
    <t>REEL_02</t>
  </si>
  <si>
    <t>4.5|4.9|5.3|5.7|6.2</t>
  </si>
  <si>
    <t>REEL_03</t>
  </si>
  <si>
    <t>6.5|7.1|7.7|8.3|9.0</t>
  </si>
  <si>
    <t>REEL_04</t>
  </si>
  <si>
    <t>10.0|11.0|12.0|13.0|14.5</t>
  </si>
  <si>
    <t>BOBBER</t>
  </si>
  <si>
    <t>BOB_01</t>
  </si>
  <si>
    <t>0|1|2|3|5</t>
  </si>
  <si>
    <t>BOB_02</t>
  </si>
  <si>
    <t>3|4|5|6|8</t>
  </si>
  <si>
    <t>BOB_03</t>
  </si>
  <si>
    <t>6|8|10|12|15</t>
  </si>
  <si>
    <t>BOB_04</t>
  </si>
  <si>
    <t>12|15|18|22|28</t>
  </si>
  <si>
    <t>KEEP</t>
  </si>
  <si>
    <t>KEEP_01</t>
  </si>
  <si>
    <t>5|8|11|15|20</t>
  </si>
  <si>
    <t>KEEP_02</t>
  </si>
  <si>
    <t>20|25|30|38|50</t>
  </si>
  <si>
    <t>BOAT</t>
  </si>
  <si>
    <t>BOAT_01</t>
  </si>
  <si>
    <t>MAP_01 吏꾩엯 媛??</t>
  </si>
  <si>
    <t>BOAT_02</t>
  </si>
  <si>
    <t>MAP_02 吏꾩엯 媛??</t>
  </si>
  <si>
    <t>BOAT_03</t>
  </si>
  <si>
    <t>MAP_03 吏꾩엯 媛??</t>
  </si>
  <si>
    <t>BOAT_04</t>
  </si>
  <si>
    <t>MAP_04 吏꾩엯 媛??</t>
  </si>
  <si>
    <t>BAIT</t>
  </si>
  <si>
    <t>BAIT_01</t>
  </si>
  <si>
    <t>BAIT_02</t>
  </si>
  <si>
    <t>BAIT_03</t>
  </si>
  <si>
    <t>BAIT_04</t>
  </si>
  <si>
    <t>BAIT_05</t>
  </si>
  <si>
    <t>boat_req</t>
  </si>
  <si>
    <t>min_time</t>
  </si>
  <si>
    <t>max_time</t>
  </si>
  <si>
    <t>rates_common_base</t>
  </si>
  <si>
    <t>rates_common_floor</t>
  </si>
  <si>
    <t>rates_rare_base</t>
  </si>
  <si>
    <t>rates_rare_floor</t>
  </si>
  <si>
    <t>rates_epic_base</t>
  </si>
  <si>
    <t>rates_epic_floor</t>
  </si>
  <si>
    <t>visual_desc</t>
  </si>
  <si>
    <t>bg_color</t>
  </si>
  <si>
    <t>water_color</t>
  </si>
  <si>
    <t>30|45|60</t>
  </si>
  <si>
    <t>50|90|120</t>
  </si>
  <si>
    <t>40|60|80</t>
  </si>
  <si>
    <t>40|120|160</t>
  </si>
  <si>
    <t>25|35|25</t>
  </si>
  <si>
    <t>35|70|50</t>
  </si>
  <si>
    <t>15|10|30</t>
  </si>
  <si>
    <t>60|20|120</t>
  </si>
  <si>
    <t>피라미</t>
    <phoneticPr fontId="1" type="noConversion"/>
  </si>
  <si>
    <t>붕어</t>
    <phoneticPr fontId="1" type="noConversion"/>
  </si>
  <si>
    <t>황금잉어</t>
    <phoneticPr fontId="1" type="noConversion"/>
  </si>
  <si>
    <t>보리멸</t>
    <phoneticPr fontId="1" type="noConversion"/>
  </si>
  <si>
    <t>농어</t>
    <phoneticPr fontId="1" type="noConversion"/>
  </si>
  <si>
    <t>청상아리</t>
    <phoneticPr fontId="1" type="noConversion"/>
  </si>
  <si>
    <t>진흑 메기</t>
    <phoneticPr fontId="1" type="noConversion"/>
  </si>
  <si>
    <t>독가시치</t>
    <phoneticPr fontId="1" type="noConversion"/>
  </si>
  <si>
    <t>늪지 크라켄</t>
    <phoneticPr fontId="1" type="noConversion"/>
  </si>
  <si>
    <t>클라운피시</t>
    <phoneticPr fontId="1" type="noConversion"/>
  </si>
  <si>
    <t>대왕 다랑어</t>
    <phoneticPr fontId="1" type="noConversion"/>
  </si>
  <si>
    <t>화염룡 돗돔</t>
    <phoneticPr fontId="1" type="noConversion"/>
  </si>
  <si>
    <t>대나무 낚싯대</t>
    <phoneticPr fontId="1" type="noConversion"/>
  </si>
  <si>
    <t>카본 카스틸</t>
    <phoneticPr fontId="1" type="noConversion"/>
  </si>
  <si>
    <t>발키리 티타늄</t>
    <phoneticPr fontId="1" type="noConversion"/>
  </si>
  <si>
    <t>포세이돈의 삼지창</t>
    <phoneticPr fontId="1" type="noConversion"/>
  </si>
  <si>
    <t>플라스틱 스핀 릴</t>
    <phoneticPr fontId="1" type="noConversion"/>
  </si>
  <si>
    <t>알루미늄 다이캐스팅</t>
    <phoneticPr fontId="1" type="noConversion"/>
  </si>
  <si>
    <t>골드 드래그 베이트</t>
    <phoneticPr fontId="1" type="noConversion"/>
  </si>
  <si>
    <t>레비아틴 다이얼</t>
    <phoneticPr fontId="1" type="noConversion"/>
  </si>
  <si>
    <t>코르크 원형 찌</t>
    <phoneticPr fontId="1" type="noConversion"/>
  </si>
  <si>
    <t>시인성 오렌지 캐미</t>
    <phoneticPr fontId="1" type="noConversion"/>
  </si>
  <si>
    <t>레이저 발광LED찌</t>
    <phoneticPr fontId="1" type="noConversion"/>
  </si>
  <si>
    <t>스마트 수온 감지찌</t>
    <phoneticPr fontId="1" type="noConversion"/>
  </si>
  <si>
    <t>가죽 살림주머니</t>
    <phoneticPr fontId="1" type="noConversion"/>
  </si>
  <si>
    <t>대형 와이어 살림망</t>
    <phoneticPr fontId="1" type="noConversion"/>
  </si>
  <si>
    <t>기본 맨발</t>
    <phoneticPr fontId="1" type="noConversion"/>
  </si>
  <si>
    <t>1인용 고무 보트</t>
    <phoneticPr fontId="1" type="noConversion"/>
  </si>
  <si>
    <t>구형 목재 어선</t>
    <phoneticPr fontId="1" type="noConversion"/>
  </si>
  <si>
    <t>쾌속 크루저</t>
    <phoneticPr fontId="1" type="noConversion"/>
  </si>
  <si>
    <t>기본 떡밥</t>
    <phoneticPr fontId="1" type="noConversion"/>
  </si>
  <si>
    <t>붉은 지렁이</t>
    <phoneticPr fontId="1" type="noConversion"/>
  </si>
  <si>
    <t>냉동 크리랫우</t>
    <phoneticPr fontId="1" type="noConversion"/>
  </si>
  <si>
    <t>야광 갯지렁이</t>
    <phoneticPr fontId="1" type="noConversion"/>
  </si>
  <si>
    <t>마스터 골드 루어</t>
    <phoneticPr fontId="1" type="noConversion"/>
  </si>
  <si>
    <t>잔잔한 은빛 호수</t>
    <phoneticPr fontId="1" type="noConversion"/>
  </si>
  <si>
    <t>파도치는 갈매기 해변</t>
    <phoneticPr fontId="1" type="noConversion"/>
  </si>
  <si>
    <t>안개 낀 망각의 늪</t>
    <phoneticPr fontId="1" type="noConversion"/>
  </si>
  <si>
    <t>심해의 불타는 산호초</t>
    <phoneticPr fontId="1" type="noConversion"/>
  </si>
  <si>
    <t>초보자용 구역. 평화로운 숲과 노을빛 호수 배경</t>
  </si>
  <si>
    <t>모래사장과 부서지는 파도. 갈매기 소리. 서서히 상승하는 난이도</t>
  </si>
  <si>
    <t>몽환적이고 어두운 늪지대. 안개 효과로 리듬 타겟 박스 식별이 까다로움</t>
  </si>
  <si>
    <t>네온 빛을 내는 심해 생태계. 전설 물고기 비중이 높고 파이팅 저항이 매우 강함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</si>
</sst>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0"/>
      <color theme="1"/>
      <name val="Arial Unicode MS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9" fontId="0" fillId="0" borderId="0" xfId="1" applyFont="1">
      <alignment vertical="center"/>
    </xf>
    <xf numFmtId="0" fontId="8" fillId="2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center" vertical="center"/>
    </xf>
    <xf numFmtId="0" fontId="8" fillId="2" borderId="0" xfId="0" applyFont="1" applyFill="1">
      <alignment vertical="center"/>
    </xf>
    <xf numFmtId="0" fontId="0" fillId="0" borderId="4" xfId="0" applyBorder="1">
      <alignment vertical="center"/>
    </xf>
    <xf numFmtId="0" fontId="0" fillId="3" borderId="0" xfId="0" applyFill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8" fillId="2" borderId="1" xfId="0" applyFont="1" applyFill="1" applyBorder="1">
      <alignment vertical="center"/>
    </xf>
    <xf numFmtId="0" fontId="0" fillId="0" borderId="6" xfId="0" applyBorder="1">
      <alignment vertical="center"/>
    </xf>
    <xf numFmtId="0" fontId="10" fillId="0" borderId="1" xfId="0" applyFont="1" applyBorder="1" applyAlignment="1">
      <alignment horizontal="center" wrapText="1"/>
    </xf>
    <xf numFmtId="0" fontId="8" fillId="2" borderId="4" xfId="0" applyFont="1" applyFill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10" fillId="0" borderId="8" xfId="0" applyFont="1" applyBorder="1" applyAlignment="1">
      <alignment horizontal="center" wrapText="1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0" fillId="0" borderId="15" xfId="0" applyFont="1" applyBorder="1" applyAlignment="1">
      <alignment horizontal="center" wrapText="1"/>
    </xf>
    <xf numFmtId="0" fontId="10" fillId="0" borderId="16" xfId="0" applyFont="1" applyBorder="1" applyAlignment="1">
      <alignment horizontal="center" wrapText="1"/>
    </xf>
    <xf numFmtId="0" fontId="0" fillId="0" borderId="17" xfId="0" applyBorder="1">
      <alignment vertical="center"/>
    </xf>
    <xf numFmtId="0" fontId="10" fillId="0" borderId="18" xfId="0" applyFont="1" applyBorder="1" applyAlignment="1">
      <alignment horizontal="center" wrapText="1"/>
    </xf>
    <xf numFmtId="0" fontId="0" fillId="0" borderId="19" xfId="0" applyBorder="1">
      <alignment vertical="center"/>
    </xf>
    <xf numFmtId="0" fontId="10" fillId="0" borderId="20" xfId="0" applyFont="1" applyBorder="1" applyAlignment="1">
      <alignment horizontal="center" wrapText="1"/>
    </xf>
    <xf numFmtId="0" fontId="10" fillId="0" borderId="21" xfId="0" applyFont="1" applyBorder="1" applyAlignment="1">
      <alignment horizontal="center" wrapText="1"/>
    </xf>
    <xf numFmtId="41" fontId="0" fillId="0" borderId="0" xfId="2" applyFont="1">
      <alignment vertical="center"/>
    </xf>
    <xf numFmtId="41" fontId="0" fillId="0" borderId="0" xfId="0" applyNumberFormat="1">
      <alignment vertical="center"/>
    </xf>
    <xf numFmtId="0" fontId="5" fillId="0" borderId="2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0" fillId="0" borderId="0" xfId="2" applyNumberFormat="1" applyFont="1">
      <alignment vertical="center"/>
    </xf>
    <xf numFmtId="0" fontId="0" fillId="4" borderId="0" xfId="0" applyFill="1" applyAlignment="1">
      <alignment vertical="center" wrapText="1"/>
    </xf>
    <xf numFmtId="0" fontId="5" fillId="4" borderId="0" xfId="0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3/09/relationships/Python" Target="pyth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1</xdr:row>
      <xdr:rowOff>19050</xdr:rowOff>
    </xdr:from>
    <xdr:to>
      <xdr:col>5</xdr:col>
      <xdr:colOff>333375</xdr:colOff>
      <xdr:row>3</xdr:row>
      <xdr:rowOff>57150</xdr:rowOff>
    </xdr:to>
    <xdr:sp macro="[0]!ExportMapCSV_ExcludeKoreanColumns_Safe" textlink="">
      <xdr:nvSpPr>
        <xdr:cNvPr id="3" name="직사각형 2">
          <a:extLst>
            <a:ext uri="{FF2B5EF4-FFF2-40B4-BE49-F238E27FC236}">
              <a16:creationId xmlns:a16="http://schemas.microsoft.com/office/drawing/2014/main" id="{1DAD3B38-7897-4208-9910-D80C2982E064}"/>
            </a:ext>
          </a:extLst>
        </xdr:cNvPr>
        <xdr:cNvSpPr/>
      </xdr:nvSpPr>
      <xdr:spPr>
        <a:xfrm>
          <a:off x="5810250" y="228600"/>
          <a:ext cx="962025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CSV</a:t>
          </a:r>
          <a:r>
            <a:rPr lang="ko-KR" altLang="en-US" sz="1100"/>
            <a:t>내보내기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379879</xdr:colOff>
      <xdr:row>0</xdr:row>
      <xdr:rowOff>168648</xdr:rowOff>
    </xdr:from>
    <xdr:to>
      <xdr:col>14</xdr:col>
      <xdr:colOff>656104</xdr:colOff>
      <xdr:row>1</xdr:row>
      <xdr:rowOff>206748</xdr:rowOff>
    </xdr:to>
    <xdr:sp macro="[0]!ExportMapCSV_ExcludeKoreanColumns_Safe" textlink="">
      <xdr:nvSpPr>
        <xdr:cNvPr id="2" name="직사각형 1">
          <a:extLst>
            <a:ext uri="{FF2B5EF4-FFF2-40B4-BE49-F238E27FC236}">
              <a16:creationId xmlns:a16="http://schemas.microsoft.com/office/drawing/2014/main" id="{71A4EDFC-0DD0-4EE4-9CA3-9D36C0C30F19}"/>
            </a:ext>
          </a:extLst>
        </xdr:cNvPr>
        <xdr:cNvSpPr/>
      </xdr:nvSpPr>
      <xdr:spPr>
        <a:xfrm>
          <a:off x="10218644" y="168648"/>
          <a:ext cx="959784" cy="2510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CSV</a:t>
          </a:r>
          <a:r>
            <a:rPr lang="ko-KR" altLang="en-US" sz="1100"/>
            <a:t>내보내기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0</xdr:row>
      <xdr:rowOff>114300</xdr:rowOff>
    </xdr:from>
    <xdr:to>
      <xdr:col>9</xdr:col>
      <xdr:colOff>104775</xdr:colOff>
      <xdr:row>2</xdr:row>
      <xdr:rowOff>152400</xdr:rowOff>
    </xdr:to>
    <xdr:sp macro="[0]!ExportMapCSV_ExcludeKoreanColumns_Safe" textlink="">
      <xdr:nvSpPr>
        <xdr:cNvPr id="2" name="직사각형 1">
          <a:extLst>
            <a:ext uri="{FF2B5EF4-FFF2-40B4-BE49-F238E27FC236}">
              <a16:creationId xmlns:a16="http://schemas.microsoft.com/office/drawing/2014/main" id="{18A56A31-0C6F-449B-849E-FDB5829AF320}"/>
            </a:ext>
          </a:extLst>
        </xdr:cNvPr>
        <xdr:cNvSpPr/>
      </xdr:nvSpPr>
      <xdr:spPr>
        <a:xfrm>
          <a:off x="12106275" y="114300"/>
          <a:ext cx="139065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CSV</a:t>
          </a:r>
          <a:r>
            <a:rPr lang="ko-KR" altLang="en-US" sz="1100"/>
            <a:t>내보내기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EC4325-357B-4384-AA15-F33EE64A888B}" name="무기종류" displayName="무기종류" ref="L3:P17" totalsRowShown="0">
  <autoFilter ref="L3:P17" xr:uid="{F0EC4325-357B-4384-AA15-F33EE64A888B}"/>
  <tableColumns count="5">
    <tableColumn id="1" xr3:uid="{DC2FA605-EE51-4E14-9EB9-67299E6B0320}" name="종류" dataDxfId="61"/>
    <tableColumn id="2" xr3:uid="{76EF06F8-6675-4B78-9E89-C857685A4293}" name="타입" dataDxfId="60"/>
    <tableColumn id="4" xr3:uid="{5A107BB7-6E8B-42EB-A456-AB134E3A000A}" name="가격베이스" dataDxfId="59"/>
    <tableColumn id="5" xr3:uid="{1337B17E-3EFD-45C6-B992-A59945D5EEED}" name="가격계수" dataDxfId="58"/>
    <tableColumn id="3" xr3:uid="{DD4F61A0-1B03-4034-92F5-988872E59D04}" name="비고" dataDxfId="5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B2B440-8A91-4DD2-B8B9-29A984E455C2}" name="총스탯타입" displayName="총스탯타입" ref="R3:V24" totalsRowShown="0" headerRowDxfId="56" dataDxfId="55">
  <autoFilter ref="R3:V24" xr:uid="{AEB2B440-8A91-4DD2-B8B9-29A984E455C2}"/>
  <tableColumns count="5">
    <tableColumn id="1" xr3:uid="{1378FD97-F696-44F5-8EF0-C4B2602D1913}" name="스탯명" dataDxfId="54"/>
    <tableColumn id="2" xr3:uid="{59F78924-5FDC-4A39-9170-3B649E97FC61}" name="분류" dataDxfId="53"/>
    <tableColumn id="3" xr3:uid="{B0412E33-8FE1-4E04-9207-C289A739F53C}" name="설명" dataDxfId="52"/>
    <tableColumn id="4" xr3:uid="{8944C2A0-CD82-45EF-ACBF-384A6A5E227C}" name="형식" dataDxfId="51"/>
    <tableColumn id="5" xr3:uid="{99E19B3D-F139-4ABB-B3A4-14471D2770FC}" name="육성 콘텐츠" dataDxfId="5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B8DB50-7438-496B-A093-0317FF474536}" name="스탯계수" displayName="스탯계수" ref="B4:J12" totalsRowShown="0" headerRowDxfId="49" dataDxfId="47" headerRowBorderDxfId="48" tableBorderDxfId="46" totalsRowBorderDxfId="45">
  <autoFilter ref="B4:J12" xr:uid="{81B8DB50-7438-496B-A093-0317FF474536}"/>
  <tableColumns count="9">
    <tableColumn id="1" xr3:uid="{99AECF1C-B292-4098-82F5-0AA1F11810F4}" name="열1" dataDxfId="44"/>
    <tableColumn id="2" xr3:uid="{6AAA6242-C959-42D6-9D12-AD058234F8FD}" name="베이스" dataDxfId="43"/>
    <tableColumn id="3" xr3:uid="{2E71EAB1-CF0F-4B60-BF55-65760251CE2D}" name="Hp" dataDxfId="42"/>
    <tableColumn id="4" xr3:uid="{F15EEBE8-FDE8-4B8C-A502-F751D5418C86}" name="Attack" dataDxfId="41"/>
    <tableColumn id="5" xr3:uid="{43E819A9-9F0A-408F-9915-984DE4105278}" name="Defense" dataDxfId="40"/>
    <tableColumn id="6" xr3:uid="{46DF9B7D-6E7E-4D52-854E-2F4D3A6AA60A}" name="CriticalRate" dataDxfId="39"/>
    <tableColumn id="7" xr3:uid="{619A94A7-E8D6-4C6D-988F-8A33B5D01A24}" name="CriticalDamage" dataDxfId="38"/>
    <tableColumn id="8" xr3:uid="{A9A5140A-62A2-4ACB-8E19-C4365C416F40}" name="Accuracy" dataDxfId="37"/>
    <tableColumn id="9" xr3:uid="{D5B138A0-B7BC-4F72-A8CC-1305F142DFB7}" name="DodgeRate" dataDxfId="3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B0FFE72-950F-4863-903B-B91202F75765}" name="몬스터계수" displayName="몬스터계수" ref="X3:AD7" totalsRowShown="0" headerRowDxfId="35">
  <autoFilter ref="X3:AD7" xr:uid="{3B0FFE72-950F-4863-903B-B91202F75765}"/>
  <tableColumns count="7">
    <tableColumn id="1" xr3:uid="{4D098693-C258-4472-9570-DD2F13BAEAB3}" name="타입"/>
    <tableColumn id="2" xr3:uid="{80B20D2B-E2DE-4AE6-AF0C-D142066040B5}" name="생명계수" dataCellStyle="백분율"/>
    <tableColumn id="3" xr3:uid="{31561733-4949-4372-A3B4-0EC516F72640}" name="힘계수" dataCellStyle="백분율"/>
    <tableColumn id="4" xr3:uid="{00875FDC-2A23-4147-9983-F5035314D01A}" name="근력게수" dataCellStyle="백분율"/>
    <tableColumn id="5" xr3:uid="{3D6C193F-FE85-4258-BDCD-57D795E25836}" name="숙련도계수" dataCellStyle="백분율"/>
    <tableColumn id="6" xr3:uid="{7A6A6B7C-659E-4018-9A06-F51AAA283554}" name="행운계수" dataCellStyle="백분율"/>
    <tableColumn id="7" xr3:uid="{C920096B-3257-44E7-A932-6DF30132E558}" name="속도" dataCellStyle="백분율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86B9C7E-FAF6-4C30-8F87-52DB3B74D6ED}" name="아이템계수" displayName="아이템계수" ref="X10:AE24" totalsRowShown="0" headerRowDxfId="34">
  <autoFilter ref="X10:AE24" xr:uid="{186B9C7E-FAF6-4C30-8F87-52DB3B74D6ED}"/>
  <tableColumns count="8">
    <tableColumn id="1" xr3:uid="{C2350AF3-4B0C-4ACA-961F-83DBD4DCFEA2}" name="종류" dataDxfId="33"/>
    <tableColumn id="2" xr3:uid="{13760104-2CAE-4C99-95E4-C184F9109A4C}" name="타입" dataDxfId="32"/>
    <tableColumn id="3" xr3:uid="{4AC92774-6B23-40A5-A2DB-5D9437CDD996}" name="생명계수"/>
    <tableColumn id="4" xr3:uid="{C894948B-5DB5-48E3-8743-D26678D654A7}" name="힘계수"/>
    <tableColumn id="5" xr3:uid="{5776BF04-B938-4469-96B9-8BE3E8864A50}" name="근력게수"/>
    <tableColumn id="6" xr3:uid="{529A191B-8057-41D6-82C8-08EB4A3DC300}" name="숙련도계수"/>
    <tableColumn id="7" xr3:uid="{0B3691DF-0BFA-457E-9C41-2293AD9CF0CF}" name="행운계수"/>
    <tableColumn id="8" xr3:uid="{6DF3D228-69FD-4D56-B4D0-06D18ADAC147}" name="합계" dataDxfId="31">
      <calculatedColumnFormula>SUM(아이템계수[[#This Row],[생명계수]:[행운계수]])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A1831F0-9E71-40A4-8DDE-118B7FC1B46D}" name="표10" displayName="표10" ref="B19:D25" totalsRowShown="0">
  <autoFilter ref="B19:D25" xr:uid="{AA1831F0-9E71-40A4-8DDE-118B7FC1B46D}"/>
  <tableColumns count="3">
    <tableColumn id="1" xr3:uid="{3803B836-5F10-4FCA-ADD9-F8A024514F2C}" name="희귀도"/>
    <tableColumn id="2" xr3:uid="{9A009A39-F28C-43F0-954A-D5DA26B60A02}" name="열1"/>
    <tableColumn id="3" xr3:uid="{8568FCDB-03A6-47D8-9FC2-5067574E781B}" name="확률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8F38645-C0CE-477A-935F-1F2754FE788A}" name="표10_12" displayName="표10_12" ref="F19:H25" totalsRowShown="0">
  <autoFilter ref="F19:H25" xr:uid="{88F38645-C0CE-477A-935F-1F2754FE788A}"/>
  <tableColumns count="3">
    <tableColumn id="1" xr3:uid="{74966249-F804-4760-B9C0-FC5D7C760002}" name="희귀도"/>
    <tableColumn id="2" xr3:uid="{BBD45CE8-5AC2-4521-B803-5A4A180FA1F8}" name="열1"/>
    <tableColumn id="3" xr3:uid="{DBD55BB8-F357-4B5D-846D-2973390686A1}" name="확률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F63C9D-0080-495F-ADC9-28BD1BEA5935}" name="몬스터밸런스" displayName="몬스터밸런스" ref="A2:S292" totalsRowShown="0" headerRowDxfId="30" dataDxfId="29" dataCellStyle="쉼표 [0]">
  <autoFilter ref="A2:S292" xr:uid="{E0F63C9D-0080-495F-ADC9-28BD1BEA5935}"/>
  <tableColumns count="19">
    <tableColumn id="1" xr3:uid="{C3DA0178-BDE7-46D5-B357-C41D43F0B792}" name="Lv"/>
    <tableColumn id="19" xr3:uid="{FF9CC707-CA5F-468A-9D45-147DBCAE1467}" name="이름"/>
    <tableColumn id="2" xr3:uid="{86DD7B70-2363-4129-AC92-935EFD103F95}" name="포인트" dataDxfId="28">
      <calculatedColumnFormula>$F$1*몬스터밸런스[[#This Row],[Lv]]+15</calculatedColumnFormula>
    </tableColumn>
    <tableColumn id="18" xr3:uid="{42B99CB4-14BA-44B8-B7C7-94D5C2D2E5A8}" name="보스"/>
    <tableColumn id="3" xr3:uid="{E0109019-1F4B-4A2D-941B-F93CAC53146E}" name="열1"/>
    <tableColumn id="4" xr3:uid="{54D3EF9B-B53D-42F3-8EDC-33D865610DC4}" name="생명" dataDxfId="27">
      <calculatedColumnFormula>IF(E3="공격형",INDEX(몬스터계수[[#Data],[생명계수]],MATCH(E3,몬스터계수[[#Data],[타입]],0),1)*C3,
IF(E3="방어형",INDEX(몬스터계수[[#Data],[생명계수]],MATCH(E3,몬스터계수[[#Data],[타입]],0),1)*C3,
IF(E3="회피형",INDEX(몬스터계수[[#Data],[생명계수]],MATCH(E3,몬스터계수[[#Data],[타입]],0),1)*C3,
IF(E3="체력형",INDEX(몬스터계수[[#Data],[생명계수]],MATCH(E3,몬스터계수[[#Data],[타입]],0),1)*C3,0))))*IF(몬스터밸런스[[#This Row],[보스]]=TRUE,2,1)</calculatedColumnFormula>
    </tableColumn>
    <tableColumn id="5" xr3:uid="{74BFE98C-DDA0-41D2-80BE-C01931BEC64F}" name="힘" dataDxfId="26">
      <calculatedColumnFormula>IF(E3="공격형",INDEX(몬스터계수[[#Data],[힘계수]],MATCH(E3, 몬스터계수[[#Data],[타입]],0),1)*C3,
IF(E3="방어형",INDEX(몬스터계수[[#Data],[힘계수]],MATCH(E3, 몬스터계수[[#Data],[타입]],0),1)*C3,
IF(E3="회피형",INDEX(몬스터계수[[#Data],[힘계수]],MATCH(E3, 몬스터계수[[#Data],[타입]],0),1)*C3,
IF(E3="체력형",INDEX(몬스터계수[[#Data],[힘계수]],MATCH(E3, 몬스터계수[[#Data],[타입]],0),1)*C3,0))))</calculatedColumnFormula>
    </tableColumn>
    <tableColumn id="6" xr3:uid="{72DA8A9F-BE5A-47AF-9038-6AF4AF5E5C77}" name="근력" dataDxfId="25">
      <calculatedColumnFormula>IF(E3="공격형",INDEX(몬스터계수[[#Data],[근력게수]],MATCH(E3,몬스터계수[[#Data],[타입]],0),1)*C3,
IF(E3="방어형",INDEX(몬스터계수[[#Data],[근력게수]],MATCH(E3,몬스터계수[[#Data],[타입]],0),1)*C3,
IF(E3="회피형",INDEX(몬스터계수[[#Data],[근력게수]],MATCH(E3,몬스터계수[[#Data],[타입]],0),1)*C3,
IF(E3="체력형",INDEX(몬스터계수[[#Data],[근력게수]],MATCH(E3,몬스터계수[[#Data],[타입]],0),1)*C3,0))))</calculatedColumnFormula>
    </tableColumn>
    <tableColumn id="7" xr3:uid="{6BD8BED3-14FE-49FA-B905-E9B58D8F8012}" name="숙련도" dataDxfId="24">
      <calculatedColumnFormula>IF(E3="공격형",INDEX(몬스터계수[[#Data],[숙련도계수]],MATCH(E3,몬스터계수[[#Data],[타입]],0),1)*C3,
IF(E3="방어형",INDEX(몬스터계수[[#Data],[숙련도계수]],MATCH(E3,몬스터계수[[#Data],[타입]],0),1)*C3,
IF(E3="회피형",INDEX(몬스터계수[[#Data],[숙련도계수]],MATCH(E3,몬스터계수[[#Data],[타입]],0),1)*C3,
IF(E3="체력형",INDEX(몬스터계수[[#Data],[숙련도계수]],MATCH(E3,몬스터계수[[#Data],[타입]],0),1)*C3,0))))</calculatedColumnFormula>
    </tableColumn>
    <tableColumn id="8" xr3:uid="{89D9CFB5-2CBA-479F-85AF-0EFEFF779FC0}" name="행운" dataDxfId="23">
      <calculatedColumnFormula>IF(E3="공격형",INDEX(몬스터계수[[#Data],[행운계수]],MATCH(E3, 몬스터계수[[#Data],[타입]],0),1)*C3,
IF(E3="방어형",INDEX(몬스터계수[[#Data],[행운계수]],MATCH(E3, 몬스터계수[[#Data],[타입]],0),1)*C3,
IF(E3="회피형",INDEX(몬스터계수[[#Data],[행운계수]],MATCH(E3, 몬스터계수[[#Data],[타입]],0),1)*C3,
IF(E3="체력형",INDEX(몬스터계수[[#Data],[행운계수]],MATCH(E3, 몬스터계수[[#Data],[타입]],0),1)*C3,0))))</calculatedColumnFormula>
    </tableColumn>
    <tableColumn id="9" xr3:uid="{08787B59-B4BE-4B56-AFDE-228DD6A4633A}" name="Hp" dataDxfId="22" dataCellStyle="쉼표 [0]">
      <calculatedColumnFormula>ROUND(
(($F3)*참고!$D$5)
+(($G3)*참고!$D$6)
+(($H3)*참고!$D$7)
+(($I3)*참고!$D$8)
+(($J3))*참고!$D$9,0)</calculatedColumnFormula>
    </tableColumn>
    <tableColumn id="10" xr3:uid="{9ED0D9B4-C5BC-4771-9EDF-84D6E0F3DD1A}" name="Attack" dataDxfId="21" dataCellStyle="쉼표 [0]">
      <calculatedColumnFormula>ROUND(
(($F3)*참고!$E$5)
+(($G3)*참고!$E$6)
+(($H3)*참고!$E$7)
+(($I3)*참고!$E$8)
+(($J3))*참고!$E$9,0)</calculatedColumnFormula>
    </tableColumn>
    <tableColumn id="11" xr3:uid="{F0844948-0295-471E-96C2-0B3FBA497393}" name="Defense" dataDxfId="20" dataCellStyle="쉼표 [0]">
      <calculatedColumnFormula>ROUND(
(($F3)*참고!$F$5)
+(($G3)*참고!$F$6)
+(($H3)*참고!$F$7)
+(($I3)*참고!$F$8)
+(($J3))*참고!$F$9,0)</calculatedColumnFormula>
    </tableColumn>
    <tableColumn id="12" xr3:uid="{E5939044-AD6E-4E39-BB00-2B599AF0359E}" name="CriticalRate" dataDxfId="19" dataCellStyle="쉼표 [0]">
      <calculatedColumnFormula>ROUND(
(($F3)*참고!$G$5)
+(($G3)*참고!$G$6)
+(($H3)*참고!$G$7)
+(($I3)*참고!$G$8)
+(($J3))*참고!$G$9,0)</calculatedColumnFormula>
    </tableColumn>
    <tableColumn id="13" xr3:uid="{D2C27147-80BE-44BD-B309-1325BED1C273}" name="CriticalDamage" dataDxfId="18" dataCellStyle="쉼표 [0]">
      <calculatedColumnFormula>ROUND(
(($F3)*참고!$H$5)
+(($G3)*참고!$H$6)
+(($H3)*참고!$H$7)
+(($I3)*참고!$H$8)
+(($J3))*참고!$H$9,0)</calculatedColumnFormula>
    </tableColumn>
    <tableColumn id="14" xr3:uid="{04262D48-0446-4CF9-9203-CC5DCDBF1B61}" name="Accuracy" dataDxfId="17" dataCellStyle="쉼표 [0]">
      <calculatedColumnFormula>ROUND(
(($F3)*참고!$I$5)
+(($G3)*참고!$I$6)
+(($H3)*참고!$I$7)
+(($I3)*참고!$I$8)
+(($J3))*참고!$I$9,0)</calculatedColumnFormula>
    </tableColumn>
    <tableColumn id="15" xr3:uid="{21589392-E4E3-418C-B1BF-D8C6DDB4CCFB}" name="DodgeRate" dataDxfId="16" dataCellStyle="쉼표 [0]">
      <calculatedColumnFormula>ROUND(
(($F3)*참고!$J$5)
+(($G3)*참고!$J$6)
+(($H3)*참고!$J$7)
+(($I3)*참고!$J$8)
+(($J3))*참고!$J$9,0)</calculatedColumnFormula>
    </tableColumn>
    <tableColumn id="17" xr3:uid="{F356FE0B-0911-4BDD-814E-7FACFD49624F}" name="Speed" dataDxfId="15" dataCellStyle="쉼표 [0]">
      <calculatedColumnFormula>IF(E3="공격형",(INDEX(몬스터계수[[#Data],[속도]],MATCH(E3, 몬스터계수[[#Data],[타입]],0),1)*속도핸들러_곱계수)*(INT(몬스터밸런스[[#This Row],[Lv]]/속도핸들러_합계수+1)),
IF(E3="방어형",(INDEX(몬스터계수[[#Data],[속도]],MATCH(E3, 몬스터계수[[#Data],[타입]],0),1)*속도핸들러_곱계수)*(INT(몬스터밸런스[[#This Row],[Lv]]/속도핸들러_합계수+1)),
IF(E3="회피형",(INDEX(몬스터계수[[#Data],[속도]],MATCH(E3, 몬스터계수[[#Data],[타입]],0),1)*속도핸들러_곱계수)*(INT(몬스터밸런스[[#This Row],[Lv]]/속도핸들러_합계수+1)),
IF(E3="기본형",(INDEX(몬스터계수[[#Data],[속도]],MATCH(E3, 몬스터계수[[#Data],[타입]],0),1)*속도핸들러_곱계수)*(INT(몬스터밸런스[[#This Row],[Lv]]/속도핸들러_합계수+1)),0))))</calculatedColumnFormula>
    </tableColumn>
    <tableColumn id="16" xr3:uid="{9B09B442-9DEA-4147-B7E6-EC6E3FDF38AD}" name="전투력">
      <calculatedColumnFormula>(K3*HP계수) + (L3*attack계수) + (M3*Defense계수) + (N3*CriticalRate계수) + (O3*CriticalDamage계수) + (P3*Accuracy계수) + (Q3*DodgeRate계수)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DFDA8A-3C40-44A5-9991-A64F4079D100}" name="몬스터밸런스9" displayName="몬스터밸런스9" ref="U2:AL312" totalsRowShown="0" headerRowDxfId="14" dataDxfId="13" dataCellStyle="쉼표 [0]">
  <autoFilter ref="U2:AL312" xr:uid="{89DFDA8A-3C40-44A5-9991-A64F4079D100}"/>
  <tableColumns count="18">
    <tableColumn id="1" xr3:uid="{B0ABF172-31B8-4069-B751-87B3405E1EB6}" name="단계"/>
    <tableColumn id="18" xr3:uid="{18BB257F-4FBA-41CC-8683-D55281F86AEA}" name="순서"/>
    <tableColumn id="2" xr3:uid="{7F7C3699-9A23-4E35-A4F3-C76222F610A8}" name="포인트" dataDxfId="12">
      <calculatedColumnFormula>$Z$1*몬스터밸런스9[[#This Row],[단계]]</calculatedColumnFormula>
    </tableColumn>
    <tableColumn id="3" xr3:uid="{AC3E979B-4A7F-428B-B012-FB0DF916D9D5}" name="분류"/>
    <tableColumn id="17" xr3:uid="{68C7FC29-0C44-4656-B965-44D448B95354}" name="희귀도"/>
    <tableColumn id="4" xr3:uid="{AA992F07-72E9-4379-B99E-3519DCEE3E64}" name="생명" dataDxfId="11"/>
    <tableColumn id="5" xr3:uid="{EDDF8952-09EA-43C0-B983-FD58E17378D6}" name="힘" dataDxfId="10"/>
    <tableColumn id="6" xr3:uid="{021C0095-8B12-4BE5-988C-C8DA682E14F4}" name="근력" dataDxfId="9"/>
    <tableColumn id="7" xr3:uid="{092E8C71-0437-4C69-803A-9C98101910E5}" name="숙련도" dataDxfId="8"/>
    <tableColumn id="8" xr3:uid="{884D028F-FDB8-4E68-929C-E121EFCE152D}" name="행운" dataDxfId="7"/>
    <tableColumn id="9" xr3:uid="{326784AA-B77C-45C8-BB18-E2B5E4A0B953}" name="Hp" dataDxfId="6" dataCellStyle="쉼표 [0]">
      <calculatedColumnFormula>ROUND(
((베이스_생명+$Z3)*참고!$D$5)
+((베이스_힘+$AA3)*참고!$D$6)
+((베이스_근력+$AB3)*참고!$D$7)
+((베이스_숙련도+$AC3)*참고!$D$8)
+((베이스_행운+$AD3))*참고!$D$9,0)</calculatedColumnFormula>
    </tableColumn>
    <tableColumn id="10" xr3:uid="{F45ADCC5-C084-4219-9AA3-032132A50FC9}" name="Attack" dataDxfId="5" dataCellStyle="쉼표 [0]">
      <calculatedColumnFormula>ROUND(
((베이스_생명+$Z3)*참고!$E$5)
+((베이스_힘+$AA3)*참고!$E$6)
+((베이스_근력+$AB3)*참고!$E$7)
+((베이스_숙련도+$AC3)*참고!$E$8)
+((베이스_행운+$AD3))*참고!$E$9,0)</calculatedColumnFormula>
    </tableColumn>
    <tableColumn id="11" xr3:uid="{C039FC44-CF7A-4773-8A2C-21D9A45470DC}" name="Defense" dataDxfId="4" dataCellStyle="쉼표 [0]">
      <calculatedColumnFormula>ROUND(
((베이스_생명+$F3)*참고!$F$5)
+((베이스_힘+$G3)*참고!$F$6)
+((베이스_근력+$H3)*참고!$F$7)
+((베이스_숙련도+$I3)*참고!$F$8)
+((베이스_행운+$J3))*참고!$F$9,0)</calculatedColumnFormula>
    </tableColumn>
    <tableColumn id="12" xr3:uid="{8285B791-BAB1-4A78-8B60-C51B95A9479C}" name="CriticalRate" dataDxfId="3" dataCellStyle="쉼표 [0]">
      <calculatedColumnFormula>ROUND(
((베이스_생명+$F3)*참고!$G$5)
+((베이스_힘+$G3)*참고!$G$6)
+((베이스_근력+$H3)*참고!$G$7)
+((베이스_숙련도+$I3)*참고!$G$8)
+((베이스_행운+$J3))*참고!$G$9,0)</calculatedColumnFormula>
    </tableColumn>
    <tableColumn id="13" xr3:uid="{1AE74D0C-B293-4EAE-9CF7-B93F97D02F04}" name="CriticalDamage" dataDxfId="2" dataCellStyle="쉼표 [0]">
      <calculatedColumnFormula>ROUND(
((베이스_생명+$F3)*참고!$H$5)
+((베이스_힘+$G3)*참고!$H$6)
+((베이스_근력+$H3)*참고!$H$7)
+((베이스_숙련도+$I3)*참고!$H$8)
+((베이스_행운+$J3))*참고!$H$9,0)</calculatedColumnFormula>
    </tableColumn>
    <tableColumn id="14" xr3:uid="{5BBCA569-54B9-4F3C-BF6D-C9D45F7386B8}" name="Accuracy" dataDxfId="1" dataCellStyle="쉼표 [0]">
      <calculatedColumnFormula>ROUND(
((베이스_생명+$F3)*참고!$I$5)
+((베이스_힘+$G3)*참고!$I$6)
+((베이스_근력+$H3)*참고!$I$7)
+((베이스_숙련도+$I3)*참고!$I$8)
+((베이스_행운+$J3))*참고!$I$9,0)</calculatedColumnFormula>
    </tableColumn>
    <tableColumn id="15" xr3:uid="{DE00C287-9B15-40FF-8701-6814683FB686}" name="DodgeRate" dataDxfId="0" dataCellStyle="쉼표 [0]">
      <calculatedColumnFormula>ROUND(
((베이스_생명+$F3)*참고!$J$5)
+((베이스_힘+$G3)*참고!$J$6)
+((베이스_근력+$H3)*참고!$J$7)
+((베이스_숙련도+$I3)*참고!$J$8)
+((베이스_행운+$J3))*참고!$J$9,0)</calculatedColumnFormula>
    </tableColumn>
    <tableColumn id="16" xr3:uid="{3CD920B1-103D-402C-91EB-443A066C1603}" name="전투력">
      <calculatedColumnFormula>(AE3*HP계수) + (AF3*attack계수) + (AG3*Defense계수) + (AH3*CriticalRate계수) + (AI3*CriticalDamage계수) + (AJ3*Accuracy계수) + (AK3*DodgeRate계수)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E43FC-86E2-4D9B-BE38-D7E7B158FC1C}">
  <sheetPr codeName="Sheet3"/>
  <dimension ref="B1:AG35"/>
  <sheetViews>
    <sheetView workbookViewId="0">
      <selection activeCell="C11" sqref="C11"/>
    </sheetView>
  </sheetViews>
  <sheetFormatPr defaultRowHeight="16.5"/>
  <cols>
    <col min="6" max="6" width="9.625" customWidth="1"/>
    <col min="7" max="7" width="12.375" customWidth="1"/>
    <col min="8" max="8" width="15.75" customWidth="1"/>
    <col min="9" max="9" width="10.875" customWidth="1"/>
    <col min="10" max="10" width="12.25" customWidth="1"/>
    <col min="14" max="14" width="10.125" customWidth="1"/>
    <col min="16" max="16" width="53.625" customWidth="1"/>
    <col min="18" max="18" width="19.125" customWidth="1"/>
    <col min="19" max="19" width="11.25" customWidth="1"/>
    <col min="20" max="20" width="22.75" customWidth="1"/>
    <col min="22" max="22" width="24.625" customWidth="1"/>
    <col min="25" max="25" width="10.25" customWidth="1"/>
    <col min="27" max="27" width="10.25" customWidth="1"/>
    <col min="28" max="28" width="12.125" customWidth="1"/>
    <col min="29" max="29" width="10.25" customWidth="1"/>
  </cols>
  <sheetData>
    <row r="1" spans="2:33">
      <c r="B1" t="s">
        <v>474</v>
      </c>
      <c r="AC1" t="s">
        <v>475</v>
      </c>
      <c r="AD1">
        <v>35</v>
      </c>
      <c r="AF1" t="s">
        <v>473</v>
      </c>
    </row>
    <row r="2" spans="2:33">
      <c r="B2" t="s">
        <v>6</v>
      </c>
      <c r="H2" t="s">
        <v>457</v>
      </c>
      <c r="L2" t="s">
        <v>75</v>
      </c>
      <c r="R2" s="6" t="s">
        <v>133</v>
      </c>
      <c r="X2" t="s">
        <v>466</v>
      </c>
      <c r="AC2" t="s">
        <v>476</v>
      </c>
      <c r="AD2">
        <v>100</v>
      </c>
    </row>
    <row r="3" spans="2:33">
      <c r="B3" t="s">
        <v>29</v>
      </c>
      <c r="G3" s="6" t="s">
        <v>445</v>
      </c>
      <c r="L3" t="s">
        <v>73</v>
      </c>
      <c r="M3" t="s">
        <v>72</v>
      </c>
      <c r="N3" t="s">
        <v>77</v>
      </c>
      <c r="O3" t="s">
        <v>76</v>
      </c>
      <c r="P3" t="s">
        <v>74</v>
      </c>
      <c r="R3" s="4" t="s">
        <v>94</v>
      </c>
      <c r="S3" s="4" t="s">
        <v>131</v>
      </c>
      <c r="T3" s="4" t="s">
        <v>95</v>
      </c>
      <c r="U3" s="4" t="s">
        <v>96</v>
      </c>
      <c r="V3" s="4" t="s">
        <v>130</v>
      </c>
      <c r="X3" t="s">
        <v>72</v>
      </c>
      <c r="Y3" s="1" t="s">
        <v>461</v>
      </c>
      <c r="Z3" s="1" t="s">
        <v>462</v>
      </c>
      <c r="AA3" s="1" t="s">
        <v>463</v>
      </c>
      <c r="AB3" s="1" t="s">
        <v>464</v>
      </c>
      <c r="AC3" s="1" t="s">
        <v>465</v>
      </c>
      <c r="AD3" s="13" t="s">
        <v>454</v>
      </c>
    </row>
    <row r="4" spans="2:33" ht="17.25" thickBot="1">
      <c r="B4" s="22" t="s">
        <v>426</v>
      </c>
      <c r="C4" s="13" t="s">
        <v>439</v>
      </c>
      <c r="D4" s="13" t="s">
        <v>24</v>
      </c>
      <c r="E4" s="13" t="s">
        <v>7</v>
      </c>
      <c r="F4" s="13" t="s">
        <v>25</v>
      </c>
      <c r="G4" s="13" t="s">
        <v>10</v>
      </c>
      <c r="H4" s="13" t="s">
        <v>27</v>
      </c>
      <c r="I4" s="13" t="s">
        <v>40</v>
      </c>
      <c r="J4" s="17" t="s">
        <v>17</v>
      </c>
      <c r="L4" s="2" t="s">
        <v>44</v>
      </c>
      <c r="M4" s="3" t="s">
        <v>78</v>
      </c>
      <c r="N4" s="3">
        <v>100</v>
      </c>
      <c r="O4" s="3">
        <v>1.2</v>
      </c>
      <c r="P4" s="2"/>
      <c r="R4" s="2" t="s">
        <v>42</v>
      </c>
      <c r="S4" s="2" t="s">
        <v>132</v>
      </c>
      <c r="T4" s="2" t="s">
        <v>22</v>
      </c>
      <c r="U4" s="2" t="s">
        <v>105</v>
      </c>
      <c r="V4" s="2" t="s">
        <v>106</v>
      </c>
      <c r="X4" t="s">
        <v>458</v>
      </c>
      <c r="Y4" s="7">
        <v>0.25</v>
      </c>
      <c r="Z4" s="7">
        <v>0.5</v>
      </c>
      <c r="AA4" s="7">
        <v>0.05</v>
      </c>
      <c r="AB4" s="7">
        <v>0.1</v>
      </c>
      <c r="AC4" s="7">
        <v>0.1</v>
      </c>
      <c r="AD4" s="7">
        <v>0.05</v>
      </c>
    </row>
    <row r="5" spans="2:33">
      <c r="B5" s="25" t="s">
        <v>22</v>
      </c>
      <c r="C5" s="26">
        <v>15</v>
      </c>
      <c r="D5" s="27">
        <v>15</v>
      </c>
      <c r="E5" s="27">
        <v>3</v>
      </c>
      <c r="F5" s="27">
        <v>1</v>
      </c>
      <c r="G5" s="27">
        <v>0</v>
      </c>
      <c r="H5" s="27">
        <v>0</v>
      </c>
      <c r="I5" s="27">
        <v>0</v>
      </c>
      <c r="J5" s="28">
        <v>0</v>
      </c>
      <c r="L5" s="2" t="s">
        <v>46</v>
      </c>
      <c r="M5" s="3" t="s">
        <v>430</v>
      </c>
      <c r="N5" s="3">
        <v>120</v>
      </c>
      <c r="O5" s="3">
        <v>1.2</v>
      </c>
      <c r="P5" s="2"/>
      <c r="R5" s="2" t="s">
        <v>84</v>
      </c>
      <c r="S5" s="2" t="s">
        <v>132</v>
      </c>
      <c r="T5" s="2" t="s">
        <v>107</v>
      </c>
      <c r="U5" s="2" t="s">
        <v>105</v>
      </c>
      <c r="V5" s="2" t="s">
        <v>106</v>
      </c>
      <c r="X5" t="s">
        <v>459</v>
      </c>
      <c r="Y5" s="7">
        <v>0.2</v>
      </c>
      <c r="Z5" s="7">
        <v>0.25</v>
      </c>
      <c r="AA5" s="7">
        <v>0.5</v>
      </c>
      <c r="AB5" s="7">
        <v>0.03</v>
      </c>
      <c r="AC5" s="7">
        <v>0.02</v>
      </c>
      <c r="AD5" s="7">
        <v>0.05</v>
      </c>
    </row>
    <row r="6" spans="2:33">
      <c r="B6" s="29" t="s">
        <v>107</v>
      </c>
      <c r="C6" s="19">
        <v>10</v>
      </c>
      <c r="D6" s="20">
        <v>0.5</v>
      </c>
      <c r="E6" s="20">
        <v>10</v>
      </c>
      <c r="F6" s="20">
        <v>0</v>
      </c>
      <c r="G6" s="20">
        <v>0</v>
      </c>
      <c r="H6" s="20">
        <v>3</v>
      </c>
      <c r="I6" s="20">
        <v>0</v>
      </c>
      <c r="J6" s="30">
        <v>0</v>
      </c>
      <c r="L6" s="2" t="s">
        <v>48</v>
      </c>
      <c r="M6" s="3" t="s">
        <v>428</v>
      </c>
      <c r="N6" s="3">
        <v>150</v>
      </c>
      <c r="O6" s="3">
        <v>1.2</v>
      </c>
      <c r="P6" s="2"/>
      <c r="R6" s="2" t="s">
        <v>85</v>
      </c>
      <c r="S6" s="2" t="s">
        <v>132</v>
      </c>
      <c r="T6" s="2" t="s">
        <v>108</v>
      </c>
      <c r="U6" s="2" t="s">
        <v>105</v>
      </c>
      <c r="V6" s="2" t="s">
        <v>106</v>
      </c>
      <c r="X6" t="s">
        <v>460</v>
      </c>
      <c r="Y6" s="7">
        <v>7.0000000000000007E-2</v>
      </c>
      <c r="Z6" s="7">
        <v>0.35</v>
      </c>
      <c r="AA6" s="7">
        <v>0.01</v>
      </c>
      <c r="AB6" s="7">
        <v>0.1</v>
      </c>
      <c r="AC6" s="7">
        <v>0.5</v>
      </c>
      <c r="AD6" s="7">
        <v>0.2</v>
      </c>
    </row>
    <row r="7" spans="2:33">
      <c r="B7" s="29" t="s">
        <v>108</v>
      </c>
      <c r="C7" s="1">
        <v>15</v>
      </c>
      <c r="D7" s="20">
        <v>1</v>
      </c>
      <c r="E7" s="20">
        <v>0</v>
      </c>
      <c r="F7" s="20">
        <v>15</v>
      </c>
      <c r="G7" s="20">
        <v>0</v>
      </c>
      <c r="H7" s="20">
        <v>0</v>
      </c>
      <c r="I7" s="20">
        <v>0</v>
      </c>
      <c r="J7" s="30">
        <v>2</v>
      </c>
      <c r="L7" s="2" t="s">
        <v>50</v>
      </c>
      <c r="M7" s="3" t="s">
        <v>427</v>
      </c>
      <c r="N7" s="3">
        <v>130</v>
      </c>
      <c r="O7" s="3">
        <v>1.2</v>
      </c>
      <c r="P7" s="2"/>
      <c r="R7" s="2" t="s">
        <v>86</v>
      </c>
      <c r="S7" s="2" t="s">
        <v>132</v>
      </c>
      <c r="T7" s="2" t="s">
        <v>109</v>
      </c>
      <c r="U7" s="2" t="s">
        <v>105</v>
      </c>
      <c r="V7" s="2" t="s">
        <v>106</v>
      </c>
      <c r="X7" t="s">
        <v>479</v>
      </c>
      <c r="Y7" s="7">
        <v>0.5</v>
      </c>
      <c r="Z7" s="7">
        <v>0.25</v>
      </c>
      <c r="AA7" s="7">
        <v>0.05</v>
      </c>
      <c r="AB7" s="7">
        <v>0.15</v>
      </c>
      <c r="AC7" s="7">
        <v>0.05</v>
      </c>
      <c r="AD7" s="7">
        <v>0.05</v>
      </c>
    </row>
    <row r="8" spans="2:33">
      <c r="B8" s="29" t="s">
        <v>109</v>
      </c>
      <c r="C8" s="1">
        <v>5</v>
      </c>
      <c r="D8" s="20">
        <v>0.5</v>
      </c>
      <c r="E8" s="20">
        <v>3</v>
      </c>
      <c r="F8" s="20">
        <v>0</v>
      </c>
      <c r="G8" s="20">
        <v>0.1</v>
      </c>
      <c r="H8" s="20">
        <v>0</v>
      </c>
      <c r="I8" s="20">
        <v>9</v>
      </c>
      <c r="J8" s="30">
        <v>0</v>
      </c>
      <c r="L8" s="2" t="s">
        <v>52</v>
      </c>
      <c r="M8" s="3" t="s">
        <v>431</v>
      </c>
      <c r="N8" s="3">
        <v>140</v>
      </c>
      <c r="O8" s="3">
        <v>1.2</v>
      </c>
      <c r="P8" s="2"/>
      <c r="R8" s="2" t="s">
        <v>87</v>
      </c>
      <c r="S8" s="2" t="s">
        <v>132</v>
      </c>
      <c r="T8" s="2" t="s">
        <v>110</v>
      </c>
      <c r="U8" s="2" t="s">
        <v>105</v>
      </c>
      <c r="V8" s="2" t="s">
        <v>106</v>
      </c>
    </row>
    <row r="9" spans="2:33" ht="17.25" thickBot="1">
      <c r="B9" s="31" t="s">
        <v>110</v>
      </c>
      <c r="C9" s="1">
        <v>5</v>
      </c>
      <c r="D9" s="20">
        <v>0.5</v>
      </c>
      <c r="E9" s="20">
        <v>0</v>
      </c>
      <c r="F9" s="20">
        <v>0</v>
      </c>
      <c r="G9" s="20">
        <v>0.4</v>
      </c>
      <c r="H9" s="20">
        <v>1.5</v>
      </c>
      <c r="I9" s="32">
        <v>2</v>
      </c>
      <c r="J9" s="33">
        <v>18</v>
      </c>
      <c r="L9" s="2" t="s">
        <v>54</v>
      </c>
      <c r="M9" s="3" t="s">
        <v>55</v>
      </c>
      <c r="N9" s="3">
        <v>190</v>
      </c>
      <c r="O9" s="3">
        <v>1.2</v>
      </c>
      <c r="P9" s="2"/>
      <c r="R9" s="2" t="s">
        <v>88</v>
      </c>
      <c r="S9" s="2" t="s">
        <v>132</v>
      </c>
      <c r="T9" s="2" t="s">
        <v>111</v>
      </c>
      <c r="U9" s="2" t="s">
        <v>105</v>
      </c>
      <c r="V9" s="5" t="s">
        <v>112</v>
      </c>
      <c r="X9" t="s">
        <v>472</v>
      </c>
    </row>
    <row r="10" spans="2:33">
      <c r="B10" s="15" t="s">
        <v>111</v>
      </c>
      <c r="C10" s="1">
        <v>5</v>
      </c>
      <c r="D10" s="20"/>
      <c r="E10" s="20">
        <v>0</v>
      </c>
      <c r="F10" s="20">
        <v>0</v>
      </c>
      <c r="G10" s="20">
        <v>0</v>
      </c>
      <c r="H10" s="20">
        <v>0</v>
      </c>
      <c r="I10" s="24">
        <v>0</v>
      </c>
      <c r="J10" s="24">
        <v>0</v>
      </c>
      <c r="L10" s="2" t="s">
        <v>56</v>
      </c>
      <c r="M10" s="3" t="s">
        <v>488</v>
      </c>
      <c r="N10" s="3">
        <v>100</v>
      </c>
      <c r="O10" s="3">
        <v>1.2</v>
      </c>
      <c r="P10" s="2"/>
      <c r="R10" s="2" t="s">
        <v>89</v>
      </c>
      <c r="S10" s="2" t="s">
        <v>132</v>
      </c>
      <c r="T10" s="2" t="s">
        <v>113</v>
      </c>
      <c r="U10" s="2" t="s">
        <v>105</v>
      </c>
      <c r="V10" s="5" t="s">
        <v>114</v>
      </c>
      <c r="X10" t="s">
        <v>73</v>
      </c>
      <c r="Y10" s="13" t="s">
        <v>72</v>
      </c>
      <c r="Z10" s="13" t="s">
        <v>461</v>
      </c>
      <c r="AA10" s="13" t="s">
        <v>462</v>
      </c>
      <c r="AB10" s="13" t="s">
        <v>463</v>
      </c>
      <c r="AC10" s="13" t="s">
        <v>464</v>
      </c>
      <c r="AD10" s="13" t="s">
        <v>465</v>
      </c>
      <c r="AE10" s="13" t="s">
        <v>444</v>
      </c>
    </row>
    <row r="11" spans="2:33">
      <c r="B11" s="16" t="s">
        <v>113</v>
      </c>
      <c r="C11" s="1">
        <v>20</v>
      </c>
      <c r="D11" s="20"/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L11" s="2" t="s">
        <v>58</v>
      </c>
      <c r="M11" s="3" t="s">
        <v>59</v>
      </c>
      <c r="N11" s="3">
        <v>130</v>
      </c>
      <c r="O11" s="3">
        <v>1.2</v>
      </c>
      <c r="P11" s="2"/>
      <c r="R11" s="2" t="s">
        <v>24</v>
      </c>
      <c r="S11" s="2" t="s">
        <v>123</v>
      </c>
      <c r="T11" s="2" t="s">
        <v>115</v>
      </c>
      <c r="U11" s="2" t="s">
        <v>105</v>
      </c>
      <c r="V11" s="2" t="s">
        <v>129</v>
      </c>
      <c r="X11" s="2" t="s">
        <v>44</v>
      </c>
      <c r="Y11" s="3" t="s">
        <v>78</v>
      </c>
      <c r="Z11">
        <v>1</v>
      </c>
      <c r="AE11">
        <f>SUM(아이템계수[[#This Row],[생명계수]:[행운계수]])</f>
        <v>1</v>
      </c>
      <c r="AG11" s="36"/>
    </row>
    <row r="12" spans="2:33">
      <c r="B12" s="16"/>
      <c r="C12" s="23"/>
      <c r="D12" s="23">
        <f t="shared" ref="D12:J12" si="0">SUM(D5:D11)</f>
        <v>17.5</v>
      </c>
      <c r="E12" s="23">
        <f t="shared" si="0"/>
        <v>16</v>
      </c>
      <c r="F12" s="23">
        <f t="shared" si="0"/>
        <v>16</v>
      </c>
      <c r="G12" s="23">
        <f t="shared" si="0"/>
        <v>0.5</v>
      </c>
      <c r="H12" s="23">
        <f t="shared" si="0"/>
        <v>4.5</v>
      </c>
      <c r="I12" s="23">
        <f t="shared" si="0"/>
        <v>11</v>
      </c>
      <c r="J12" s="23">
        <f t="shared" si="0"/>
        <v>20</v>
      </c>
      <c r="L12" s="2" t="s">
        <v>60</v>
      </c>
      <c r="M12" s="3" t="s">
        <v>61</v>
      </c>
      <c r="N12" s="3">
        <v>170</v>
      </c>
      <c r="O12" s="3">
        <v>1.2</v>
      </c>
      <c r="P12" s="2"/>
      <c r="R12" s="2" t="s">
        <v>26</v>
      </c>
      <c r="S12" s="2" t="s">
        <v>123</v>
      </c>
      <c r="T12" s="2" t="s">
        <v>117</v>
      </c>
      <c r="U12" s="2" t="s">
        <v>105</v>
      </c>
      <c r="V12" s="2" t="s">
        <v>129</v>
      </c>
      <c r="X12" s="2" t="s">
        <v>48</v>
      </c>
      <c r="Y12" s="3" t="s">
        <v>428</v>
      </c>
      <c r="AC12">
        <v>3</v>
      </c>
      <c r="AE12">
        <f>SUM(아이템계수[[#This Row],[생명계수]:[행운계수]])</f>
        <v>3</v>
      </c>
      <c r="AG12" s="36"/>
    </row>
    <row r="13" spans="2:33">
      <c r="G13" s="11"/>
      <c r="L13" s="2" t="s">
        <v>62</v>
      </c>
      <c r="M13" s="3" t="s">
        <v>429</v>
      </c>
      <c r="N13" s="3">
        <v>80</v>
      </c>
      <c r="O13" s="3">
        <v>2.5</v>
      </c>
      <c r="P13" s="2"/>
      <c r="R13" s="2" t="s">
        <v>25</v>
      </c>
      <c r="S13" s="2" t="s">
        <v>123</v>
      </c>
      <c r="T13" s="2" t="s">
        <v>118</v>
      </c>
      <c r="U13" s="2" t="s">
        <v>105</v>
      </c>
      <c r="V13" s="2" t="s">
        <v>129</v>
      </c>
      <c r="X13" s="2" t="s">
        <v>50</v>
      </c>
      <c r="Y13" s="3" t="s">
        <v>427</v>
      </c>
      <c r="AC13">
        <v>2</v>
      </c>
      <c r="AE13">
        <f>SUM(아이템계수[[#This Row],[생명계수]:[행운계수]])</f>
        <v>2</v>
      </c>
      <c r="AG13" s="36"/>
    </row>
    <row r="14" spans="2:33">
      <c r="H14" t="s">
        <v>22</v>
      </c>
      <c r="I14" t="s">
        <v>40</v>
      </c>
      <c r="L14" s="2" t="s">
        <v>64</v>
      </c>
      <c r="M14" s="3" t="s">
        <v>65</v>
      </c>
      <c r="N14" s="3">
        <v>50</v>
      </c>
      <c r="O14" s="3">
        <v>3</v>
      </c>
      <c r="P14" s="2"/>
      <c r="R14" s="2" t="s">
        <v>125</v>
      </c>
      <c r="S14" s="2" t="s">
        <v>123</v>
      </c>
      <c r="T14" s="2" t="s">
        <v>119</v>
      </c>
      <c r="U14" s="2" t="s">
        <v>97</v>
      </c>
      <c r="V14" s="2" t="s">
        <v>129</v>
      </c>
      <c r="X14" s="2" t="s">
        <v>52</v>
      </c>
      <c r="Y14" s="3" t="s">
        <v>431</v>
      </c>
      <c r="AA14">
        <v>2</v>
      </c>
      <c r="AD14">
        <v>3</v>
      </c>
      <c r="AE14">
        <f>SUM(아이템계수[[#This Row],[생명계수]:[행운계수]])</f>
        <v>5</v>
      </c>
      <c r="AG14" s="36"/>
    </row>
    <row r="15" spans="2:33">
      <c r="B15" t="s">
        <v>424</v>
      </c>
      <c r="H15" s="7">
        <v>0.2</v>
      </c>
      <c r="I15">
        <f>20*2.7</f>
        <v>54</v>
      </c>
      <c r="L15" s="2" t="s">
        <v>66</v>
      </c>
      <c r="M15" s="3" t="s">
        <v>432</v>
      </c>
      <c r="N15" s="3">
        <v>30</v>
      </c>
      <c r="O15" s="3">
        <v>2</v>
      </c>
      <c r="P15" s="2"/>
      <c r="R15" s="2" t="s">
        <v>27</v>
      </c>
      <c r="S15" s="2" t="s">
        <v>123</v>
      </c>
      <c r="T15" s="2" t="s">
        <v>120</v>
      </c>
      <c r="U15" s="2" t="s">
        <v>97</v>
      </c>
      <c r="V15" s="2" t="s">
        <v>129</v>
      </c>
      <c r="X15" s="2" t="s">
        <v>54</v>
      </c>
      <c r="Y15" s="3" t="s">
        <v>55</v>
      </c>
      <c r="AC15">
        <v>1</v>
      </c>
      <c r="AE15">
        <f>SUM(아이템계수[[#This Row],[생명계수]:[행운계수]])</f>
        <v>1</v>
      </c>
      <c r="AG15" s="36"/>
    </row>
    <row r="16" spans="2:33">
      <c r="B16" t="s">
        <v>422</v>
      </c>
      <c r="L16" s="39" t="s">
        <v>68</v>
      </c>
      <c r="M16" s="40" t="s">
        <v>69</v>
      </c>
      <c r="N16" s="40">
        <v>20</v>
      </c>
      <c r="O16" s="40">
        <v>2</v>
      </c>
      <c r="P16" s="39"/>
      <c r="R16" s="2" t="s">
        <v>90</v>
      </c>
      <c r="S16" s="2" t="s">
        <v>123</v>
      </c>
      <c r="T16" s="2" t="s">
        <v>121</v>
      </c>
      <c r="U16" s="2" t="s">
        <v>105</v>
      </c>
      <c r="V16" s="2" t="s">
        <v>129</v>
      </c>
      <c r="X16" s="2" t="s">
        <v>56</v>
      </c>
      <c r="Y16" s="3" t="s">
        <v>57</v>
      </c>
      <c r="AA16">
        <v>1</v>
      </c>
      <c r="AE16">
        <f>SUM(아이템계수[[#This Row],[생명계수]:[행운계수]])</f>
        <v>1</v>
      </c>
      <c r="AG16" s="36"/>
    </row>
    <row r="17" spans="2:33">
      <c r="L17" s="39" t="s">
        <v>70</v>
      </c>
      <c r="M17" s="40" t="s">
        <v>71</v>
      </c>
      <c r="N17" s="40">
        <v>90</v>
      </c>
      <c r="O17" s="40">
        <v>2</v>
      </c>
      <c r="P17" s="39"/>
      <c r="R17" s="2" t="s">
        <v>127</v>
      </c>
      <c r="S17" s="2" t="s">
        <v>123</v>
      </c>
      <c r="T17" s="2" t="s">
        <v>122</v>
      </c>
      <c r="U17" s="2" t="s">
        <v>105</v>
      </c>
      <c r="V17" s="2" t="s">
        <v>129</v>
      </c>
      <c r="X17" s="2" t="s">
        <v>58</v>
      </c>
      <c r="Y17" s="3" t="s">
        <v>59</v>
      </c>
      <c r="AB17">
        <v>2</v>
      </c>
      <c r="AE17">
        <f>SUM(아이템계수[[#This Row],[생명계수]:[행운계수]])</f>
        <v>2</v>
      </c>
      <c r="AG17" s="36"/>
    </row>
    <row r="18" spans="2:33">
      <c r="B18" t="s">
        <v>501</v>
      </c>
      <c r="F18" t="s">
        <v>500</v>
      </c>
      <c r="R18" s="2" t="s">
        <v>91</v>
      </c>
      <c r="S18" s="2" t="s">
        <v>124</v>
      </c>
      <c r="T18" s="2" t="s">
        <v>98</v>
      </c>
      <c r="U18" s="2" t="s">
        <v>97</v>
      </c>
      <c r="V18" s="2" t="s">
        <v>116</v>
      </c>
      <c r="X18" s="2" t="s">
        <v>60</v>
      </c>
      <c r="Y18" s="3" t="s">
        <v>61</v>
      </c>
      <c r="Z18">
        <v>2</v>
      </c>
      <c r="AE18">
        <f>SUM(아이템계수[[#This Row],[생명계수]:[행운계수]])</f>
        <v>2</v>
      </c>
      <c r="AG18" s="36"/>
    </row>
    <row r="19" spans="2:33">
      <c r="B19" t="s">
        <v>490</v>
      </c>
      <c r="C19" t="s">
        <v>426</v>
      </c>
      <c r="D19" t="s">
        <v>491</v>
      </c>
      <c r="F19" t="s">
        <v>490</v>
      </c>
      <c r="G19" t="s">
        <v>426</v>
      </c>
      <c r="H19" t="s">
        <v>491</v>
      </c>
      <c r="R19" s="2" t="s">
        <v>92</v>
      </c>
      <c r="S19" s="2" t="s">
        <v>124</v>
      </c>
      <c r="T19" s="2" t="s">
        <v>99</v>
      </c>
      <c r="U19" s="2" t="s">
        <v>97</v>
      </c>
      <c r="V19" s="2" t="s">
        <v>116</v>
      </c>
      <c r="X19" s="2" t="s">
        <v>62</v>
      </c>
      <c r="Y19" s="3" t="s">
        <v>429</v>
      </c>
      <c r="Z19">
        <v>3</v>
      </c>
      <c r="AE19">
        <f>SUM(아이템계수[[#This Row],[생명계수]:[행운계수]])</f>
        <v>3</v>
      </c>
      <c r="AG19" s="36"/>
    </row>
    <row r="20" spans="2:33">
      <c r="B20">
        <v>0</v>
      </c>
      <c r="C20" t="s">
        <v>492</v>
      </c>
      <c r="D20">
        <v>0.3</v>
      </c>
      <c r="F20">
        <v>0</v>
      </c>
      <c r="G20" t="s">
        <v>492</v>
      </c>
      <c r="H20">
        <v>0.2</v>
      </c>
      <c r="J20">
        <f>65/13</f>
        <v>5</v>
      </c>
      <c r="P20">
        <f>ROUND(($A2 * IF($B2="공격형", 0.1, IF($B2="탱커형", 0.4, 0.2))) / 23.2, 0)</f>
        <v>0</v>
      </c>
      <c r="R20" s="2" t="s">
        <v>93</v>
      </c>
      <c r="S20" s="2" t="s">
        <v>124</v>
      </c>
      <c r="T20" s="2" t="s">
        <v>100</v>
      </c>
      <c r="U20" s="2" t="s">
        <v>97</v>
      </c>
      <c r="V20" s="2" t="s">
        <v>116</v>
      </c>
      <c r="X20" s="2" t="s">
        <v>64</v>
      </c>
      <c r="Y20" s="3" t="s">
        <v>65</v>
      </c>
      <c r="AA20">
        <v>3</v>
      </c>
      <c r="AE20">
        <f>SUM(아이템계수[[#This Row],[생명계수]:[행운계수]])</f>
        <v>3</v>
      </c>
      <c r="AG20" s="36"/>
    </row>
    <row r="21" spans="2:33">
      <c r="B21">
        <v>1</v>
      </c>
      <c r="C21" t="s">
        <v>493</v>
      </c>
      <c r="D21">
        <v>0.34</v>
      </c>
      <c r="F21">
        <v>1</v>
      </c>
      <c r="G21" t="s">
        <v>493</v>
      </c>
      <c r="H21">
        <v>0.3</v>
      </c>
      <c r="R21" s="2" t="s">
        <v>126</v>
      </c>
      <c r="S21" s="2" t="s">
        <v>124</v>
      </c>
      <c r="T21" s="2" t="s">
        <v>101</v>
      </c>
      <c r="U21" s="2" t="s">
        <v>97</v>
      </c>
      <c r="V21" s="2" t="s">
        <v>116</v>
      </c>
      <c r="X21" s="2" t="s">
        <v>66</v>
      </c>
      <c r="Y21" s="3" t="s">
        <v>432</v>
      </c>
      <c r="AB21">
        <v>3</v>
      </c>
      <c r="AE21">
        <f>SUM(아이템계수[[#This Row],[생명계수]:[행운계수]])</f>
        <v>3</v>
      </c>
      <c r="AG21" s="36"/>
    </row>
    <row r="22" spans="2:33">
      <c r="B22">
        <v>2</v>
      </c>
      <c r="C22" t="s">
        <v>494</v>
      </c>
      <c r="D22">
        <v>0.2</v>
      </c>
      <c r="F22">
        <v>2</v>
      </c>
      <c r="G22" t="s">
        <v>494</v>
      </c>
      <c r="H22">
        <v>0.3</v>
      </c>
      <c r="R22" s="2" t="s">
        <v>27</v>
      </c>
      <c r="S22" s="2" t="s">
        <v>124</v>
      </c>
      <c r="T22" s="2" t="s">
        <v>102</v>
      </c>
      <c r="U22" s="2" t="s">
        <v>97</v>
      </c>
      <c r="V22" s="2" t="s">
        <v>116</v>
      </c>
      <c r="X22" s="2" t="s">
        <v>68</v>
      </c>
      <c r="Y22" s="3" t="s">
        <v>69</v>
      </c>
      <c r="AD22">
        <v>2</v>
      </c>
      <c r="AE22">
        <f>SUM(아이템계수[[#This Row],[생명계수]:[행운계수]])</f>
        <v>2</v>
      </c>
      <c r="AG22" s="36"/>
    </row>
    <row r="23" spans="2:33">
      <c r="B23">
        <v>3</v>
      </c>
      <c r="C23" t="s">
        <v>495</v>
      </c>
      <c r="D23">
        <v>0.1</v>
      </c>
      <c r="F23">
        <v>3</v>
      </c>
      <c r="G23" t="s">
        <v>495</v>
      </c>
      <c r="H23">
        <v>0.18</v>
      </c>
      <c r="R23" s="2" t="s">
        <v>90</v>
      </c>
      <c r="S23" s="2" t="s">
        <v>124</v>
      </c>
      <c r="T23" s="2" t="s">
        <v>103</v>
      </c>
      <c r="U23" s="2" t="s">
        <v>97</v>
      </c>
      <c r="V23" s="2" t="s">
        <v>116</v>
      </c>
      <c r="X23" s="2" t="s">
        <v>70</v>
      </c>
      <c r="Y23" s="3" t="s">
        <v>71</v>
      </c>
      <c r="AD23">
        <v>1</v>
      </c>
      <c r="AE23">
        <f>SUM(아이템계수[[#This Row],[생명계수]:[행운계수]])</f>
        <v>1</v>
      </c>
      <c r="AG23" s="36"/>
    </row>
    <row r="24" spans="2:33">
      <c r="B24">
        <v>4</v>
      </c>
      <c r="C24" t="s">
        <v>496</v>
      </c>
      <c r="D24">
        <v>0.05</v>
      </c>
      <c r="F24">
        <v>4</v>
      </c>
      <c r="G24" t="s">
        <v>496</v>
      </c>
      <c r="H24">
        <v>0.01</v>
      </c>
      <c r="R24" s="2" t="s">
        <v>128</v>
      </c>
      <c r="S24" s="2" t="s">
        <v>124</v>
      </c>
      <c r="T24" s="2" t="s">
        <v>104</v>
      </c>
      <c r="U24" s="2" t="s">
        <v>97</v>
      </c>
      <c r="V24" s="2" t="s">
        <v>116</v>
      </c>
      <c r="X24" s="2" t="s">
        <v>46</v>
      </c>
      <c r="Y24" s="3" t="s">
        <v>430</v>
      </c>
      <c r="AB24">
        <v>1</v>
      </c>
      <c r="AE24">
        <f>SUM(아이템계수[[#This Row],[생명계수]:[행운계수]])</f>
        <v>1</v>
      </c>
      <c r="AG24" s="37"/>
    </row>
    <row r="25" spans="2:33">
      <c r="B25">
        <v>5</v>
      </c>
      <c r="C25" t="s">
        <v>497</v>
      </c>
      <c r="D25">
        <v>0.01</v>
      </c>
      <c r="F25">
        <v>5</v>
      </c>
      <c r="G25" t="s">
        <v>497</v>
      </c>
      <c r="H25">
        <v>0.01</v>
      </c>
      <c r="R25" s="2"/>
      <c r="S25" s="2"/>
      <c r="T25" s="2"/>
      <c r="U25" s="2"/>
      <c r="V25" s="2"/>
      <c r="X25" s="2"/>
      <c r="Y25" s="3"/>
    </row>
    <row r="26" spans="2:33">
      <c r="R26" s="2" t="s">
        <v>445</v>
      </c>
      <c r="T26" s="2"/>
      <c r="U26" s="2"/>
      <c r="V26" s="2"/>
    </row>
    <row r="27" spans="2:33">
      <c r="R27" s="2" t="s">
        <v>451</v>
      </c>
      <c r="S27" s="2">
        <v>2</v>
      </c>
      <c r="T27" s="2">
        <f t="shared" ref="T27:T34" si="1">2/S27</f>
        <v>1</v>
      </c>
      <c r="U27" s="2"/>
      <c r="V27" s="2"/>
    </row>
    <row r="28" spans="2:33">
      <c r="R28" s="2" t="s">
        <v>423</v>
      </c>
      <c r="S28" s="2">
        <v>1.5</v>
      </c>
      <c r="T28" s="2">
        <f t="shared" si="1"/>
        <v>1.3333333333333333</v>
      </c>
      <c r="U28" s="2"/>
      <c r="V28" s="2"/>
    </row>
    <row r="29" spans="2:33">
      <c r="R29" s="2" t="s">
        <v>452</v>
      </c>
      <c r="S29" s="2">
        <v>0.5</v>
      </c>
      <c r="T29" s="2">
        <f t="shared" si="1"/>
        <v>4</v>
      </c>
      <c r="U29" s="2"/>
      <c r="V29" s="2"/>
    </row>
    <row r="30" spans="2:33">
      <c r="R30" s="2" t="s">
        <v>453</v>
      </c>
      <c r="S30" s="2">
        <v>10</v>
      </c>
      <c r="T30" s="2">
        <f t="shared" si="1"/>
        <v>0.2</v>
      </c>
      <c r="U30" s="2"/>
      <c r="V30" s="2"/>
    </row>
    <row r="31" spans="2:33">
      <c r="R31" s="2" t="s">
        <v>456</v>
      </c>
      <c r="S31" s="2">
        <v>1</v>
      </c>
      <c r="T31" s="2">
        <f t="shared" si="1"/>
        <v>2</v>
      </c>
      <c r="U31" s="2"/>
      <c r="V31" s="2"/>
    </row>
    <row r="32" spans="2:33">
      <c r="R32" s="2" t="s">
        <v>454</v>
      </c>
      <c r="S32" s="2">
        <v>3</v>
      </c>
      <c r="T32" s="2">
        <f t="shared" si="1"/>
        <v>0.66666666666666663</v>
      </c>
    </row>
    <row r="33" spans="16:20">
      <c r="R33" s="2" t="s">
        <v>455</v>
      </c>
      <c r="S33" s="2">
        <v>1</v>
      </c>
      <c r="T33" s="2">
        <f t="shared" si="1"/>
        <v>2</v>
      </c>
    </row>
    <row r="34" spans="16:20">
      <c r="R34" s="2" t="s">
        <v>425</v>
      </c>
      <c r="S34" s="2">
        <v>1</v>
      </c>
      <c r="T34" s="2">
        <f t="shared" si="1"/>
        <v>2</v>
      </c>
    </row>
    <row r="35" spans="16:20" ht="181.5">
      <c r="P35" s="2" t="s">
        <v>447</v>
      </c>
    </row>
  </sheetData>
  <phoneticPr fontId="1" type="noConversion"/>
  <pageMargins left="0.7" right="0.7" top="0.75" bottom="0.75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5D9B9-8B8B-49A0-874D-D36BDBB8C2EF}">
  <dimension ref="B2"/>
  <sheetViews>
    <sheetView workbookViewId="0">
      <selection activeCell="B5" sqref="B5"/>
    </sheetView>
  </sheetViews>
  <sheetFormatPr defaultRowHeight="16.5"/>
  <sheetData>
    <row r="2" spans="2:2">
      <c r="B2" t="s">
        <v>482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D7775-2AE3-4943-BA0C-8411FB75BDC0}">
  <sheetPr codeName="Sheet7"/>
  <dimension ref="A1:AO312"/>
  <sheetViews>
    <sheetView topLeftCell="O1" workbookViewId="0">
      <selection activeCell="AD11" sqref="AD11"/>
    </sheetView>
  </sheetViews>
  <sheetFormatPr defaultRowHeight="16.5"/>
  <cols>
    <col min="14" max="14" width="14" bestFit="1" customWidth="1"/>
    <col min="15" max="15" width="17.625" bestFit="1" customWidth="1"/>
    <col min="20" max="20" width="3.5" customWidth="1"/>
    <col min="22" max="22" width="5" customWidth="1"/>
  </cols>
  <sheetData>
    <row r="1" spans="1:41">
      <c r="A1" t="s">
        <v>470</v>
      </c>
      <c r="C1" t="s">
        <v>481</v>
      </c>
      <c r="E1" t="s">
        <v>467</v>
      </c>
      <c r="F1">
        <v>5</v>
      </c>
      <c r="H1" t="s">
        <v>478</v>
      </c>
      <c r="I1">
        <v>2</v>
      </c>
      <c r="U1" t="s">
        <v>471</v>
      </c>
      <c r="X1" t="s">
        <v>467</v>
      </c>
      <c r="Z1">
        <v>5</v>
      </c>
    </row>
    <row r="2" spans="1:41">
      <c r="A2" t="s">
        <v>446</v>
      </c>
      <c r="B2" t="s">
        <v>480</v>
      </c>
      <c r="C2" t="s">
        <v>442</v>
      </c>
      <c r="D2" t="s">
        <v>477</v>
      </c>
      <c r="E2" t="s">
        <v>426</v>
      </c>
      <c r="F2" s="1" t="s">
        <v>22</v>
      </c>
      <c r="G2" s="1" t="s">
        <v>107</v>
      </c>
      <c r="H2" s="1" t="s">
        <v>108</v>
      </c>
      <c r="I2" s="1" t="s">
        <v>109</v>
      </c>
      <c r="J2" s="1" t="s">
        <v>110</v>
      </c>
      <c r="K2" s="18" t="s">
        <v>9</v>
      </c>
      <c r="L2" s="18" t="s">
        <v>7</v>
      </c>
      <c r="M2" s="18" t="s">
        <v>25</v>
      </c>
      <c r="N2" s="18" t="s">
        <v>10</v>
      </c>
      <c r="O2" s="18" t="s">
        <v>27</v>
      </c>
      <c r="P2" s="18" t="s">
        <v>40</v>
      </c>
      <c r="Q2" s="18" t="s">
        <v>16</v>
      </c>
      <c r="R2" s="21" t="s">
        <v>38</v>
      </c>
      <c r="S2" s="21" t="s">
        <v>448</v>
      </c>
      <c r="U2" t="s">
        <v>521</v>
      </c>
      <c r="V2" t="s">
        <v>522</v>
      </c>
      <c r="W2" t="s">
        <v>442</v>
      </c>
      <c r="X2" t="s">
        <v>131</v>
      </c>
      <c r="Y2" t="s">
        <v>490</v>
      </c>
      <c r="Z2" s="1" t="s">
        <v>22</v>
      </c>
      <c r="AA2" s="1" t="s">
        <v>107</v>
      </c>
      <c r="AB2" s="1" t="s">
        <v>108</v>
      </c>
      <c r="AC2" s="1" t="s">
        <v>109</v>
      </c>
      <c r="AD2" s="1" t="s">
        <v>110</v>
      </c>
      <c r="AE2" s="18" t="s">
        <v>9</v>
      </c>
      <c r="AF2" s="18" t="s">
        <v>7</v>
      </c>
      <c r="AG2" s="18" t="s">
        <v>25</v>
      </c>
      <c r="AH2" s="18" t="s">
        <v>28</v>
      </c>
      <c r="AI2" s="18" t="s">
        <v>27</v>
      </c>
      <c r="AJ2" s="18" t="s">
        <v>40</v>
      </c>
      <c r="AK2" s="18" t="s">
        <v>16</v>
      </c>
      <c r="AL2" s="21" t="s">
        <v>448</v>
      </c>
      <c r="AN2" t="s">
        <v>65</v>
      </c>
      <c r="AO2">
        <f>COUNTIFS(몬스터밸런스9[분류],AN2)</f>
        <v>25</v>
      </c>
    </row>
    <row r="3" spans="1:41">
      <c r="A3">
        <v>3</v>
      </c>
      <c r="B3">
        <v>1</v>
      </c>
      <c r="C3">
        <f>$F$1*몬스터밸런스[[#This Row],[Lv]]+15</f>
        <v>30</v>
      </c>
      <c r="E3" t="s">
        <v>479</v>
      </c>
      <c r="F3">
        <f>IF(E3="공격형",INDEX(몬스터계수[[#Data],[생명계수]],MATCH(E3,몬스터계수[[#Data],[타입]],0),1)*C3,
IF(E3="방어형",INDEX(몬스터계수[[#Data],[생명계수]],MATCH(E3,몬스터계수[[#Data],[타입]],0),1)*C3,
IF(E3="회피형",INDEX(몬스터계수[[#Data],[생명계수]],MATCH(E3,몬스터계수[[#Data],[타입]],0),1)*C3,
IF(E3="체력형",INDEX(몬스터계수[[#Data],[생명계수]],MATCH(E3,몬스터계수[[#Data],[타입]],0),1)*C3,0))))*IF(몬스터밸런스[[#This Row],[보스]]=TRUE,2,1)</f>
        <v>15</v>
      </c>
      <c r="G3">
        <f>IF(E3="공격형",INDEX(몬스터계수[[#Data],[힘계수]],MATCH(E3, 몬스터계수[[#Data],[타입]],0),1)*C3,
IF(E3="방어형",INDEX(몬스터계수[[#Data],[힘계수]],MATCH(E3, 몬스터계수[[#Data],[타입]],0),1)*C3,
IF(E3="회피형",INDEX(몬스터계수[[#Data],[힘계수]],MATCH(E3, 몬스터계수[[#Data],[타입]],0),1)*C3,
IF(E3="체력형",INDEX(몬스터계수[[#Data],[힘계수]],MATCH(E3, 몬스터계수[[#Data],[타입]],0),1)*C3,0))))</f>
        <v>7.5</v>
      </c>
      <c r="H3">
        <f>IF(E3="공격형",INDEX(몬스터계수[[#Data],[근력게수]],MATCH(E3,몬스터계수[[#Data],[타입]],0),1)*C3,
IF(E3="방어형",INDEX(몬스터계수[[#Data],[근력게수]],MATCH(E3,몬스터계수[[#Data],[타입]],0),1)*C3,
IF(E3="회피형",INDEX(몬스터계수[[#Data],[근력게수]],MATCH(E3,몬스터계수[[#Data],[타입]],0),1)*C3,
IF(E3="체력형",INDEX(몬스터계수[[#Data],[근력게수]],MATCH(E3,몬스터계수[[#Data],[타입]],0),1)*C3,0))))</f>
        <v>1.5</v>
      </c>
      <c r="I3">
        <f>IF(E3="공격형",INDEX(몬스터계수[[#Data],[숙련도계수]],MATCH(E3,몬스터계수[[#Data],[타입]],0),1)*C3,
IF(E3="방어형",INDEX(몬스터계수[[#Data],[숙련도계수]],MATCH(E3,몬스터계수[[#Data],[타입]],0),1)*C3,
IF(E3="회피형",INDEX(몬스터계수[[#Data],[숙련도계수]],MATCH(E3,몬스터계수[[#Data],[타입]],0),1)*C3,
IF(E3="체력형",INDEX(몬스터계수[[#Data],[숙련도계수]],MATCH(E3,몬스터계수[[#Data],[타입]],0),1)*C3,0))))</f>
        <v>4.5</v>
      </c>
      <c r="J3">
        <f>IF(E3="공격형",INDEX(몬스터계수[[#Data],[행운계수]],MATCH(E3, 몬스터계수[[#Data],[타입]],0),1)*C3,
IF(E3="방어형",INDEX(몬스터계수[[#Data],[행운계수]],MATCH(E3, 몬스터계수[[#Data],[타입]],0),1)*C3,
IF(E3="회피형",INDEX(몬스터계수[[#Data],[행운계수]],MATCH(E3, 몬스터계수[[#Data],[타입]],0),1)*C3,
IF(E3="체력형",INDEX(몬스터계수[[#Data],[행운계수]],MATCH(E3, 몬스터계수[[#Data],[타입]],0),1)*C3,0))))</f>
        <v>1.5</v>
      </c>
      <c r="K3" s="34">
        <f>ROUND(
(($F3)*참고!$D$5)
+(($G3)*참고!$D$6)
+(($H3)*참고!$D$7)
+(($I3)*참고!$D$8)
+(($J3))*참고!$D$9,0)</f>
        <v>233</v>
      </c>
      <c r="L3" s="34">
        <f>ROUND(
(($F3)*참고!$E$5)
+(($G3)*참고!$E$6)
+(($H3)*참고!$E$7)
+(($I3)*참고!$E$8)
+(($J3))*참고!$E$9,0)</f>
        <v>134</v>
      </c>
      <c r="M3" s="34">
        <f>ROUND(
(($F3)*참고!$F$5)
+(($G3)*참고!$F$6)
+(($H3)*참고!$F$7)
+(($I3)*참고!$F$8)
+(($J3))*참고!$F$9,0)</f>
        <v>38</v>
      </c>
      <c r="N3" s="34">
        <f>ROUND(
(($F3)*참고!$G$5)
+(($G3)*참고!$G$6)
+(($H3)*참고!$G$7)
+(($I3)*참고!$G$8)
+(($J3))*참고!$G$9,0)</f>
        <v>1</v>
      </c>
      <c r="O3" s="34">
        <f>ROUND(
(($F3)*참고!$H$5)
+(($G3)*참고!$H$6)
+(($H3)*참고!$H$7)
+(($I3)*참고!$H$8)
+(($J3))*참고!$H$9,0)</f>
        <v>25</v>
      </c>
      <c r="P3" s="34">
        <f>ROUND(
(($F3)*참고!$I$5)
+(($G3)*참고!$I$6)
+(($H3)*참고!$I$7)
+(($I3)*참고!$I$8)
+(($J3))*참고!$I$9,0)</f>
        <v>44</v>
      </c>
      <c r="Q3" s="34">
        <f>ROUND(
(($F3)*참고!$J$5)
+(($G3)*참고!$J$6)
+(($H3)*참고!$J$7)
+(($I3)*참고!$J$8)
+(($J3))*참고!$J$9,0)</f>
        <v>30</v>
      </c>
      <c r="R3" s="34">
        <f>IF(E3="공격형",(INDEX(몬스터계수[[#Data],[속도]],MATCH(E3, 몬스터계수[[#Data],[타입]],0),1)*속도핸들러_곱계수)*(INT(몬스터밸런스[[#This Row],[Lv]]/속도핸들러_합계수+1)),
IF(E3="방어형",(INDEX(몬스터계수[[#Data],[속도]],MATCH(E3, 몬스터계수[[#Data],[타입]],0),1)*속도핸들러_곱계수)*(INT(몬스터밸런스[[#This Row],[Lv]]/속도핸들러_합계수+1)),
IF(E3="회피형",(INDEX(몬스터계수[[#Data],[속도]],MATCH(E3, 몬스터계수[[#Data],[타입]],0),1)*속도핸들러_곱계수)*(INT(몬스터밸런스[[#This Row],[Lv]]/속도핸들러_합계수+1)),
IF(E3="기본형",(INDEX(몬스터계수[[#Data],[속도]],MATCH(E3, 몬스터계수[[#Data],[타입]],0),1)*속도핸들러_곱계수)*(INT(몬스터밸런스[[#This Row],[Lv]]/속도핸들러_합계수+1)),0))))</f>
        <v>0</v>
      </c>
      <c r="S3">
        <f t="shared" ref="S3:S66" si="0">(K3*HP계수) + (L3*attack계수) + (M3*Defense계수) + (N3*CriticalRate계수) + (O3*CriticalDamage계수) + (P3*Accuracy계수) + (Q3*DodgeRate계수)</f>
        <v>8026.5</v>
      </c>
      <c r="U3">
        <v>1</v>
      </c>
      <c r="V3">
        <v>1</v>
      </c>
      <c r="W3">
        <f>$Z$1*몬스터밸런스9[[#This Row],[단계]]</f>
        <v>5</v>
      </c>
      <c r="X3" t="s">
        <v>65</v>
      </c>
      <c r="Y3">
        <v>0</v>
      </c>
      <c r="AE3" s="34"/>
      <c r="AF3" s="34">
        <f>몬스터밸런스[[#This Row],[Attack]]*0.5</f>
        <v>67</v>
      </c>
      <c r="AG3" s="34"/>
      <c r="AH3" s="34"/>
      <c r="AI3" s="34"/>
      <c r="AJ3" s="34"/>
      <c r="AK3" s="34"/>
      <c r="AL3">
        <f t="shared" ref="AL3:AL27" si="1">(AE3*HP계수) + (AF3*attack계수) + (AG3*Defense계수) + (AH3*CriticalRate계수) + (AI3*CriticalDamage계수) + (AJ3*Accuracy계수) + (AK3*DodgeRate계수)</f>
        <v>1072</v>
      </c>
      <c r="AN3" t="s">
        <v>55</v>
      </c>
      <c r="AO3">
        <f>COUNTIFS(몬스터밸런스9[분류],AN3)</f>
        <v>25</v>
      </c>
    </row>
    <row r="4" spans="1:41">
      <c r="A4">
        <v>10</v>
      </c>
      <c r="B4">
        <v>2</v>
      </c>
      <c r="C4">
        <f>$F$1*몬스터밸런스[[#This Row],[Lv]]+15</f>
        <v>65</v>
      </c>
      <c r="E4" t="s">
        <v>479</v>
      </c>
      <c r="F4">
        <f>IF(E4="공격형",INDEX(몬스터계수[[#Data],[생명계수]],MATCH(E4,몬스터계수[[#Data],[타입]],0),1)*C4,
IF(E4="방어형",INDEX(몬스터계수[[#Data],[생명계수]],MATCH(E4,몬스터계수[[#Data],[타입]],0),1)*C4,
IF(E4="회피형",INDEX(몬스터계수[[#Data],[생명계수]],MATCH(E4,몬스터계수[[#Data],[타입]],0),1)*C4,
IF(E4="체력형",INDEX(몬스터계수[[#Data],[생명계수]],MATCH(E4,몬스터계수[[#Data],[타입]],0),1)*C4,0))))*IF(몬스터밸런스[[#This Row],[보스]]=TRUE,2,1)</f>
        <v>32.5</v>
      </c>
      <c r="G4">
        <f>IF(E4="공격형",INDEX(몬스터계수[[#Data],[힘계수]],MATCH(E4, 몬스터계수[[#Data],[타입]],0),1)*C4,
IF(E4="방어형",INDEX(몬스터계수[[#Data],[힘계수]],MATCH(E4, 몬스터계수[[#Data],[타입]],0),1)*C4,
IF(E4="회피형",INDEX(몬스터계수[[#Data],[힘계수]],MATCH(E4, 몬스터계수[[#Data],[타입]],0),1)*C4,
IF(E4="체력형",INDEX(몬스터계수[[#Data],[힘계수]],MATCH(E4, 몬스터계수[[#Data],[타입]],0),1)*C4,0))))</f>
        <v>16.25</v>
      </c>
      <c r="H4">
        <f>IF(E4="공격형",INDEX(몬스터계수[[#Data],[근력게수]],MATCH(E4,몬스터계수[[#Data],[타입]],0),1)*C4,
IF(E4="방어형",INDEX(몬스터계수[[#Data],[근력게수]],MATCH(E4,몬스터계수[[#Data],[타입]],0),1)*C4,
IF(E4="회피형",INDEX(몬스터계수[[#Data],[근력게수]],MATCH(E4,몬스터계수[[#Data],[타입]],0),1)*C4,
IF(E4="체력형",INDEX(몬스터계수[[#Data],[근력게수]],MATCH(E4,몬스터계수[[#Data],[타입]],0),1)*C4,0))))</f>
        <v>3.25</v>
      </c>
      <c r="I4">
        <f>IF(E4="공격형",INDEX(몬스터계수[[#Data],[숙련도계수]],MATCH(E4,몬스터계수[[#Data],[타입]],0),1)*C4,
IF(E4="방어형",INDEX(몬스터계수[[#Data],[숙련도계수]],MATCH(E4,몬스터계수[[#Data],[타입]],0),1)*C4,
IF(E4="회피형",INDEX(몬스터계수[[#Data],[숙련도계수]],MATCH(E4,몬스터계수[[#Data],[타입]],0),1)*C4,
IF(E4="체력형",INDEX(몬스터계수[[#Data],[숙련도계수]],MATCH(E4,몬스터계수[[#Data],[타입]],0),1)*C4,0))))</f>
        <v>9.75</v>
      </c>
      <c r="J4">
        <f>IF(E4="공격형",INDEX(몬스터계수[[#Data],[행운계수]],MATCH(E4, 몬스터계수[[#Data],[타입]],0),1)*C4,
IF(E4="방어형",INDEX(몬스터계수[[#Data],[행운계수]],MATCH(E4, 몬스터계수[[#Data],[타입]],0),1)*C4,
IF(E4="회피형",INDEX(몬스터계수[[#Data],[행운계수]],MATCH(E4, 몬스터계수[[#Data],[타입]],0),1)*C4,
IF(E4="체력형",INDEX(몬스터계수[[#Data],[행운계수]],MATCH(E4, 몬스터계수[[#Data],[타입]],0),1)*C4,0))))</f>
        <v>3.25</v>
      </c>
      <c r="K4" s="34">
        <f>ROUND(
(($F4)*참고!$D$5)
+(($G4)*참고!$D$6)
+(($H4)*참고!$D$7)
+(($I4)*참고!$D$8)
+(($J4))*참고!$D$9,0)</f>
        <v>505</v>
      </c>
      <c r="L4" s="34">
        <f>ROUND(
(($F4)*참고!$E$5)
+(($G4)*참고!$E$6)
+(($H4)*참고!$E$7)
+(($I4)*참고!$E$8)
+(($J4))*참고!$E$9,0)</f>
        <v>289</v>
      </c>
      <c r="M4" s="34">
        <f>ROUND(
(($F4)*참고!$F$5)
+(($G4)*참고!$F$6)
+(($H4)*참고!$F$7)
+(($I4)*참고!$F$8)
+(($J4))*참고!$F$9,0)</f>
        <v>81</v>
      </c>
      <c r="N4" s="34">
        <f>ROUND(
(($F4)*참고!$G$5)
+(($G4)*참고!$G$6)
+(($H4)*참고!$G$7)
+(($I4)*참고!$G$8)
+(($J4))*참고!$G$9,0)</f>
        <v>2</v>
      </c>
      <c r="O4" s="34">
        <f>ROUND(
(($F4)*참고!$H$5)
+(($G4)*참고!$H$6)
+(($H4)*참고!$H$7)
+(($I4)*참고!$H$8)
+(($J4))*참고!$H$9,0)</f>
        <v>54</v>
      </c>
      <c r="P4" s="34">
        <f>ROUND(
(($F4)*참고!$I$5)
+(($G4)*참고!$I$6)
+(($H4)*참고!$I$7)
+(($I4)*참고!$I$8)
+(($J4))*참고!$I$9,0)</f>
        <v>94</v>
      </c>
      <c r="Q4" s="34">
        <f>ROUND(
(($F4)*참고!$J$5)
+(($G4)*참고!$J$6)
+(($H4)*참고!$J$7)
+(($I4)*참고!$J$8)
+(($J4))*참고!$J$9,0)</f>
        <v>65</v>
      </c>
      <c r="R4" s="34">
        <f>IF(E4="공격형",(INDEX(몬스터계수[[#Data],[속도]],MATCH(E4, 몬스터계수[[#Data],[타입]],0),1)*속도핸들러_곱계수)*(INT(몬스터밸런스[[#This Row],[Lv]]/속도핸들러_합계수+1)),
IF(E4="방어형",(INDEX(몬스터계수[[#Data],[속도]],MATCH(E4, 몬스터계수[[#Data],[타입]],0),1)*속도핸들러_곱계수)*(INT(몬스터밸런스[[#This Row],[Lv]]/속도핸들러_합계수+1)),
IF(E4="회피형",(INDEX(몬스터계수[[#Data],[속도]],MATCH(E4, 몬스터계수[[#Data],[타입]],0),1)*속도핸들러_곱계수)*(INT(몬스터밸런스[[#This Row],[Lv]]/속도핸들러_합계수+1)),
IF(E4="기본형",(INDEX(몬스터계수[[#Data],[속도]],MATCH(E4, 몬스터계수[[#Data],[타입]],0),1)*속도핸들러_곱계수)*(INT(몬스터밸런스[[#This Row],[Lv]]/속도핸들러_합계수+1)),0))))</f>
        <v>0</v>
      </c>
      <c r="S4">
        <f t="shared" si="0"/>
        <v>17335.5</v>
      </c>
      <c r="U4">
        <v>1</v>
      </c>
      <c r="V4">
        <v>2</v>
      </c>
      <c r="W4">
        <f>$Z$1*몬스터밸런스9[[#This Row],[단계]]</f>
        <v>5</v>
      </c>
      <c r="X4" t="s">
        <v>65</v>
      </c>
      <c r="Y4">
        <v>1</v>
      </c>
      <c r="AE4" s="34"/>
      <c r="AF4" s="34">
        <f>몬스터밸런스[[#This Row],[Attack]]*0.5</f>
        <v>144.5</v>
      </c>
      <c r="AG4" s="34"/>
      <c r="AH4" s="34"/>
      <c r="AI4" s="34"/>
      <c r="AJ4" s="34"/>
      <c r="AK4" s="34"/>
      <c r="AL4">
        <f t="shared" si="1"/>
        <v>2312</v>
      </c>
      <c r="AN4" t="s">
        <v>61</v>
      </c>
      <c r="AO4">
        <f>COUNTIFS(몬스터밸런스9[분류],AN4)</f>
        <v>25</v>
      </c>
    </row>
    <row r="5" spans="1:41">
      <c r="A5">
        <v>20</v>
      </c>
      <c r="B5">
        <v>3</v>
      </c>
      <c r="C5">
        <f>$F$1*몬스터밸런스[[#This Row],[Lv]]+15</f>
        <v>115</v>
      </c>
      <c r="E5" t="s">
        <v>479</v>
      </c>
      <c r="F5">
        <f>IF(E5="공격형",INDEX(몬스터계수[[#Data],[생명계수]],MATCH(E5,몬스터계수[[#Data],[타입]],0),1)*C5,
IF(E5="방어형",INDEX(몬스터계수[[#Data],[생명계수]],MATCH(E5,몬스터계수[[#Data],[타입]],0),1)*C5,
IF(E5="회피형",INDEX(몬스터계수[[#Data],[생명계수]],MATCH(E5,몬스터계수[[#Data],[타입]],0),1)*C5,
IF(E5="체력형",INDEX(몬스터계수[[#Data],[생명계수]],MATCH(E5,몬스터계수[[#Data],[타입]],0),1)*C5,0))))*IF(몬스터밸런스[[#This Row],[보스]]=TRUE,2,1)</f>
        <v>57.5</v>
      </c>
      <c r="G5">
        <f>IF(E5="공격형",INDEX(몬스터계수[[#Data],[힘계수]],MATCH(E5, 몬스터계수[[#Data],[타입]],0),1)*C5,
IF(E5="방어형",INDEX(몬스터계수[[#Data],[힘계수]],MATCH(E5, 몬스터계수[[#Data],[타입]],0),1)*C5,
IF(E5="회피형",INDEX(몬스터계수[[#Data],[힘계수]],MATCH(E5, 몬스터계수[[#Data],[타입]],0),1)*C5,
IF(E5="체력형",INDEX(몬스터계수[[#Data],[힘계수]],MATCH(E5, 몬스터계수[[#Data],[타입]],0),1)*C5,0))))</f>
        <v>28.75</v>
      </c>
      <c r="H5">
        <f>IF(E5="공격형",INDEX(몬스터계수[[#Data],[근력게수]],MATCH(E5,몬스터계수[[#Data],[타입]],0),1)*C5,
IF(E5="방어형",INDEX(몬스터계수[[#Data],[근력게수]],MATCH(E5,몬스터계수[[#Data],[타입]],0),1)*C5,
IF(E5="회피형",INDEX(몬스터계수[[#Data],[근력게수]],MATCH(E5,몬스터계수[[#Data],[타입]],0),1)*C5,
IF(E5="체력형",INDEX(몬스터계수[[#Data],[근력게수]],MATCH(E5,몬스터계수[[#Data],[타입]],0),1)*C5,0))))</f>
        <v>5.75</v>
      </c>
      <c r="I5">
        <f>IF(E5="공격형",INDEX(몬스터계수[[#Data],[숙련도계수]],MATCH(E5,몬스터계수[[#Data],[타입]],0),1)*C5,
IF(E5="방어형",INDEX(몬스터계수[[#Data],[숙련도계수]],MATCH(E5,몬스터계수[[#Data],[타입]],0),1)*C5,
IF(E5="회피형",INDEX(몬스터계수[[#Data],[숙련도계수]],MATCH(E5,몬스터계수[[#Data],[타입]],0),1)*C5,
IF(E5="체력형",INDEX(몬스터계수[[#Data],[숙련도계수]],MATCH(E5,몬스터계수[[#Data],[타입]],0),1)*C5,0))))</f>
        <v>17.25</v>
      </c>
      <c r="J5">
        <f>IF(E5="공격형",INDEX(몬스터계수[[#Data],[행운계수]],MATCH(E5, 몬스터계수[[#Data],[타입]],0),1)*C5,
IF(E5="방어형",INDEX(몬스터계수[[#Data],[행운계수]],MATCH(E5, 몬스터계수[[#Data],[타입]],0),1)*C5,
IF(E5="회피형",INDEX(몬스터계수[[#Data],[행운계수]],MATCH(E5, 몬스터계수[[#Data],[타입]],0),1)*C5,
IF(E5="체력형",INDEX(몬스터계수[[#Data],[행운계수]],MATCH(E5, 몬스터계수[[#Data],[타입]],0),1)*C5,0))))</f>
        <v>5.75</v>
      </c>
      <c r="K5" s="34">
        <f>ROUND(
(($F5)*참고!$D$5)
+(($G5)*참고!$D$6)
+(($H5)*참고!$D$7)
+(($I5)*참고!$D$8)
+(($J5))*참고!$D$9,0)</f>
        <v>894</v>
      </c>
      <c r="L5" s="34">
        <f>ROUND(
(($F5)*참고!$E$5)
+(($G5)*참고!$E$6)
+(($H5)*참고!$E$7)
+(($I5)*참고!$E$8)
+(($J5))*참고!$E$9,0)</f>
        <v>512</v>
      </c>
      <c r="M5" s="34">
        <f>ROUND(
(($F5)*참고!$F$5)
+(($G5)*참고!$F$6)
+(($H5)*참고!$F$7)
+(($I5)*참고!$F$8)
+(($J5))*참고!$F$9,0)</f>
        <v>144</v>
      </c>
      <c r="N5" s="34">
        <f>ROUND(
(($F5)*참고!$G$5)
+(($G5)*참고!$G$6)
+(($H5)*참고!$G$7)
+(($I5)*참고!$G$8)
+(($J5))*참고!$G$9,0)</f>
        <v>4</v>
      </c>
      <c r="O5" s="34">
        <f>ROUND(
(($F5)*참고!$H$5)
+(($G5)*참고!$H$6)
+(($H5)*참고!$H$7)
+(($I5)*참고!$H$8)
+(($J5))*참고!$H$9,0)</f>
        <v>95</v>
      </c>
      <c r="P5" s="34">
        <f>ROUND(
(($F5)*참고!$I$5)
+(($G5)*참고!$I$6)
+(($H5)*참고!$I$7)
+(($I5)*참고!$I$8)
+(($J5))*참고!$I$9,0)</f>
        <v>167</v>
      </c>
      <c r="Q5" s="34">
        <f>ROUND(
(($F5)*참고!$J$5)
+(($G5)*참고!$J$6)
+(($H5)*참고!$J$7)
+(($I5)*참고!$J$8)
+(($J5))*참고!$J$9,0)</f>
        <v>115</v>
      </c>
      <c r="R5" s="34">
        <f>IF(E5="공격형",(INDEX(몬스터계수[[#Data],[속도]],MATCH(E5, 몬스터계수[[#Data],[타입]],0),1)*속도핸들러_곱계수)*(INT(몬스터밸런스[[#This Row],[Lv]]/속도핸들러_합계수+1)),
IF(E5="방어형",(INDEX(몬스터계수[[#Data],[속도]],MATCH(E5, 몬스터계수[[#Data],[타입]],0),1)*속도핸들러_곱계수)*(INT(몬스터밸런스[[#This Row],[Lv]]/속도핸들러_합계수+1)),
IF(E5="회피형",(INDEX(몬스터계수[[#Data],[속도]],MATCH(E5, 몬스터계수[[#Data],[타입]],0),1)*속도핸들러_곱계수)*(INT(몬스터밸런스[[#This Row],[Lv]]/속도핸들러_합계수+1)),
IF(E5="기본형",(INDEX(몬스터계수[[#Data],[속도]],MATCH(E5, 몬스터계수[[#Data],[타입]],0),1)*속도핸들러_곱계수)*(INT(몬스터밸런스[[#This Row],[Lv]]/속도핸들러_합계수+1)),0))))</f>
        <v>0</v>
      </c>
      <c r="S5">
        <f t="shared" si="0"/>
        <v>30707.5</v>
      </c>
      <c r="U5">
        <v>1</v>
      </c>
      <c r="V5">
        <v>3</v>
      </c>
      <c r="W5">
        <f>$Z$1*몬스터밸런스9[[#This Row],[단계]]</f>
        <v>5</v>
      </c>
      <c r="X5" t="s">
        <v>65</v>
      </c>
      <c r="Y5">
        <v>2</v>
      </c>
      <c r="AE5" s="34"/>
      <c r="AF5" s="34">
        <f>몬스터밸런스[[#This Row],[Attack]]*0.5</f>
        <v>256</v>
      </c>
      <c r="AG5" s="34"/>
      <c r="AH5" s="34"/>
      <c r="AI5" s="34"/>
      <c r="AJ5" s="34"/>
      <c r="AK5" s="34"/>
      <c r="AL5">
        <f t="shared" si="1"/>
        <v>4096</v>
      </c>
      <c r="AN5" t="s">
        <v>51</v>
      </c>
      <c r="AO5">
        <f>COUNTIFS(몬스터밸런스9[분류],AN5)</f>
        <v>25</v>
      </c>
    </row>
    <row r="6" spans="1:41">
      <c r="A6">
        <v>30</v>
      </c>
      <c r="B6">
        <v>4</v>
      </c>
      <c r="C6">
        <f>$F$1*몬스터밸런스[[#This Row],[Lv]]+15</f>
        <v>165</v>
      </c>
      <c r="E6" t="s">
        <v>479</v>
      </c>
      <c r="F6">
        <f>IF(E6="공격형",INDEX(몬스터계수[[#Data],[생명계수]],MATCH(E6,몬스터계수[[#Data],[타입]],0),1)*C6,
IF(E6="방어형",INDEX(몬스터계수[[#Data],[생명계수]],MATCH(E6,몬스터계수[[#Data],[타입]],0),1)*C6,
IF(E6="회피형",INDEX(몬스터계수[[#Data],[생명계수]],MATCH(E6,몬스터계수[[#Data],[타입]],0),1)*C6,
IF(E6="체력형",INDEX(몬스터계수[[#Data],[생명계수]],MATCH(E6,몬스터계수[[#Data],[타입]],0),1)*C6,0))))*IF(몬스터밸런스[[#This Row],[보스]]=TRUE,2,1)</f>
        <v>82.5</v>
      </c>
      <c r="G6">
        <f>IF(E6="공격형",INDEX(몬스터계수[[#Data],[힘계수]],MATCH(E6, 몬스터계수[[#Data],[타입]],0),1)*C6,
IF(E6="방어형",INDEX(몬스터계수[[#Data],[힘계수]],MATCH(E6, 몬스터계수[[#Data],[타입]],0),1)*C6,
IF(E6="회피형",INDEX(몬스터계수[[#Data],[힘계수]],MATCH(E6, 몬스터계수[[#Data],[타입]],0),1)*C6,
IF(E6="체력형",INDEX(몬스터계수[[#Data],[힘계수]],MATCH(E6, 몬스터계수[[#Data],[타입]],0),1)*C6,0))))</f>
        <v>41.25</v>
      </c>
      <c r="H6">
        <f>IF(E6="공격형",INDEX(몬스터계수[[#Data],[근력게수]],MATCH(E6,몬스터계수[[#Data],[타입]],0),1)*C6,
IF(E6="방어형",INDEX(몬스터계수[[#Data],[근력게수]],MATCH(E6,몬스터계수[[#Data],[타입]],0),1)*C6,
IF(E6="회피형",INDEX(몬스터계수[[#Data],[근력게수]],MATCH(E6,몬스터계수[[#Data],[타입]],0),1)*C6,
IF(E6="체력형",INDEX(몬스터계수[[#Data],[근력게수]],MATCH(E6,몬스터계수[[#Data],[타입]],0),1)*C6,0))))</f>
        <v>8.25</v>
      </c>
      <c r="I6">
        <f>IF(E6="공격형",INDEX(몬스터계수[[#Data],[숙련도계수]],MATCH(E6,몬스터계수[[#Data],[타입]],0),1)*C6,
IF(E6="방어형",INDEX(몬스터계수[[#Data],[숙련도계수]],MATCH(E6,몬스터계수[[#Data],[타입]],0),1)*C6,
IF(E6="회피형",INDEX(몬스터계수[[#Data],[숙련도계수]],MATCH(E6,몬스터계수[[#Data],[타입]],0),1)*C6,
IF(E6="체력형",INDEX(몬스터계수[[#Data],[숙련도계수]],MATCH(E6,몬스터계수[[#Data],[타입]],0),1)*C6,0))))</f>
        <v>24.75</v>
      </c>
      <c r="J6">
        <f>IF(E6="공격형",INDEX(몬스터계수[[#Data],[행운계수]],MATCH(E6, 몬스터계수[[#Data],[타입]],0),1)*C6,
IF(E6="방어형",INDEX(몬스터계수[[#Data],[행운계수]],MATCH(E6, 몬스터계수[[#Data],[타입]],0),1)*C6,
IF(E6="회피형",INDEX(몬스터계수[[#Data],[행운계수]],MATCH(E6, 몬스터계수[[#Data],[타입]],0),1)*C6,
IF(E6="체력형",INDEX(몬스터계수[[#Data],[행운계수]],MATCH(E6, 몬스터계수[[#Data],[타입]],0),1)*C6,0))))</f>
        <v>8.25</v>
      </c>
      <c r="K6" s="34">
        <f>ROUND(
(($F6)*참고!$D$5)
+(($G6)*참고!$D$6)
+(($H6)*참고!$D$7)
+(($I6)*참고!$D$8)
+(($J6))*참고!$D$9,0)</f>
        <v>1283</v>
      </c>
      <c r="L6" s="34">
        <f>ROUND(
(($F6)*참고!$E$5)
+(($G6)*참고!$E$6)
+(($H6)*참고!$E$7)
+(($I6)*참고!$E$8)
+(($J6))*참고!$E$9,0)</f>
        <v>734</v>
      </c>
      <c r="M6" s="34">
        <f>ROUND(
(($F6)*참고!$F$5)
+(($G6)*참고!$F$6)
+(($H6)*참고!$F$7)
+(($I6)*참고!$F$8)
+(($J6))*참고!$F$9,0)</f>
        <v>206</v>
      </c>
      <c r="N6" s="34">
        <f>ROUND(
(($F6)*참고!$G$5)
+(($G6)*참고!$G$6)
+(($H6)*참고!$G$7)
+(($I6)*참고!$G$8)
+(($J6))*참고!$G$9,0)</f>
        <v>6</v>
      </c>
      <c r="O6" s="34">
        <f>ROUND(
(($F6)*참고!$H$5)
+(($G6)*참고!$H$6)
+(($H6)*참고!$H$7)
+(($I6)*참고!$H$8)
+(($J6))*참고!$H$9,0)</f>
        <v>136</v>
      </c>
      <c r="P6" s="34">
        <f>ROUND(
(($F6)*참고!$I$5)
+(($G6)*참고!$I$6)
+(($H6)*참고!$I$7)
+(($I6)*참고!$I$8)
+(($J6))*참고!$I$9,0)</f>
        <v>239</v>
      </c>
      <c r="Q6" s="34">
        <f>ROUND(
(($F6)*참고!$J$5)
+(($G6)*참고!$J$6)
+(($H6)*참고!$J$7)
+(($I6)*참고!$J$8)
+(($J6))*참고!$J$9,0)</f>
        <v>165</v>
      </c>
      <c r="R6" s="34">
        <f>IF(E6="공격형",(INDEX(몬스터계수[[#Data],[속도]],MATCH(E6, 몬스터계수[[#Data],[타입]],0),1)*속도핸들러_곱계수)*(INT(몬스터밸런스[[#This Row],[Lv]]/속도핸들러_합계수+1)),
IF(E6="방어형",(INDEX(몬스터계수[[#Data],[속도]],MATCH(E6, 몬스터계수[[#Data],[타입]],0),1)*속도핸들러_곱계수)*(INT(몬스터밸런스[[#This Row],[Lv]]/속도핸들러_합계수+1)),
IF(E6="회피형",(INDEX(몬스터계수[[#Data],[속도]],MATCH(E6, 몬스터계수[[#Data],[타입]],0),1)*속도핸들러_곱계수)*(INT(몬스터밸런스[[#This Row],[Lv]]/속도핸들러_합계수+1)),
IF(E6="기본형",(INDEX(몬스터계수[[#Data],[속도]],MATCH(E6, 몬스터계수[[#Data],[타입]],0),1)*속도핸들러_곱계수)*(INT(몬스터밸런스[[#This Row],[Lv]]/속도핸들러_합계수+1)),0))))</f>
        <v>0</v>
      </c>
      <c r="S6">
        <f t="shared" si="0"/>
        <v>44036.5</v>
      </c>
      <c r="U6">
        <v>1</v>
      </c>
      <c r="V6">
        <v>4</v>
      </c>
      <c r="W6">
        <f>$Z$1*몬스터밸런스9[[#This Row],[단계]]</f>
        <v>5</v>
      </c>
      <c r="X6" t="s">
        <v>65</v>
      </c>
      <c r="Y6">
        <v>3</v>
      </c>
      <c r="AE6" s="34"/>
      <c r="AF6" s="34">
        <f>몬스터밸런스[[#This Row],[Attack]]*0.5</f>
        <v>367</v>
      </c>
      <c r="AG6" s="34"/>
      <c r="AH6" s="34"/>
      <c r="AI6" s="34"/>
      <c r="AJ6" s="34"/>
      <c r="AK6" s="34"/>
      <c r="AL6">
        <f t="shared" si="1"/>
        <v>5872</v>
      </c>
      <c r="AN6" t="s">
        <v>49</v>
      </c>
      <c r="AO6">
        <f>COUNTIFS(몬스터밸런스9[분류],AN6)</f>
        <v>25</v>
      </c>
    </row>
    <row r="7" spans="1:41">
      <c r="A7">
        <v>40</v>
      </c>
      <c r="B7">
        <v>5</v>
      </c>
      <c r="C7">
        <f>$F$1*몬스터밸런스[[#This Row],[Lv]]+15</f>
        <v>215</v>
      </c>
      <c r="E7" t="s">
        <v>479</v>
      </c>
      <c r="F7">
        <f>IF(E7="공격형",INDEX(몬스터계수[[#Data],[생명계수]],MATCH(E7,몬스터계수[[#Data],[타입]],0),1)*C7,
IF(E7="방어형",INDEX(몬스터계수[[#Data],[생명계수]],MATCH(E7,몬스터계수[[#Data],[타입]],0),1)*C7,
IF(E7="회피형",INDEX(몬스터계수[[#Data],[생명계수]],MATCH(E7,몬스터계수[[#Data],[타입]],0),1)*C7,
IF(E7="체력형",INDEX(몬스터계수[[#Data],[생명계수]],MATCH(E7,몬스터계수[[#Data],[타입]],0),1)*C7,0))))*IF(몬스터밸런스[[#This Row],[보스]]=TRUE,2,1)</f>
        <v>107.5</v>
      </c>
      <c r="G7">
        <f>IF(E7="공격형",INDEX(몬스터계수[[#Data],[힘계수]],MATCH(E7, 몬스터계수[[#Data],[타입]],0),1)*C7,
IF(E7="방어형",INDEX(몬스터계수[[#Data],[힘계수]],MATCH(E7, 몬스터계수[[#Data],[타입]],0),1)*C7,
IF(E7="회피형",INDEX(몬스터계수[[#Data],[힘계수]],MATCH(E7, 몬스터계수[[#Data],[타입]],0),1)*C7,
IF(E7="체력형",INDEX(몬스터계수[[#Data],[힘계수]],MATCH(E7, 몬스터계수[[#Data],[타입]],0),1)*C7,0))))</f>
        <v>53.75</v>
      </c>
      <c r="H7">
        <f>IF(E7="공격형",INDEX(몬스터계수[[#Data],[근력게수]],MATCH(E7,몬스터계수[[#Data],[타입]],0),1)*C7,
IF(E7="방어형",INDEX(몬스터계수[[#Data],[근력게수]],MATCH(E7,몬스터계수[[#Data],[타입]],0),1)*C7,
IF(E7="회피형",INDEX(몬스터계수[[#Data],[근력게수]],MATCH(E7,몬스터계수[[#Data],[타입]],0),1)*C7,
IF(E7="체력형",INDEX(몬스터계수[[#Data],[근력게수]],MATCH(E7,몬스터계수[[#Data],[타입]],0),1)*C7,0))))</f>
        <v>10.75</v>
      </c>
      <c r="I7">
        <f>IF(E7="공격형",INDEX(몬스터계수[[#Data],[숙련도계수]],MATCH(E7,몬스터계수[[#Data],[타입]],0),1)*C7,
IF(E7="방어형",INDEX(몬스터계수[[#Data],[숙련도계수]],MATCH(E7,몬스터계수[[#Data],[타입]],0),1)*C7,
IF(E7="회피형",INDEX(몬스터계수[[#Data],[숙련도계수]],MATCH(E7,몬스터계수[[#Data],[타입]],0),1)*C7,
IF(E7="체력형",INDEX(몬스터계수[[#Data],[숙련도계수]],MATCH(E7,몬스터계수[[#Data],[타입]],0),1)*C7,0))))</f>
        <v>32.25</v>
      </c>
      <c r="J7">
        <f>IF(E7="공격형",INDEX(몬스터계수[[#Data],[행운계수]],MATCH(E7, 몬스터계수[[#Data],[타입]],0),1)*C7,
IF(E7="방어형",INDEX(몬스터계수[[#Data],[행운계수]],MATCH(E7, 몬스터계수[[#Data],[타입]],0),1)*C7,
IF(E7="회피형",INDEX(몬스터계수[[#Data],[행운계수]],MATCH(E7, 몬스터계수[[#Data],[타입]],0),1)*C7,
IF(E7="체력형",INDEX(몬스터계수[[#Data],[행운계수]],MATCH(E7, 몬스터계수[[#Data],[타입]],0),1)*C7,0))))</f>
        <v>10.75</v>
      </c>
      <c r="K7" s="34">
        <f>ROUND(
(($F7)*참고!$D$5)
+(($G7)*참고!$D$6)
+(($H7)*참고!$D$7)
+(($I7)*참고!$D$8)
+(($J7))*참고!$D$9,0)</f>
        <v>1672</v>
      </c>
      <c r="L7" s="34">
        <f>ROUND(
(($F7)*참고!$E$5)
+(($G7)*참고!$E$6)
+(($H7)*참고!$E$7)
+(($I7)*참고!$E$8)
+(($J7))*참고!$E$9,0)</f>
        <v>957</v>
      </c>
      <c r="M7" s="34">
        <f>ROUND(
(($F7)*참고!$F$5)
+(($G7)*참고!$F$6)
+(($H7)*참고!$F$7)
+(($I7)*참고!$F$8)
+(($J7))*참고!$F$9,0)</f>
        <v>269</v>
      </c>
      <c r="N7" s="34">
        <f>ROUND(
(($F7)*참고!$G$5)
+(($G7)*참고!$G$6)
+(($H7)*참고!$G$7)
+(($I7)*참고!$G$8)
+(($J7))*참고!$G$9,0)</f>
        <v>8</v>
      </c>
      <c r="O7" s="34">
        <f>ROUND(
(($F7)*참고!$H$5)
+(($G7)*참고!$H$6)
+(($H7)*참고!$H$7)
+(($I7)*참고!$H$8)
+(($J7))*참고!$H$9,0)</f>
        <v>177</v>
      </c>
      <c r="P7" s="34">
        <f>ROUND(
(($F7)*참고!$I$5)
+(($G7)*참고!$I$6)
+(($H7)*참고!$I$7)
+(($I7)*참고!$I$8)
+(($J7))*참고!$I$9,0)</f>
        <v>312</v>
      </c>
      <c r="Q7" s="34">
        <f>ROUND(
(($F7)*참고!$J$5)
+(($G7)*참고!$J$6)
+(($H7)*참고!$J$7)
+(($I7)*참고!$J$8)
+(($J7))*참고!$J$9,0)</f>
        <v>215</v>
      </c>
      <c r="R7" s="34">
        <f>IF(E7="공격형",(INDEX(몬스터계수[[#Data],[속도]],MATCH(E7, 몬스터계수[[#Data],[타입]],0),1)*속도핸들러_곱계수)*(INT(몬스터밸런스[[#This Row],[Lv]]/속도핸들러_합계수+1)),
IF(E7="방어형",(INDEX(몬스터계수[[#Data],[속도]],MATCH(E7, 몬스터계수[[#Data],[타입]],0),1)*속도핸들러_곱계수)*(INT(몬스터밸런스[[#This Row],[Lv]]/속도핸들러_합계수+1)),
IF(E7="회피형",(INDEX(몬스터계수[[#Data],[속도]],MATCH(E7, 몬스터계수[[#Data],[타입]],0),1)*속도핸들러_곱계수)*(INT(몬스터밸런스[[#This Row],[Lv]]/속도핸들러_합계수+1)),
IF(E7="기본형",(INDEX(몬스터계수[[#Data],[속도]],MATCH(E7, 몬스터계수[[#Data],[타입]],0),1)*속도핸들러_곱계수)*(INT(몬스터밸런스[[#This Row],[Lv]]/속도핸들러_합계수+1)),0))))</f>
        <v>0</v>
      </c>
      <c r="S7">
        <f t="shared" si="0"/>
        <v>57408.5</v>
      </c>
      <c r="U7">
        <v>1</v>
      </c>
      <c r="V7">
        <v>5</v>
      </c>
      <c r="W7">
        <f>$Z$1*몬스터밸런스9[[#This Row],[단계]]</f>
        <v>5</v>
      </c>
      <c r="X7" t="s">
        <v>65</v>
      </c>
      <c r="Y7">
        <v>4</v>
      </c>
      <c r="AE7" s="34"/>
      <c r="AF7" s="34">
        <f>몬스터밸런스[[#This Row],[Attack]]*0.5</f>
        <v>478.5</v>
      </c>
      <c r="AG7" s="34"/>
      <c r="AH7" s="34"/>
      <c r="AI7" s="34"/>
      <c r="AJ7" s="34"/>
      <c r="AK7" s="34"/>
      <c r="AL7">
        <f t="shared" si="1"/>
        <v>7656</v>
      </c>
      <c r="AN7" t="s">
        <v>45</v>
      </c>
      <c r="AO7">
        <f>COUNTIFS(몬스터밸런스9[분류],AN7)</f>
        <v>25</v>
      </c>
    </row>
    <row r="8" spans="1:41">
      <c r="A8">
        <v>50</v>
      </c>
      <c r="B8">
        <v>6</v>
      </c>
      <c r="C8">
        <f>$F$1*몬스터밸런스[[#This Row],[Lv]]+15</f>
        <v>265</v>
      </c>
      <c r="E8" t="s">
        <v>479</v>
      </c>
      <c r="F8">
        <f>IF(E8="공격형",INDEX(몬스터계수[[#Data],[생명계수]],MATCH(E8,몬스터계수[[#Data],[타입]],0),1)*C8,
IF(E8="방어형",INDEX(몬스터계수[[#Data],[생명계수]],MATCH(E8,몬스터계수[[#Data],[타입]],0),1)*C8,
IF(E8="회피형",INDEX(몬스터계수[[#Data],[생명계수]],MATCH(E8,몬스터계수[[#Data],[타입]],0),1)*C8,
IF(E8="체력형",INDEX(몬스터계수[[#Data],[생명계수]],MATCH(E8,몬스터계수[[#Data],[타입]],0),1)*C8,0))))*IF(몬스터밸런스[[#This Row],[보스]]=TRUE,2,1)</f>
        <v>132.5</v>
      </c>
      <c r="G8">
        <f>IF(E8="공격형",INDEX(몬스터계수[[#Data],[힘계수]],MATCH(E8, 몬스터계수[[#Data],[타입]],0),1)*C8,
IF(E8="방어형",INDEX(몬스터계수[[#Data],[힘계수]],MATCH(E8, 몬스터계수[[#Data],[타입]],0),1)*C8,
IF(E8="회피형",INDEX(몬스터계수[[#Data],[힘계수]],MATCH(E8, 몬스터계수[[#Data],[타입]],0),1)*C8,
IF(E8="체력형",INDEX(몬스터계수[[#Data],[힘계수]],MATCH(E8, 몬스터계수[[#Data],[타입]],0),1)*C8,0))))</f>
        <v>66.25</v>
      </c>
      <c r="H8">
        <f>IF(E8="공격형",INDEX(몬스터계수[[#Data],[근력게수]],MATCH(E8,몬스터계수[[#Data],[타입]],0),1)*C8,
IF(E8="방어형",INDEX(몬스터계수[[#Data],[근력게수]],MATCH(E8,몬스터계수[[#Data],[타입]],0),1)*C8,
IF(E8="회피형",INDEX(몬스터계수[[#Data],[근력게수]],MATCH(E8,몬스터계수[[#Data],[타입]],0),1)*C8,
IF(E8="체력형",INDEX(몬스터계수[[#Data],[근력게수]],MATCH(E8,몬스터계수[[#Data],[타입]],0),1)*C8,0))))</f>
        <v>13.25</v>
      </c>
      <c r="I8">
        <f>IF(E8="공격형",INDEX(몬스터계수[[#Data],[숙련도계수]],MATCH(E8,몬스터계수[[#Data],[타입]],0),1)*C8,
IF(E8="방어형",INDEX(몬스터계수[[#Data],[숙련도계수]],MATCH(E8,몬스터계수[[#Data],[타입]],0),1)*C8,
IF(E8="회피형",INDEX(몬스터계수[[#Data],[숙련도계수]],MATCH(E8,몬스터계수[[#Data],[타입]],0),1)*C8,
IF(E8="체력형",INDEX(몬스터계수[[#Data],[숙련도계수]],MATCH(E8,몬스터계수[[#Data],[타입]],0),1)*C8,0))))</f>
        <v>39.75</v>
      </c>
      <c r="J8">
        <f>IF(E8="공격형",INDEX(몬스터계수[[#Data],[행운계수]],MATCH(E8, 몬스터계수[[#Data],[타입]],0),1)*C8,
IF(E8="방어형",INDEX(몬스터계수[[#Data],[행운계수]],MATCH(E8, 몬스터계수[[#Data],[타입]],0),1)*C8,
IF(E8="회피형",INDEX(몬스터계수[[#Data],[행운계수]],MATCH(E8, 몬스터계수[[#Data],[타입]],0),1)*C8,
IF(E8="체력형",INDEX(몬스터계수[[#Data],[행운계수]],MATCH(E8, 몬스터계수[[#Data],[타입]],0),1)*C8,0))))</f>
        <v>13.25</v>
      </c>
      <c r="K8" s="34">
        <f>ROUND(
(($F8)*참고!$D$5)
+(($G8)*참고!$D$6)
+(($H8)*참고!$D$7)
+(($I8)*참고!$D$8)
+(($J8))*참고!$D$9,0)</f>
        <v>2060</v>
      </c>
      <c r="L8" s="34">
        <f>ROUND(
(($F8)*참고!$E$5)
+(($G8)*참고!$E$6)
+(($H8)*참고!$E$7)
+(($I8)*참고!$E$8)
+(($J8))*참고!$E$9,0)</f>
        <v>1179</v>
      </c>
      <c r="M8" s="34">
        <f>ROUND(
(($F8)*참고!$F$5)
+(($G8)*참고!$F$6)
+(($H8)*참고!$F$7)
+(($I8)*참고!$F$8)
+(($J8))*참고!$F$9,0)</f>
        <v>331</v>
      </c>
      <c r="N8" s="34">
        <f>ROUND(
(($F8)*참고!$G$5)
+(($G8)*참고!$G$6)
+(($H8)*참고!$G$7)
+(($I8)*참고!$G$8)
+(($J8))*참고!$G$9,0)</f>
        <v>9</v>
      </c>
      <c r="O8" s="34">
        <f>ROUND(
(($F8)*참고!$H$5)
+(($G8)*참고!$H$6)
+(($H8)*참고!$H$7)
+(($I8)*참고!$H$8)
+(($J8))*참고!$H$9,0)</f>
        <v>219</v>
      </c>
      <c r="P8" s="34">
        <f>ROUND(
(($F8)*참고!$I$5)
+(($G8)*참고!$I$6)
+(($H8)*참고!$I$7)
+(($I8)*참고!$I$8)
+(($J8))*참고!$I$9,0)</f>
        <v>384</v>
      </c>
      <c r="Q8" s="34">
        <f>ROUND(
(($F8)*참고!$J$5)
+(($G8)*참고!$J$6)
+(($H8)*참고!$J$7)
+(($I8)*참고!$J$8)
+(($J8))*참고!$J$9,0)</f>
        <v>265</v>
      </c>
      <c r="R8" s="34">
        <f>IF(E8="공격형",(INDEX(몬스터계수[[#Data],[속도]],MATCH(E8, 몬스터계수[[#Data],[타입]],0),1)*속도핸들러_곱계수)*(INT(몬스터밸런스[[#This Row],[Lv]]/속도핸들러_합계수+1)),
IF(E8="방어형",(INDEX(몬스터계수[[#Data],[속도]],MATCH(E8, 몬스터계수[[#Data],[타입]],0),1)*속도핸들러_곱계수)*(INT(몬스터밸런스[[#This Row],[Lv]]/속도핸들러_합계수+1)),
IF(E8="회피형",(INDEX(몬스터계수[[#Data],[속도]],MATCH(E8, 몬스터계수[[#Data],[타입]],0),1)*속도핸들러_곱계수)*(INT(몬스터밸런스[[#This Row],[Lv]]/속도핸들러_합계수+1)),
IF(E8="기본형",(INDEX(몬스터계수[[#Data],[속도]],MATCH(E8, 몬스터계수[[#Data],[타입]],0),1)*속도핸들러_곱계수)*(INT(몬스터밸런스[[#This Row],[Lv]]/속도핸들러_합계수+1)),0))))</f>
        <v>0</v>
      </c>
      <c r="S8">
        <f t="shared" si="0"/>
        <v>70724</v>
      </c>
      <c r="U8">
        <v>2</v>
      </c>
      <c r="V8">
        <v>6</v>
      </c>
      <c r="W8">
        <f>$Z$1*몬스터밸런스9[[#This Row],[단계]]</f>
        <v>10</v>
      </c>
      <c r="X8" t="s">
        <v>65</v>
      </c>
      <c r="Y8">
        <v>0</v>
      </c>
      <c r="AE8" s="34"/>
      <c r="AF8" s="34">
        <f>몬스터밸런스[[#This Row],[Attack]]*0.5</f>
        <v>589.5</v>
      </c>
      <c r="AG8" s="34"/>
      <c r="AH8" s="34"/>
      <c r="AI8" s="34"/>
      <c r="AJ8" s="34"/>
      <c r="AK8" s="34"/>
      <c r="AL8">
        <f t="shared" si="1"/>
        <v>9432</v>
      </c>
      <c r="AN8" t="s">
        <v>63</v>
      </c>
      <c r="AO8">
        <f>COUNTIFS(몬스터밸런스9[분류],AN8)</f>
        <v>25</v>
      </c>
    </row>
    <row r="9" spans="1:41">
      <c r="A9">
        <v>60</v>
      </c>
      <c r="B9">
        <v>7</v>
      </c>
      <c r="C9">
        <f>$F$1*몬스터밸런스[[#This Row],[Lv]]+15</f>
        <v>315</v>
      </c>
      <c r="D9" t="b">
        <v>1</v>
      </c>
      <c r="E9" t="s">
        <v>479</v>
      </c>
      <c r="F9">
        <f>IF(E9="공격형",INDEX(몬스터계수[[#Data],[생명계수]],MATCH(E9,몬스터계수[[#Data],[타입]],0),1)*C9,
IF(E9="방어형",INDEX(몬스터계수[[#Data],[생명계수]],MATCH(E9,몬스터계수[[#Data],[타입]],0),1)*C9,
IF(E9="회피형",INDEX(몬스터계수[[#Data],[생명계수]],MATCH(E9,몬스터계수[[#Data],[타입]],0),1)*C9,
IF(E9="체력형",INDEX(몬스터계수[[#Data],[생명계수]],MATCH(E9,몬스터계수[[#Data],[타입]],0),1)*C9,0))))*IF(몬스터밸런스[[#This Row],[보스]]=TRUE,2,1)</f>
        <v>315</v>
      </c>
      <c r="G9">
        <f>IF(E9="공격형",INDEX(몬스터계수[[#Data],[힘계수]],MATCH(E9, 몬스터계수[[#Data],[타입]],0),1)*C9,
IF(E9="방어형",INDEX(몬스터계수[[#Data],[힘계수]],MATCH(E9, 몬스터계수[[#Data],[타입]],0),1)*C9,
IF(E9="회피형",INDEX(몬스터계수[[#Data],[힘계수]],MATCH(E9, 몬스터계수[[#Data],[타입]],0),1)*C9,
IF(E9="체력형",INDEX(몬스터계수[[#Data],[힘계수]],MATCH(E9, 몬스터계수[[#Data],[타입]],0),1)*C9,0))))</f>
        <v>78.75</v>
      </c>
      <c r="H9">
        <f>IF(E9="공격형",INDEX(몬스터계수[[#Data],[근력게수]],MATCH(E9,몬스터계수[[#Data],[타입]],0),1)*C9,
IF(E9="방어형",INDEX(몬스터계수[[#Data],[근력게수]],MATCH(E9,몬스터계수[[#Data],[타입]],0),1)*C9,
IF(E9="회피형",INDEX(몬스터계수[[#Data],[근력게수]],MATCH(E9,몬스터계수[[#Data],[타입]],0),1)*C9,
IF(E9="체력형",INDEX(몬스터계수[[#Data],[근력게수]],MATCH(E9,몬스터계수[[#Data],[타입]],0),1)*C9,0))))</f>
        <v>15.75</v>
      </c>
      <c r="I9">
        <f>IF(E9="공격형",INDEX(몬스터계수[[#Data],[숙련도계수]],MATCH(E9,몬스터계수[[#Data],[타입]],0),1)*C9,
IF(E9="방어형",INDEX(몬스터계수[[#Data],[숙련도계수]],MATCH(E9,몬스터계수[[#Data],[타입]],0),1)*C9,
IF(E9="회피형",INDEX(몬스터계수[[#Data],[숙련도계수]],MATCH(E9,몬스터계수[[#Data],[타입]],0),1)*C9,
IF(E9="체력형",INDEX(몬스터계수[[#Data],[숙련도계수]],MATCH(E9,몬스터계수[[#Data],[타입]],0),1)*C9,0))))</f>
        <v>47.25</v>
      </c>
      <c r="J9">
        <f>IF(E9="공격형",INDEX(몬스터계수[[#Data],[행운계수]],MATCH(E9, 몬스터계수[[#Data],[타입]],0),1)*C9,
IF(E9="방어형",INDEX(몬스터계수[[#Data],[행운계수]],MATCH(E9, 몬스터계수[[#Data],[타입]],0),1)*C9,
IF(E9="회피형",INDEX(몬스터계수[[#Data],[행운계수]],MATCH(E9, 몬스터계수[[#Data],[타입]],0),1)*C9,
IF(E9="체력형",INDEX(몬스터계수[[#Data],[행운계수]],MATCH(E9, 몬스터계수[[#Data],[타입]],0),1)*C9,0))))</f>
        <v>15.75</v>
      </c>
      <c r="K9" s="34">
        <f>ROUND(
(($F9)*참고!$D$5)
+(($G9)*참고!$D$6)
+(($H9)*참고!$D$7)
+(($I9)*참고!$D$8)
+(($J9))*참고!$D$9,0)</f>
        <v>4812</v>
      </c>
      <c r="L9" s="34">
        <f>ROUND(
(($F9)*참고!$E$5)
+(($G9)*참고!$E$6)
+(($H9)*참고!$E$7)
+(($I9)*참고!$E$8)
+(($J9))*참고!$E$9,0)</f>
        <v>1874</v>
      </c>
      <c r="M9" s="34">
        <f>ROUND(
(($F9)*참고!$F$5)
+(($G9)*참고!$F$6)
+(($H9)*참고!$F$7)
+(($I9)*참고!$F$8)
+(($J9))*참고!$F$9,0)</f>
        <v>551</v>
      </c>
      <c r="N9" s="34">
        <f>ROUND(
(($F9)*참고!$G$5)
+(($G9)*참고!$G$6)
+(($H9)*참고!$G$7)
+(($I9)*참고!$G$8)
+(($J9))*참고!$G$9,0)</f>
        <v>11</v>
      </c>
      <c r="O9" s="34">
        <f>ROUND(
(($F9)*참고!$H$5)
+(($G9)*참고!$H$6)
+(($H9)*참고!$H$7)
+(($I9)*참고!$H$8)
+(($J9))*참고!$H$9,0)</f>
        <v>260</v>
      </c>
      <c r="P9" s="34">
        <f>ROUND(
(($F9)*참고!$I$5)
+(($G9)*참고!$I$6)
+(($H9)*참고!$I$7)
+(($I9)*참고!$I$8)
+(($J9))*참고!$I$9,0)</f>
        <v>457</v>
      </c>
      <c r="Q9" s="34">
        <f>ROUND(
(($F9)*참고!$J$5)
+(($G9)*참고!$J$6)
+(($H9)*참고!$J$7)
+(($I9)*참고!$J$8)
+(($J9))*참고!$J$9,0)</f>
        <v>315</v>
      </c>
      <c r="R9" s="34">
        <f>IF(E9="공격형",(INDEX(몬스터계수[[#Data],[속도]],MATCH(E9, 몬스터계수[[#Data],[타입]],0),1)*속도핸들러_곱계수)*(INT(몬스터밸런스[[#This Row],[Lv]]/속도핸들러_합계수+1)),
IF(E9="방어형",(INDEX(몬스터계수[[#Data],[속도]],MATCH(E9, 몬스터계수[[#Data],[타입]],0),1)*속도핸들러_곱계수)*(INT(몬스터밸런스[[#This Row],[Lv]]/속도핸들러_합계수+1)),
IF(E9="회피형",(INDEX(몬스터계수[[#Data],[속도]],MATCH(E9, 몬스터계수[[#Data],[타입]],0),1)*속도핸들러_곱계수)*(INT(몬스터밸런스[[#This Row],[Lv]]/속도핸들러_합계수+1)),
IF(E9="기본형",(INDEX(몬스터계수[[#Data],[속도]],MATCH(E9, 몬스터계수[[#Data],[타입]],0),1)*속도핸들러_곱계수)*(INT(몬스터밸런스[[#This Row],[Lv]]/속도핸들러_합계수+1)),0))))</f>
        <v>0</v>
      </c>
      <c r="S9">
        <f t="shared" si="0"/>
        <v>135512.5</v>
      </c>
      <c r="U9">
        <v>2</v>
      </c>
      <c r="V9">
        <v>7</v>
      </c>
      <c r="W9">
        <f>$Z$1*몬스터밸런스9[[#This Row],[단계]]</f>
        <v>10</v>
      </c>
      <c r="X9" t="s">
        <v>65</v>
      </c>
      <c r="Y9">
        <v>1</v>
      </c>
      <c r="AE9" s="34"/>
      <c r="AF9" s="34">
        <f>몬스터밸런스[[#This Row],[Attack]]*0.5</f>
        <v>937</v>
      </c>
      <c r="AG9" s="34"/>
      <c r="AH9" s="34"/>
      <c r="AI9" s="34"/>
      <c r="AJ9" s="34"/>
      <c r="AK9" s="34"/>
      <c r="AL9">
        <f t="shared" si="1"/>
        <v>14992</v>
      </c>
      <c r="AN9" t="s">
        <v>47</v>
      </c>
      <c r="AO9">
        <f>COUNTIFS(몬스터밸런스9[분류],AN9)</f>
        <v>25</v>
      </c>
    </row>
    <row r="10" spans="1:41">
      <c r="A10">
        <v>70</v>
      </c>
      <c r="B10">
        <v>8</v>
      </c>
      <c r="C10">
        <f>$F$1*몬스터밸런스[[#This Row],[Lv]]+15</f>
        <v>365</v>
      </c>
      <c r="E10" t="s">
        <v>479</v>
      </c>
      <c r="F10">
        <f>IF(E10="공격형",INDEX(몬스터계수[[#Data],[생명계수]],MATCH(E10,몬스터계수[[#Data],[타입]],0),1)*C10,
IF(E10="방어형",INDEX(몬스터계수[[#Data],[생명계수]],MATCH(E10,몬스터계수[[#Data],[타입]],0),1)*C10,
IF(E10="회피형",INDEX(몬스터계수[[#Data],[생명계수]],MATCH(E10,몬스터계수[[#Data],[타입]],0),1)*C10,
IF(E10="체력형",INDEX(몬스터계수[[#Data],[생명계수]],MATCH(E10,몬스터계수[[#Data],[타입]],0),1)*C10,0))))*IF(몬스터밸런스[[#This Row],[보스]]=TRUE,2,1)</f>
        <v>182.5</v>
      </c>
      <c r="G10">
        <f>IF(E10="공격형",INDEX(몬스터계수[[#Data],[힘계수]],MATCH(E10, 몬스터계수[[#Data],[타입]],0),1)*C10,
IF(E10="방어형",INDEX(몬스터계수[[#Data],[힘계수]],MATCH(E10, 몬스터계수[[#Data],[타입]],0),1)*C10,
IF(E10="회피형",INDEX(몬스터계수[[#Data],[힘계수]],MATCH(E10, 몬스터계수[[#Data],[타입]],0),1)*C10,
IF(E10="체력형",INDEX(몬스터계수[[#Data],[힘계수]],MATCH(E10, 몬스터계수[[#Data],[타입]],0),1)*C10,0))))</f>
        <v>91.25</v>
      </c>
      <c r="H10">
        <f>IF(E10="공격형",INDEX(몬스터계수[[#Data],[근력게수]],MATCH(E10,몬스터계수[[#Data],[타입]],0),1)*C10,
IF(E10="방어형",INDEX(몬스터계수[[#Data],[근력게수]],MATCH(E10,몬스터계수[[#Data],[타입]],0),1)*C10,
IF(E10="회피형",INDEX(몬스터계수[[#Data],[근력게수]],MATCH(E10,몬스터계수[[#Data],[타입]],0),1)*C10,
IF(E10="체력형",INDEX(몬스터계수[[#Data],[근력게수]],MATCH(E10,몬스터계수[[#Data],[타입]],0),1)*C10,0))))</f>
        <v>18.25</v>
      </c>
      <c r="I10">
        <f>IF(E10="공격형",INDEX(몬스터계수[[#Data],[숙련도계수]],MATCH(E10,몬스터계수[[#Data],[타입]],0),1)*C10,
IF(E10="방어형",INDEX(몬스터계수[[#Data],[숙련도계수]],MATCH(E10,몬스터계수[[#Data],[타입]],0),1)*C10,
IF(E10="회피형",INDEX(몬스터계수[[#Data],[숙련도계수]],MATCH(E10,몬스터계수[[#Data],[타입]],0),1)*C10,
IF(E10="체력형",INDEX(몬스터계수[[#Data],[숙련도계수]],MATCH(E10,몬스터계수[[#Data],[타입]],0),1)*C10,0))))</f>
        <v>54.75</v>
      </c>
      <c r="J10">
        <f>IF(E10="공격형",INDEX(몬스터계수[[#Data],[행운계수]],MATCH(E10, 몬스터계수[[#Data],[타입]],0),1)*C10,
IF(E10="방어형",INDEX(몬스터계수[[#Data],[행운계수]],MATCH(E10, 몬스터계수[[#Data],[타입]],0),1)*C10,
IF(E10="회피형",INDEX(몬스터계수[[#Data],[행운계수]],MATCH(E10, 몬스터계수[[#Data],[타입]],0),1)*C10,
IF(E10="체력형",INDEX(몬스터계수[[#Data],[행운계수]],MATCH(E10, 몬스터계수[[#Data],[타입]],0),1)*C10,0))))</f>
        <v>18.25</v>
      </c>
      <c r="K10" s="34">
        <f>ROUND(
(($F10)*참고!$D$5)
+(($G10)*참고!$D$6)
+(($H10)*참고!$D$7)
+(($I10)*참고!$D$8)
+(($J10))*참고!$D$9,0)</f>
        <v>2838</v>
      </c>
      <c r="L10" s="34">
        <f>ROUND(
(($F10)*참고!$E$5)
+(($G10)*참고!$E$6)
+(($H10)*참고!$E$7)
+(($I10)*참고!$E$8)
+(($J10))*참고!$E$9,0)</f>
        <v>1624</v>
      </c>
      <c r="M10" s="34">
        <f>ROUND(
(($F10)*참고!$F$5)
+(($G10)*참고!$F$6)
+(($H10)*참고!$F$7)
+(($I10)*참고!$F$8)
+(($J10))*참고!$F$9,0)</f>
        <v>456</v>
      </c>
      <c r="N10" s="34">
        <f>ROUND(
(($F10)*참고!$G$5)
+(($G10)*참고!$G$6)
+(($H10)*참고!$G$7)
+(($I10)*참고!$G$8)
+(($J10))*참고!$G$9,0)</f>
        <v>13</v>
      </c>
      <c r="O10" s="34">
        <f>ROUND(
(($F10)*참고!$H$5)
+(($G10)*참고!$H$6)
+(($H10)*참고!$H$7)
+(($I10)*참고!$H$8)
+(($J10))*참고!$H$9,0)</f>
        <v>301</v>
      </c>
      <c r="P10" s="34">
        <f>ROUND(
(($F10)*참고!$I$5)
+(($G10)*참고!$I$6)
+(($H10)*참고!$I$7)
+(($I10)*참고!$I$8)
+(($J10))*참고!$I$9,0)</f>
        <v>529</v>
      </c>
      <c r="Q10" s="34">
        <f>ROUND(
(($F10)*참고!$J$5)
+(($G10)*참고!$J$6)
+(($H10)*참고!$J$7)
+(($I10)*참고!$J$8)
+(($J10))*참고!$J$9,0)</f>
        <v>365</v>
      </c>
      <c r="R10" s="34">
        <f>IF(E10="공격형",(INDEX(몬스터계수[[#Data],[속도]],MATCH(E10, 몬스터계수[[#Data],[타입]],0),1)*속도핸들러_곱계수)*(INT(몬스터밸런스[[#This Row],[Lv]]/속도핸들러_합계수+1)),
IF(E10="방어형",(INDEX(몬스터계수[[#Data],[속도]],MATCH(E10, 몬스터계수[[#Data],[타입]],0),1)*속도핸들러_곱계수)*(INT(몬스터밸런스[[#This Row],[Lv]]/속도핸들러_합계수+1)),
IF(E10="회피형",(INDEX(몬스터계수[[#Data],[속도]],MATCH(E10, 몬스터계수[[#Data],[타입]],0),1)*속도핸들러_곱계수)*(INT(몬스터밸런스[[#This Row],[Lv]]/속도핸들러_합계수+1)),
IF(E10="기본형",(INDEX(몬스터계수[[#Data],[속도]],MATCH(E10, 몬스터계수[[#Data],[타입]],0),1)*속도핸들러_곱계수)*(INT(몬스터밸런스[[#This Row],[Lv]]/속도핸들러_합계수+1)),0))))</f>
        <v>0</v>
      </c>
      <c r="S10">
        <f t="shared" si="0"/>
        <v>97425</v>
      </c>
      <c r="U10">
        <v>2</v>
      </c>
      <c r="V10">
        <v>8</v>
      </c>
      <c r="W10">
        <f>$Z$1*몬스터밸런스9[[#This Row],[단계]]</f>
        <v>10</v>
      </c>
      <c r="X10" t="s">
        <v>65</v>
      </c>
      <c r="Y10">
        <v>2</v>
      </c>
      <c r="AE10" s="34"/>
      <c r="AF10" s="34">
        <f>몬스터밸런스[[#This Row],[Attack]]*0.5</f>
        <v>812</v>
      </c>
      <c r="AG10" s="34"/>
      <c r="AH10" s="34"/>
      <c r="AI10" s="34"/>
      <c r="AJ10" s="34"/>
      <c r="AK10" s="34"/>
      <c r="AL10">
        <f t="shared" si="1"/>
        <v>12992</v>
      </c>
      <c r="AN10" t="s">
        <v>59</v>
      </c>
      <c r="AO10">
        <f>COUNTIFS(몬스터밸런스9[분류],AN10)</f>
        <v>25</v>
      </c>
    </row>
    <row r="11" spans="1:41">
      <c r="A11">
        <v>80</v>
      </c>
      <c r="B11">
        <v>9</v>
      </c>
      <c r="C11">
        <f>$F$1*몬스터밸런스[[#This Row],[Lv]]+15</f>
        <v>415</v>
      </c>
      <c r="D11" t="b">
        <v>1</v>
      </c>
      <c r="E11" t="s">
        <v>479</v>
      </c>
      <c r="F11">
        <f>IF(E11="공격형",INDEX(몬스터계수[[#Data],[생명계수]],MATCH(E11,몬스터계수[[#Data],[타입]],0),1)*C11,
IF(E11="방어형",INDEX(몬스터계수[[#Data],[생명계수]],MATCH(E11,몬스터계수[[#Data],[타입]],0),1)*C11,
IF(E11="회피형",INDEX(몬스터계수[[#Data],[생명계수]],MATCH(E11,몬스터계수[[#Data],[타입]],0),1)*C11,
IF(E11="체력형",INDEX(몬스터계수[[#Data],[생명계수]],MATCH(E11,몬스터계수[[#Data],[타입]],0),1)*C11,0))))*IF(몬스터밸런스[[#This Row],[보스]]=TRUE,2,1)</f>
        <v>415</v>
      </c>
      <c r="G11">
        <f>IF(E11="공격형",INDEX(몬스터계수[[#Data],[힘계수]],MATCH(E11, 몬스터계수[[#Data],[타입]],0),1)*C11,
IF(E11="방어형",INDEX(몬스터계수[[#Data],[힘계수]],MATCH(E11, 몬스터계수[[#Data],[타입]],0),1)*C11,
IF(E11="회피형",INDEX(몬스터계수[[#Data],[힘계수]],MATCH(E11, 몬스터계수[[#Data],[타입]],0),1)*C11,
IF(E11="체력형",INDEX(몬스터계수[[#Data],[힘계수]],MATCH(E11, 몬스터계수[[#Data],[타입]],0),1)*C11,0))))</f>
        <v>103.75</v>
      </c>
      <c r="H11">
        <f>IF(E11="공격형",INDEX(몬스터계수[[#Data],[근력게수]],MATCH(E11,몬스터계수[[#Data],[타입]],0),1)*C11,
IF(E11="방어형",INDEX(몬스터계수[[#Data],[근력게수]],MATCH(E11,몬스터계수[[#Data],[타입]],0),1)*C11,
IF(E11="회피형",INDEX(몬스터계수[[#Data],[근력게수]],MATCH(E11,몬스터계수[[#Data],[타입]],0),1)*C11,
IF(E11="체력형",INDEX(몬스터계수[[#Data],[근력게수]],MATCH(E11,몬스터계수[[#Data],[타입]],0),1)*C11,0))))</f>
        <v>20.75</v>
      </c>
      <c r="I11">
        <f>IF(E11="공격형",INDEX(몬스터계수[[#Data],[숙련도계수]],MATCH(E11,몬스터계수[[#Data],[타입]],0),1)*C11,
IF(E11="방어형",INDEX(몬스터계수[[#Data],[숙련도계수]],MATCH(E11,몬스터계수[[#Data],[타입]],0),1)*C11,
IF(E11="회피형",INDEX(몬스터계수[[#Data],[숙련도계수]],MATCH(E11,몬스터계수[[#Data],[타입]],0),1)*C11,
IF(E11="체력형",INDEX(몬스터계수[[#Data],[숙련도계수]],MATCH(E11,몬스터계수[[#Data],[타입]],0),1)*C11,0))))</f>
        <v>62.25</v>
      </c>
      <c r="J11">
        <f>IF(E11="공격형",INDEX(몬스터계수[[#Data],[행운계수]],MATCH(E11, 몬스터계수[[#Data],[타입]],0),1)*C11,
IF(E11="방어형",INDEX(몬스터계수[[#Data],[행운계수]],MATCH(E11, 몬스터계수[[#Data],[타입]],0),1)*C11,
IF(E11="회피형",INDEX(몬스터계수[[#Data],[행운계수]],MATCH(E11, 몬스터계수[[#Data],[타입]],0),1)*C11,
IF(E11="체력형",INDEX(몬스터계수[[#Data],[행운계수]],MATCH(E11, 몬스터계수[[#Data],[타입]],0),1)*C11,0))))</f>
        <v>20.75</v>
      </c>
      <c r="K11" s="34">
        <f>ROUND(
(($F11)*참고!$D$5)
+(($G11)*참고!$D$6)
+(($H11)*참고!$D$7)
+(($I11)*참고!$D$8)
+(($J11))*참고!$D$9,0)</f>
        <v>6339</v>
      </c>
      <c r="L11" s="34">
        <f>ROUND(
(($F11)*참고!$E$5)
+(($G11)*참고!$E$6)
+(($H11)*참고!$E$7)
+(($I11)*참고!$E$8)
+(($J11))*참고!$E$9,0)</f>
        <v>2469</v>
      </c>
      <c r="M11" s="34">
        <f>ROUND(
(($F11)*참고!$F$5)
+(($G11)*참고!$F$6)
+(($H11)*참고!$F$7)
+(($I11)*참고!$F$8)
+(($J11))*참고!$F$9,0)</f>
        <v>726</v>
      </c>
      <c r="N11" s="34">
        <f>ROUND(
(($F11)*참고!$G$5)
+(($G11)*참고!$G$6)
+(($H11)*참고!$G$7)
+(($I11)*참고!$G$8)
+(($J11))*참고!$G$9,0)</f>
        <v>15</v>
      </c>
      <c r="O11" s="34">
        <f>ROUND(
(($F11)*참고!$H$5)
+(($G11)*참고!$H$6)
+(($H11)*참고!$H$7)
+(($I11)*참고!$H$8)
+(($J11))*참고!$H$9,0)</f>
        <v>342</v>
      </c>
      <c r="P11" s="34">
        <f>ROUND(
(($F11)*참고!$I$5)
+(($G11)*참고!$I$6)
+(($H11)*참고!$I$7)
+(($I11)*참고!$I$8)
+(($J11))*참고!$I$9,0)</f>
        <v>602</v>
      </c>
      <c r="Q11" s="34">
        <f>ROUND(
(($F11)*참고!$J$5)
+(($G11)*참고!$J$6)
+(($H11)*참고!$J$7)
+(($I11)*참고!$J$8)
+(($J11))*참고!$J$9,0)</f>
        <v>415</v>
      </c>
      <c r="R11" s="34">
        <f>IF(E11="공격형",(INDEX(몬스터계수[[#Data],[속도]],MATCH(E11, 몬스터계수[[#Data],[타입]],0),1)*속도핸들러_곱계수)*(INT(몬스터밸런스[[#This Row],[Lv]]/속도핸들러_합계수+1)),
IF(E11="방어형",(INDEX(몬스터계수[[#Data],[속도]],MATCH(E11, 몬스터계수[[#Data],[타입]],0),1)*속도핸들러_곱계수)*(INT(몬스터밸런스[[#This Row],[Lv]]/속도핸들러_합계수+1)),
IF(E11="회피형",(INDEX(몬스터계수[[#Data],[속도]],MATCH(E11, 몬스터계수[[#Data],[타입]],0),1)*속도핸들러_곱계수)*(INT(몬스터밸런스[[#This Row],[Lv]]/속도핸들러_합계수+1)),
IF(E11="기본형",(INDEX(몬스터계수[[#Data],[속도]],MATCH(E11, 몬스터계수[[#Data],[타입]],0),1)*속도핸들러_곱계수)*(INT(몬스터밸런스[[#This Row],[Lv]]/속도핸들러_합계수+1)),0))))</f>
        <v>0</v>
      </c>
      <c r="S11">
        <f t="shared" si="0"/>
        <v>178521</v>
      </c>
      <c r="U11">
        <v>2</v>
      </c>
      <c r="V11">
        <v>9</v>
      </c>
      <c r="W11">
        <f>$Z$1*몬스터밸런스9[[#This Row],[단계]]</f>
        <v>10</v>
      </c>
      <c r="X11" t="s">
        <v>65</v>
      </c>
      <c r="Y11">
        <v>3</v>
      </c>
      <c r="AE11" s="34"/>
      <c r="AF11" s="34">
        <f>몬스터밸런스[[#This Row],[Attack]]*0.5</f>
        <v>1234.5</v>
      </c>
      <c r="AG11" s="34"/>
      <c r="AH11" s="34"/>
      <c r="AI11" s="34"/>
      <c r="AJ11" s="34"/>
      <c r="AK11" s="34"/>
      <c r="AL11">
        <f t="shared" si="1"/>
        <v>19752</v>
      </c>
      <c r="AN11" t="s">
        <v>53</v>
      </c>
      <c r="AO11">
        <f>COUNTIFS(몬스터밸런스9[분류],AN11)</f>
        <v>25</v>
      </c>
    </row>
    <row r="12" spans="1:41">
      <c r="A12">
        <v>90</v>
      </c>
      <c r="B12">
        <v>10</v>
      </c>
      <c r="C12">
        <f>$F$1*몬스터밸런스[[#This Row],[Lv]]+15</f>
        <v>465</v>
      </c>
      <c r="E12" t="s">
        <v>479</v>
      </c>
      <c r="F12">
        <f>IF(E12="공격형",INDEX(몬스터계수[[#Data],[생명계수]],MATCH(E12,몬스터계수[[#Data],[타입]],0),1)*C12,
IF(E12="방어형",INDEX(몬스터계수[[#Data],[생명계수]],MATCH(E12,몬스터계수[[#Data],[타입]],0),1)*C12,
IF(E12="회피형",INDEX(몬스터계수[[#Data],[생명계수]],MATCH(E12,몬스터계수[[#Data],[타입]],0),1)*C12,
IF(E12="체력형",INDEX(몬스터계수[[#Data],[생명계수]],MATCH(E12,몬스터계수[[#Data],[타입]],0),1)*C12,0))))*IF(몬스터밸런스[[#This Row],[보스]]=TRUE,2,1)</f>
        <v>232.5</v>
      </c>
      <c r="G12">
        <f>IF(E12="공격형",INDEX(몬스터계수[[#Data],[힘계수]],MATCH(E12, 몬스터계수[[#Data],[타입]],0),1)*C12,
IF(E12="방어형",INDEX(몬스터계수[[#Data],[힘계수]],MATCH(E12, 몬스터계수[[#Data],[타입]],0),1)*C12,
IF(E12="회피형",INDEX(몬스터계수[[#Data],[힘계수]],MATCH(E12, 몬스터계수[[#Data],[타입]],0),1)*C12,
IF(E12="체력형",INDEX(몬스터계수[[#Data],[힘계수]],MATCH(E12, 몬스터계수[[#Data],[타입]],0),1)*C12,0))))</f>
        <v>116.25</v>
      </c>
      <c r="H12">
        <f>IF(E12="공격형",INDEX(몬스터계수[[#Data],[근력게수]],MATCH(E12,몬스터계수[[#Data],[타입]],0),1)*C12,
IF(E12="방어형",INDEX(몬스터계수[[#Data],[근력게수]],MATCH(E12,몬스터계수[[#Data],[타입]],0),1)*C12,
IF(E12="회피형",INDEX(몬스터계수[[#Data],[근력게수]],MATCH(E12,몬스터계수[[#Data],[타입]],0),1)*C12,
IF(E12="체력형",INDEX(몬스터계수[[#Data],[근력게수]],MATCH(E12,몬스터계수[[#Data],[타입]],0),1)*C12,0))))</f>
        <v>23.25</v>
      </c>
      <c r="I12">
        <f>IF(E12="공격형",INDEX(몬스터계수[[#Data],[숙련도계수]],MATCH(E12,몬스터계수[[#Data],[타입]],0),1)*C12,
IF(E12="방어형",INDEX(몬스터계수[[#Data],[숙련도계수]],MATCH(E12,몬스터계수[[#Data],[타입]],0),1)*C12,
IF(E12="회피형",INDEX(몬스터계수[[#Data],[숙련도계수]],MATCH(E12,몬스터계수[[#Data],[타입]],0),1)*C12,
IF(E12="체력형",INDEX(몬스터계수[[#Data],[숙련도계수]],MATCH(E12,몬스터계수[[#Data],[타입]],0),1)*C12,0))))</f>
        <v>69.75</v>
      </c>
      <c r="J12">
        <f>IF(E12="공격형",INDEX(몬스터계수[[#Data],[행운계수]],MATCH(E12, 몬스터계수[[#Data],[타입]],0),1)*C12,
IF(E12="방어형",INDEX(몬스터계수[[#Data],[행운계수]],MATCH(E12, 몬스터계수[[#Data],[타입]],0),1)*C12,
IF(E12="회피형",INDEX(몬스터계수[[#Data],[행운계수]],MATCH(E12, 몬스터계수[[#Data],[타입]],0),1)*C12,
IF(E12="체력형",INDEX(몬스터계수[[#Data],[행운계수]],MATCH(E12, 몬스터계수[[#Data],[타입]],0),1)*C12,0))))</f>
        <v>23.25</v>
      </c>
      <c r="K12" s="34">
        <f>ROUND(
(($F12)*참고!$D$5)
+(($G12)*참고!$D$6)
+(($H12)*참고!$D$7)
+(($I12)*참고!$D$8)
+(($J12))*참고!$D$9,0)</f>
        <v>3615</v>
      </c>
      <c r="L12" s="34">
        <f>ROUND(
(($F12)*참고!$E$5)
+(($G12)*참고!$E$6)
+(($H12)*참고!$E$7)
+(($I12)*참고!$E$8)
+(($J12))*참고!$E$9,0)</f>
        <v>2069</v>
      </c>
      <c r="M12" s="34">
        <f>ROUND(
(($F12)*참고!$F$5)
+(($G12)*참고!$F$6)
+(($H12)*참고!$F$7)
+(($I12)*참고!$F$8)
+(($J12))*참고!$F$9,0)</f>
        <v>581</v>
      </c>
      <c r="N12" s="34">
        <f>ROUND(
(($F12)*참고!$G$5)
+(($G12)*참고!$G$6)
+(($H12)*참고!$G$7)
+(($I12)*참고!$G$8)
+(($J12))*참고!$G$9,0)</f>
        <v>16</v>
      </c>
      <c r="O12" s="34">
        <f>ROUND(
(($F12)*참고!$H$5)
+(($G12)*참고!$H$6)
+(($H12)*참고!$H$7)
+(($I12)*참고!$H$8)
+(($J12))*참고!$H$9,0)</f>
        <v>384</v>
      </c>
      <c r="P12" s="34">
        <f>ROUND(
(($F12)*참고!$I$5)
+(($G12)*참고!$I$6)
+(($H12)*참고!$I$7)
+(($I12)*참고!$I$8)
+(($J12))*참고!$I$9,0)</f>
        <v>674</v>
      </c>
      <c r="Q12" s="34">
        <f>ROUND(
(($F12)*참고!$J$5)
+(($G12)*참고!$J$6)
+(($H12)*참고!$J$7)
+(($I12)*참고!$J$8)
+(($J12))*참고!$J$9,0)</f>
        <v>465</v>
      </c>
      <c r="R12" s="34">
        <f>IF(E12="공격형",(INDEX(몬스터계수[[#Data],[속도]],MATCH(E12, 몬스터계수[[#Data],[타입]],0),1)*속도핸들러_곱계수)*(INT(몬스터밸런스[[#This Row],[Lv]]/속도핸들러_합계수+1)),
IF(E12="방어형",(INDEX(몬스터계수[[#Data],[속도]],MATCH(E12, 몬스터계수[[#Data],[타입]],0),1)*속도핸들러_곱계수)*(INT(몬스터밸런스[[#This Row],[Lv]]/속도핸들러_합계수+1)),
IF(E12="회피형",(INDEX(몬스터계수[[#Data],[속도]],MATCH(E12, 몬스터계수[[#Data],[타입]],0),1)*속도핸들러_곱계수)*(INT(몬스터밸런스[[#This Row],[Lv]]/속도핸들러_합계수+1)),
IF(E12="기본형",(INDEX(몬스터계수[[#Data],[속도]],MATCH(E12, 몬스터계수[[#Data],[타입]],0),1)*속도핸들러_곱계수)*(INT(몬스터밸런스[[#This Row],[Lv]]/속도핸들러_합계수+1)),0))))</f>
        <v>0</v>
      </c>
      <c r="S12">
        <f t="shared" si="0"/>
        <v>124112.5</v>
      </c>
      <c r="U12">
        <v>2</v>
      </c>
      <c r="V12">
        <v>10</v>
      </c>
      <c r="W12">
        <f>$Z$1*몬스터밸런스9[[#This Row],[단계]]</f>
        <v>10</v>
      </c>
      <c r="X12" t="s">
        <v>65</v>
      </c>
      <c r="Y12">
        <v>4</v>
      </c>
      <c r="AE12" s="34"/>
      <c r="AF12" s="34">
        <f>몬스터밸런스[[#This Row],[Attack]]*0.5</f>
        <v>1034.5</v>
      </c>
      <c r="AG12" s="34"/>
      <c r="AH12" s="34"/>
      <c r="AI12" s="34"/>
      <c r="AJ12" s="34"/>
      <c r="AK12" s="34"/>
      <c r="AL12">
        <f t="shared" si="1"/>
        <v>16552</v>
      </c>
      <c r="AN12" t="s">
        <v>67</v>
      </c>
      <c r="AO12">
        <f>COUNTIFS(몬스터밸런스9[분류],AN12)</f>
        <v>25</v>
      </c>
    </row>
    <row r="13" spans="1:41">
      <c r="A13">
        <v>100</v>
      </c>
      <c r="B13">
        <v>11</v>
      </c>
      <c r="C13">
        <f>$F$1*몬스터밸런스[[#This Row],[Lv]]+15</f>
        <v>515</v>
      </c>
      <c r="E13" t="s">
        <v>479</v>
      </c>
      <c r="F13">
        <f>IF(E13="공격형",INDEX(몬스터계수[[#Data],[생명계수]],MATCH(E13,몬스터계수[[#Data],[타입]],0),1)*C13,
IF(E13="방어형",INDEX(몬스터계수[[#Data],[생명계수]],MATCH(E13,몬스터계수[[#Data],[타입]],0),1)*C13,
IF(E13="회피형",INDEX(몬스터계수[[#Data],[생명계수]],MATCH(E13,몬스터계수[[#Data],[타입]],0),1)*C13,
IF(E13="체력형",INDEX(몬스터계수[[#Data],[생명계수]],MATCH(E13,몬스터계수[[#Data],[타입]],0),1)*C13,0))))*IF(몬스터밸런스[[#This Row],[보스]]=TRUE,2,1)</f>
        <v>257.5</v>
      </c>
      <c r="G13">
        <f>IF(E13="공격형",INDEX(몬스터계수[[#Data],[힘계수]],MATCH(E13, 몬스터계수[[#Data],[타입]],0),1)*C13,
IF(E13="방어형",INDEX(몬스터계수[[#Data],[힘계수]],MATCH(E13, 몬스터계수[[#Data],[타입]],0),1)*C13,
IF(E13="회피형",INDEX(몬스터계수[[#Data],[힘계수]],MATCH(E13, 몬스터계수[[#Data],[타입]],0),1)*C13,
IF(E13="체력형",INDEX(몬스터계수[[#Data],[힘계수]],MATCH(E13, 몬스터계수[[#Data],[타입]],0),1)*C13,0))))</f>
        <v>128.75</v>
      </c>
      <c r="H13">
        <f>IF(E13="공격형",INDEX(몬스터계수[[#Data],[근력게수]],MATCH(E13,몬스터계수[[#Data],[타입]],0),1)*C13,
IF(E13="방어형",INDEX(몬스터계수[[#Data],[근력게수]],MATCH(E13,몬스터계수[[#Data],[타입]],0),1)*C13,
IF(E13="회피형",INDEX(몬스터계수[[#Data],[근력게수]],MATCH(E13,몬스터계수[[#Data],[타입]],0),1)*C13,
IF(E13="체력형",INDEX(몬스터계수[[#Data],[근력게수]],MATCH(E13,몬스터계수[[#Data],[타입]],0),1)*C13,0))))</f>
        <v>25.75</v>
      </c>
      <c r="I13">
        <f>IF(E13="공격형",INDEX(몬스터계수[[#Data],[숙련도계수]],MATCH(E13,몬스터계수[[#Data],[타입]],0),1)*C13,
IF(E13="방어형",INDEX(몬스터계수[[#Data],[숙련도계수]],MATCH(E13,몬스터계수[[#Data],[타입]],0),1)*C13,
IF(E13="회피형",INDEX(몬스터계수[[#Data],[숙련도계수]],MATCH(E13,몬스터계수[[#Data],[타입]],0),1)*C13,
IF(E13="체력형",INDEX(몬스터계수[[#Data],[숙련도계수]],MATCH(E13,몬스터계수[[#Data],[타입]],0),1)*C13,0))))</f>
        <v>77.25</v>
      </c>
      <c r="J13">
        <f>IF(E13="공격형",INDEX(몬스터계수[[#Data],[행운계수]],MATCH(E13, 몬스터계수[[#Data],[타입]],0),1)*C13,
IF(E13="방어형",INDEX(몬스터계수[[#Data],[행운계수]],MATCH(E13, 몬스터계수[[#Data],[타입]],0),1)*C13,
IF(E13="회피형",INDEX(몬스터계수[[#Data],[행운계수]],MATCH(E13, 몬스터계수[[#Data],[타입]],0),1)*C13,
IF(E13="체력형",INDEX(몬스터계수[[#Data],[행운계수]],MATCH(E13, 몬스터계수[[#Data],[타입]],0),1)*C13,0))))</f>
        <v>25.75</v>
      </c>
      <c r="K13" s="34">
        <f>ROUND(
(($F13)*참고!$D$5)
+(($G13)*참고!$D$6)
+(($H13)*참고!$D$7)
+(($I13)*참고!$D$8)
+(($J13))*참고!$D$9,0)</f>
        <v>4004</v>
      </c>
      <c r="L13" s="34">
        <f>ROUND(
(($F13)*참고!$E$5)
+(($G13)*참고!$E$6)
+(($H13)*참고!$E$7)
+(($I13)*참고!$E$8)
+(($J13))*참고!$E$9,0)</f>
        <v>2292</v>
      </c>
      <c r="M13" s="34">
        <f>ROUND(
(($F13)*참고!$F$5)
+(($G13)*참고!$F$6)
+(($H13)*참고!$F$7)
+(($I13)*참고!$F$8)
+(($J13))*참고!$F$9,0)</f>
        <v>644</v>
      </c>
      <c r="N13" s="34">
        <f>ROUND(
(($F13)*참고!$G$5)
+(($G13)*참고!$G$6)
+(($H13)*참고!$G$7)
+(($I13)*참고!$G$8)
+(($J13))*참고!$G$9,0)</f>
        <v>18</v>
      </c>
      <c r="O13" s="34">
        <f>ROUND(
(($F13)*참고!$H$5)
+(($G13)*참고!$H$6)
+(($H13)*참고!$H$7)
+(($I13)*참고!$H$8)
+(($J13))*참고!$H$9,0)</f>
        <v>425</v>
      </c>
      <c r="P13" s="34">
        <f>ROUND(
(($F13)*참고!$I$5)
+(($G13)*참고!$I$6)
+(($H13)*참고!$I$7)
+(($I13)*참고!$I$8)
+(($J13))*참고!$I$9,0)</f>
        <v>747</v>
      </c>
      <c r="Q13" s="34">
        <f>ROUND(
(($F13)*참고!$J$5)
+(($G13)*참고!$J$6)
+(($H13)*참고!$J$7)
+(($I13)*참고!$J$8)
+(($J13))*참고!$J$9,0)</f>
        <v>515</v>
      </c>
      <c r="R13" s="34">
        <f>IF(E13="공격형",(INDEX(몬스터계수[[#Data],[속도]],MATCH(E13, 몬스터계수[[#Data],[타입]],0),1)*속도핸들러_곱계수)*(INT(몬스터밸런스[[#This Row],[Lv]]/속도핸들러_합계수+1)),
IF(E13="방어형",(INDEX(몬스터계수[[#Data],[속도]],MATCH(E13, 몬스터계수[[#Data],[타입]],0),1)*속도핸들러_곱계수)*(INT(몬스터밸런스[[#This Row],[Lv]]/속도핸들러_합계수+1)),
IF(E13="회피형",(INDEX(몬스터계수[[#Data],[속도]],MATCH(E13, 몬스터계수[[#Data],[타입]],0),1)*속도핸들러_곱계수)*(INT(몬스터밸런스[[#This Row],[Lv]]/속도핸들러_합계수+1)),
IF(E13="기본형",(INDEX(몬스터계수[[#Data],[속도]],MATCH(E13, 몬스터계수[[#Data],[타입]],0),1)*속도핸들러_곱계수)*(INT(몬스터밸런스[[#This Row],[Lv]]/속도핸들러_합계수+1)),0))))</f>
        <v>0</v>
      </c>
      <c r="S13">
        <f t="shared" si="0"/>
        <v>137484.5</v>
      </c>
      <c r="U13">
        <v>3</v>
      </c>
      <c r="V13">
        <v>11</v>
      </c>
      <c r="W13">
        <f>$Z$1*몬스터밸런스9[[#This Row],[단계]]</f>
        <v>15</v>
      </c>
      <c r="X13" t="s">
        <v>65</v>
      </c>
      <c r="Y13">
        <v>0</v>
      </c>
      <c r="AE13" s="34"/>
      <c r="AF13" s="34">
        <f>몬스터밸런스[[#This Row],[Attack]]*0.5</f>
        <v>1146</v>
      </c>
      <c r="AG13" s="34"/>
      <c r="AH13" s="34"/>
      <c r="AI13" s="34"/>
      <c r="AJ13" s="34"/>
      <c r="AK13" s="34"/>
      <c r="AL13">
        <f t="shared" si="1"/>
        <v>18336</v>
      </c>
      <c r="AN13" t="s">
        <v>69</v>
      </c>
      <c r="AO13">
        <f>COUNTIFS(몬스터밸런스9[분류],AN13)</f>
        <v>0</v>
      </c>
    </row>
    <row r="14" spans="1:41">
      <c r="A14">
        <v>110</v>
      </c>
      <c r="B14">
        <v>12</v>
      </c>
      <c r="C14">
        <f>$F$1*몬스터밸런스[[#This Row],[Lv]]+15</f>
        <v>565</v>
      </c>
      <c r="E14" t="s">
        <v>479</v>
      </c>
      <c r="F14">
        <f>IF(E14="공격형",INDEX(몬스터계수[[#Data],[생명계수]],MATCH(E14,몬스터계수[[#Data],[타입]],0),1)*C14,
IF(E14="방어형",INDEX(몬스터계수[[#Data],[생명계수]],MATCH(E14,몬스터계수[[#Data],[타입]],0),1)*C14,
IF(E14="회피형",INDEX(몬스터계수[[#Data],[생명계수]],MATCH(E14,몬스터계수[[#Data],[타입]],0),1)*C14,
IF(E14="체력형",INDEX(몬스터계수[[#Data],[생명계수]],MATCH(E14,몬스터계수[[#Data],[타입]],0),1)*C14,0))))*IF(몬스터밸런스[[#This Row],[보스]]=TRUE,2,1)</f>
        <v>282.5</v>
      </c>
      <c r="G14">
        <f>IF(E14="공격형",INDEX(몬스터계수[[#Data],[힘계수]],MATCH(E14, 몬스터계수[[#Data],[타입]],0),1)*C14,
IF(E14="방어형",INDEX(몬스터계수[[#Data],[힘계수]],MATCH(E14, 몬스터계수[[#Data],[타입]],0),1)*C14,
IF(E14="회피형",INDEX(몬스터계수[[#Data],[힘계수]],MATCH(E14, 몬스터계수[[#Data],[타입]],0),1)*C14,
IF(E14="체력형",INDEX(몬스터계수[[#Data],[힘계수]],MATCH(E14, 몬스터계수[[#Data],[타입]],0),1)*C14,0))))</f>
        <v>141.25</v>
      </c>
      <c r="H14">
        <f>IF(E14="공격형",INDEX(몬스터계수[[#Data],[근력게수]],MATCH(E14,몬스터계수[[#Data],[타입]],0),1)*C14,
IF(E14="방어형",INDEX(몬스터계수[[#Data],[근력게수]],MATCH(E14,몬스터계수[[#Data],[타입]],0),1)*C14,
IF(E14="회피형",INDEX(몬스터계수[[#Data],[근력게수]],MATCH(E14,몬스터계수[[#Data],[타입]],0),1)*C14,
IF(E14="체력형",INDEX(몬스터계수[[#Data],[근력게수]],MATCH(E14,몬스터계수[[#Data],[타입]],0),1)*C14,0))))</f>
        <v>28.25</v>
      </c>
      <c r="I14">
        <f>IF(E14="공격형",INDEX(몬스터계수[[#Data],[숙련도계수]],MATCH(E14,몬스터계수[[#Data],[타입]],0),1)*C14,
IF(E14="방어형",INDEX(몬스터계수[[#Data],[숙련도계수]],MATCH(E14,몬스터계수[[#Data],[타입]],0),1)*C14,
IF(E14="회피형",INDEX(몬스터계수[[#Data],[숙련도계수]],MATCH(E14,몬스터계수[[#Data],[타입]],0),1)*C14,
IF(E14="체력형",INDEX(몬스터계수[[#Data],[숙련도계수]],MATCH(E14,몬스터계수[[#Data],[타입]],0),1)*C14,0))))</f>
        <v>84.75</v>
      </c>
      <c r="J14">
        <f>IF(E14="공격형",INDEX(몬스터계수[[#Data],[행운계수]],MATCH(E14, 몬스터계수[[#Data],[타입]],0),1)*C14,
IF(E14="방어형",INDEX(몬스터계수[[#Data],[행운계수]],MATCH(E14, 몬스터계수[[#Data],[타입]],0),1)*C14,
IF(E14="회피형",INDEX(몬스터계수[[#Data],[행운계수]],MATCH(E14, 몬스터계수[[#Data],[타입]],0),1)*C14,
IF(E14="체력형",INDEX(몬스터계수[[#Data],[행운계수]],MATCH(E14, 몬스터계수[[#Data],[타입]],0),1)*C14,0))))</f>
        <v>28.25</v>
      </c>
      <c r="K14" s="34">
        <f>ROUND(
(($F14)*참고!$D$5)
+(($G14)*참고!$D$6)
+(($H14)*참고!$D$7)
+(($I14)*참고!$D$8)
+(($J14))*참고!$D$9,0)</f>
        <v>4393</v>
      </c>
      <c r="L14" s="34">
        <f>ROUND(
(($F14)*참고!$E$5)
+(($G14)*참고!$E$6)
+(($H14)*참고!$E$7)
+(($I14)*참고!$E$8)
+(($J14))*참고!$E$9,0)</f>
        <v>2514</v>
      </c>
      <c r="M14" s="34">
        <f>ROUND(
(($F14)*참고!$F$5)
+(($G14)*참고!$F$6)
+(($H14)*참고!$F$7)
+(($I14)*참고!$F$8)
+(($J14))*참고!$F$9,0)</f>
        <v>706</v>
      </c>
      <c r="N14" s="34">
        <f>ROUND(
(($F14)*참고!$G$5)
+(($G14)*참고!$G$6)
+(($H14)*참고!$G$7)
+(($I14)*참고!$G$8)
+(($J14))*참고!$G$9,0)</f>
        <v>20</v>
      </c>
      <c r="O14" s="34">
        <f>ROUND(
(($F14)*참고!$H$5)
+(($G14)*참고!$H$6)
+(($H14)*참고!$H$7)
+(($I14)*참고!$H$8)
+(($J14))*참고!$H$9,0)</f>
        <v>466</v>
      </c>
      <c r="P14" s="34">
        <f>ROUND(
(($F14)*참고!$I$5)
+(($G14)*참고!$I$6)
+(($H14)*참고!$I$7)
+(($I14)*참고!$I$8)
+(($J14))*참고!$I$9,0)</f>
        <v>819</v>
      </c>
      <c r="Q14" s="34">
        <f>ROUND(
(($F14)*참고!$J$5)
+(($G14)*참고!$J$6)
+(($H14)*참고!$J$7)
+(($I14)*참고!$J$8)
+(($J14))*참고!$J$9,0)</f>
        <v>565</v>
      </c>
      <c r="R14" s="34">
        <f>IF(E14="공격형",(INDEX(몬스터계수[[#Data],[속도]],MATCH(E14, 몬스터계수[[#Data],[타입]],0),1)*속도핸들러_곱계수)*(INT(몬스터밸런스[[#This Row],[Lv]]/속도핸들러_합계수+1)),
IF(E14="방어형",(INDEX(몬스터계수[[#Data],[속도]],MATCH(E14, 몬스터계수[[#Data],[타입]],0),1)*속도핸들러_곱계수)*(INT(몬스터밸런스[[#This Row],[Lv]]/속도핸들러_합계수+1)),
IF(E14="회피형",(INDEX(몬스터계수[[#Data],[속도]],MATCH(E14, 몬스터계수[[#Data],[타입]],0),1)*속도핸들러_곱계수)*(INT(몬스터밸런스[[#This Row],[Lv]]/속도핸들러_합계수+1)),
IF(E14="기본형",(INDEX(몬스터계수[[#Data],[속도]],MATCH(E14, 몬스터계수[[#Data],[타입]],0),1)*속도핸들러_곱계수)*(INT(몬스터밸런스[[#This Row],[Lv]]/속도핸들러_합계수+1)),0))))</f>
        <v>0</v>
      </c>
      <c r="S14">
        <f t="shared" si="0"/>
        <v>150813.5</v>
      </c>
      <c r="U14">
        <v>3</v>
      </c>
      <c r="V14">
        <v>12</v>
      </c>
      <c r="W14">
        <f>$Z$1*몬스터밸런스9[[#This Row],[단계]]</f>
        <v>15</v>
      </c>
      <c r="X14" t="s">
        <v>65</v>
      </c>
      <c r="Y14">
        <v>1</v>
      </c>
      <c r="AE14" s="34"/>
      <c r="AF14" s="34">
        <f>몬스터밸런스[[#This Row],[Attack]]*0.5</f>
        <v>1257</v>
      </c>
      <c r="AG14" s="34"/>
      <c r="AH14" s="34"/>
      <c r="AI14" s="34"/>
      <c r="AJ14" s="34"/>
      <c r="AK14" s="34"/>
      <c r="AL14">
        <f t="shared" si="1"/>
        <v>20112</v>
      </c>
      <c r="AN14" t="s">
        <v>71</v>
      </c>
      <c r="AO14">
        <f>COUNTIFS(몬스터밸런스9[분류],AN14)</f>
        <v>0</v>
      </c>
    </row>
    <row r="15" spans="1:41">
      <c r="A15">
        <v>120</v>
      </c>
      <c r="B15">
        <v>13</v>
      </c>
      <c r="C15">
        <f>$F$1*몬스터밸런스[[#This Row],[Lv]]+15</f>
        <v>615</v>
      </c>
      <c r="E15" t="s">
        <v>479</v>
      </c>
      <c r="F15">
        <f>IF(E15="공격형",INDEX(몬스터계수[[#Data],[생명계수]],MATCH(E15,몬스터계수[[#Data],[타입]],0),1)*C15,
IF(E15="방어형",INDEX(몬스터계수[[#Data],[생명계수]],MATCH(E15,몬스터계수[[#Data],[타입]],0),1)*C15,
IF(E15="회피형",INDEX(몬스터계수[[#Data],[생명계수]],MATCH(E15,몬스터계수[[#Data],[타입]],0),1)*C15,
IF(E15="체력형",INDEX(몬스터계수[[#Data],[생명계수]],MATCH(E15,몬스터계수[[#Data],[타입]],0),1)*C15,0))))*IF(몬스터밸런스[[#This Row],[보스]]=TRUE,2,1)</f>
        <v>307.5</v>
      </c>
      <c r="G15">
        <f>IF(E15="공격형",INDEX(몬스터계수[[#Data],[힘계수]],MATCH(E15, 몬스터계수[[#Data],[타입]],0),1)*C15,
IF(E15="방어형",INDEX(몬스터계수[[#Data],[힘계수]],MATCH(E15, 몬스터계수[[#Data],[타입]],0),1)*C15,
IF(E15="회피형",INDEX(몬스터계수[[#Data],[힘계수]],MATCH(E15, 몬스터계수[[#Data],[타입]],0),1)*C15,
IF(E15="체력형",INDEX(몬스터계수[[#Data],[힘계수]],MATCH(E15, 몬스터계수[[#Data],[타입]],0),1)*C15,0))))</f>
        <v>153.75</v>
      </c>
      <c r="H15">
        <f>IF(E15="공격형",INDEX(몬스터계수[[#Data],[근력게수]],MATCH(E15,몬스터계수[[#Data],[타입]],0),1)*C15,
IF(E15="방어형",INDEX(몬스터계수[[#Data],[근력게수]],MATCH(E15,몬스터계수[[#Data],[타입]],0),1)*C15,
IF(E15="회피형",INDEX(몬스터계수[[#Data],[근력게수]],MATCH(E15,몬스터계수[[#Data],[타입]],0),1)*C15,
IF(E15="체력형",INDEX(몬스터계수[[#Data],[근력게수]],MATCH(E15,몬스터계수[[#Data],[타입]],0),1)*C15,0))))</f>
        <v>30.75</v>
      </c>
      <c r="I15">
        <f>IF(E15="공격형",INDEX(몬스터계수[[#Data],[숙련도계수]],MATCH(E15,몬스터계수[[#Data],[타입]],0),1)*C15,
IF(E15="방어형",INDEX(몬스터계수[[#Data],[숙련도계수]],MATCH(E15,몬스터계수[[#Data],[타입]],0),1)*C15,
IF(E15="회피형",INDEX(몬스터계수[[#Data],[숙련도계수]],MATCH(E15,몬스터계수[[#Data],[타입]],0),1)*C15,
IF(E15="체력형",INDEX(몬스터계수[[#Data],[숙련도계수]],MATCH(E15,몬스터계수[[#Data],[타입]],0),1)*C15,0))))</f>
        <v>92.25</v>
      </c>
      <c r="J15">
        <f>IF(E15="공격형",INDEX(몬스터계수[[#Data],[행운계수]],MATCH(E15, 몬스터계수[[#Data],[타입]],0),1)*C15,
IF(E15="방어형",INDEX(몬스터계수[[#Data],[행운계수]],MATCH(E15, 몬스터계수[[#Data],[타입]],0),1)*C15,
IF(E15="회피형",INDEX(몬스터계수[[#Data],[행운계수]],MATCH(E15, 몬스터계수[[#Data],[타입]],0),1)*C15,
IF(E15="체력형",INDEX(몬스터계수[[#Data],[행운계수]],MATCH(E15, 몬스터계수[[#Data],[타입]],0),1)*C15,0))))</f>
        <v>30.75</v>
      </c>
      <c r="K15" s="34">
        <f>ROUND(
(($F15)*참고!$D$5)
+(($G15)*참고!$D$6)
+(($H15)*참고!$D$7)
+(($I15)*참고!$D$8)
+(($J15))*참고!$D$9,0)</f>
        <v>4782</v>
      </c>
      <c r="L15" s="34">
        <f>ROUND(
(($F15)*참고!$E$5)
+(($G15)*참고!$E$6)
+(($H15)*참고!$E$7)
+(($I15)*참고!$E$8)
+(($J15))*참고!$E$9,0)</f>
        <v>2737</v>
      </c>
      <c r="M15" s="34">
        <f>ROUND(
(($F15)*참고!$F$5)
+(($G15)*참고!$F$6)
+(($H15)*참고!$F$7)
+(($I15)*참고!$F$8)
+(($J15))*참고!$F$9,0)</f>
        <v>769</v>
      </c>
      <c r="N15" s="34">
        <f>ROUND(
(($F15)*참고!$G$5)
+(($G15)*참고!$G$6)
+(($H15)*참고!$G$7)
+(($I15)*참고!$G$8)
+(($J15))*참고!$G$9,0)</f>
        <v>22</v>
      </c>
      <c r="O15" s="34">
        <f>ROUND(
(($F15)*참고!$H$5)
+(($G15)*참고!$H$6)
+(($H15)*참고!$H$7)
+(($I15)*참고!$H$8)
+(($J15))*참고!$H$9,0)</f>
        <v>507</v>
      </c>
      <c r="P15" s="34">
        <f>ROUND(
(($F15)*참고!$I$5)
+(($G15)*참고!$I$6)
+(($H15)*참고!$I$7)
+(($I15)*참고!$I$8)
+(($J15))*참고!$I$9,0)</f>
        <v>892</v>
      </c>
      <c r="Q15" s="34">
        <f>ROUND(
(($F15)*참고!$J$5)
+(($G15)*참고!$J$6)
+(($H15)*참고!$J$7)
+(($I15)*참고!$J$8)
+(($J15))*참고!$J$9,0)</f>
        <v>615</v>
      </c>
      <c r="R15" s="34">
        <f>IF(E15="공격형",(INDEX(몬스터계수[[#Data],[속도]],MATCH(E15, 몬스터계수[[#Data],[타입]],0),1)*속도핸들러_곱계수)*(INT(몬스터밸런스[[#This Row],[Lv]]/속도핸들러_합계수+1)),
IF(E15="방어형",(INDEX(몬스터계수[[#Data],[속도]],MATCH(E15, 몬스터계수[[#Data],[타입]],0),1)*속도핸들러_곱계수)*(INT(몬스터밸런스[[#This Row],[Lv]]/속도핸들러_합계수+1)),
IF(E15="회피형",(INDEX(몬스터계수[[#Data],[속도]],MATCH(E15, 몬스터계수[[#Data],[타입]],0),1)*속도핸들러_곱계수)*(INT(몬스터밸런스[[#This Row],[Lv]]/속도핸들러_합계수+1)),
IF(E15="기본형",(INDEX(몬스터계수[[#Data],[속도]],MATCH(E15, 몬스터계수[[#Data],[타입]],0),1)*속도핸들러_곱계수)*(INT(몬스터밸런스[[#This Row],[Lv]]/속도핸들러_합계수+1)),0))))</f>
        <v>0</v>
      </c>
      <c r="S15">
        <f t="shared" si="0"/>
        <v>164185.5</v>
      </c>
      <c r="U15">
        <v>3</v>
      </c>
      <c r="V15">
        <v>13</v>
      </c>
      <c r="W15">
        <f>$Z$1*몬스터밸런스9[[#This Row],[단계]]</f>
        <v>15</v>
      </c>
      <c r="X15" t="s">
        <v>65</v>
      </c>
      <c r="Y15">
        <v>2</v>
      </c>
      <c r="AE15" s="34"/>
      <c r="AF15" s="34">
        <f>몬스터밸런스[[#This Row],[Attack]]*0.5</f>
        <v>1368.5</v>
      </c>
      <c r="AG15" s="34"/>
      <c r="AH15" s="34"/>
      <c r="AI15" s="34"/>
      <c r="AJ15" s="34"/>
      <c r="AK15" s="34"/>
      <c r="AL15">
        <f t="shared" si="1"/>
        <v>21896</v>
      </c>
    </row>
    <row r="16" spans="1:41">
      <c r="A16">
        <v>130</v>
      </c>
      <c r="B16">
        <v>14</v>
      </c>
      <c r="C16">
        <f>$F$1*몬스터밸런스[[#This Row],[Lv]]+15</f>
        <v>665</v>
      </c>
      <c r="E16" t="s">
        <v>479</v>
      </c>
      <c r="F16">
        <f>IF(E16="공격형",INDEX(몬스터계수[[#Data],[생명계수]],MATCH(E16,몬스터계수[[#Data],[타입]],0),1)*C16,
IF(E16="방어형",INDEX(몬스터계수[[#Data],[생명계수]],MATCH(E16,몬스터계수[[#Data],[타입]],0),1)*C16,
IF(E16="회피형",INDEX(몬스터계수[[#Data],[생명계수]],MATCH(E16,몬스터계수[[#Data],[타입]],0),1)*C16,
IF(E16="체력형",INDEX(몬스터계수[[#Data],[생명계수]],MATCH(E16,몬스터계수[[#Data],[타입]],0),1)*C16,0))))*IF(몬스터밸런스[[#This Row],[보스]]=TRUE,2,1)</f>
        <v>332.5</v>
      </c>
      <c r="G16">
        <f>IF(E16="공격형",INDEX(몬스터계수[[#Data],[힘계수]],MATCH(E16, 몬스터계수[[#Data],[타입]],0),1)*C16,
IF(E16="방어형",INDEX(몬스터계수[[#Data],[힘계수]],MATCH(E16, 몬스터계수[[#Data],[타입]],0),1)*C16,
IF(E16="회피형",INDEX(몬스터계수[[#Data],[힘계수]],MATCH(E16, 몬스터계수[[#Data],[타입]],0),1)*C16,
IF(E16="체력형",INDEX(몬스터계수[[#Data],[힘계수]],MATCH(E16, 몬스터계수[[#Data],[타입]],0),1)*C16,0))))</f>
        <v>166.25</v>
      </c>
      <c r="H16">
        <f>IF(E16="공격형",INDEX(몬스터계수[[#Data],[근력게수]],MATCH(E16,몬스터계수[[#Data],[타입]],0),1)*C16,
IF(E16="방어형",INDEX(몬스터계수[[#Data],[근력게수]],MATCH(E16,몬스터계수[[#Data],[타입]],0),1)*C16,
IF(E16="회피형",INDEX(몬스터계수[[#Data],[근력게수]],MATCH(E16,몬스터계수[[#Data],[타입]],0),1)*C16,
IF(E16="체력형",INDEX(몬스터계수[[#Data],[근력게수]],MATCH(E16,몬스터계수[[#Data],[타입]],0),1)*C16,0))))</f>
        <v>33.25</v>
      </c>
      <c r="I16">
        <f>IF(E16="공격형",INDEX(몬스터계수[[#Data],[숙련도계수]],MATCH(E16,몬스터계수[[#Data],[타입]],0),1)*C16,
IF(E16="방어형",INDEX(몬스터계수[[#Data],[숙련도계수]],MATCH(E16,몬스터계수[[#Data],[타입]],0),1)*C16,
IF(E16="회피형",INDEX(몬스터계수[[#Data],[숙련도계수]],MATCH(E16,몬스터계수[[#Data],[타입]],0),1)*C16,
IF(E16="체력형",INDEX(몬스터계수[[#Data],[숙련도계수]],MATCH(E16,몬스터계수[[#Data],[타입]],0),1)*C16,0))))</f>
        <v>99.75</v>
      </c>
      <c r="J16">
        <f>IF(E16="공격형",INDEX(몬스터계수[[#Data],[행운계수]],MATCH(E16, 몬스터계수[[#Data],[타입]],0),1)*C16,
IF(E16="방어형",INDEX(몬스터계수[[#Data],[행운계수]],MATCH(E16, 몬스터계수[[#Data],[타입]],0),1)*C16,
IF(E16="회피형",INDEX(몬스터계수[[#Data],[행운계수]],MATCH(E16, 몬스터계수[[#Data],[타입]],0),1)*C16,
IF(E16="체력형",INDEX(몬스터계수[[#Data],[행운계수]],MATCH(E16, 몬스터계수[[#Data],[타입]],0),1)*C16,0))))</f>
        <v>33.25</v>
      </c>
      <c r="K16" s="34">
        <f>ROUND(
(($F16)*참고!$D$5)
+(($G16)*참고!$D$6)
+(($H16)*참고!$D$7)
+(($I16)*참고!$D$8)
+(($J16))*참고!$D$9,0)</f>
        <v>5170</v>
      </c>
      <c r="L16" s="34">
        <f>ROUND(
(($F16)*참고!$E$5)
+(($G16)*참고!$E$6)
+(($H16)*참고!$E$7)
+(($I16)*참고!$E$8)
+(($J16))*참고!$E$9,0)</f>
        <v>2959</v>
      </c>
      <c r="M16" s="34">
        <f>ROUND(
(($F16)*참고!$F$5)
+(($G16)*참고!$F$6)
+(($H16)*참고!$F$7)
+(($I16)*참고!$F$8)
+(($J16))*참고!$F$9,0)</f>
        <v>831</v>
      </c>
      <c r="N16" s="34">
        <f>ROUND(
(($F16)*참고!$G$5)
+(($G16)*참고!$G$6)
+(($H16)*참고!$G$7)
+(($I16)*참고!$G$8)
+(($J16))*참고!$G$9,0)</f>
        <v>23</v>
      </c>
      <c r="O16" s="34">
        <f>ROUND(
(($F16)*참고!$H$5)
+(($G16)*참고!$H$6)
+(($H16)*참고!$H$7)
+(($I16)*참고!$H$8)
+(($J16))*참고!$H$9,0)</f>
        <v>549</v>
      </c>
      <c r="P16" s="34">
        <f>ROUND(
(($F16)*참고!$I$5)
+(($G16)*참고!$I$6)
+(($H16)*참고!$I$7)
+(($I16)*참고!$I$8)
+(($J16))*참고!$I$9,0)</f>
        <v>964</v>
      </c>
      <c r="Q16" s="34">
        <f>ROUND(
(($F16)*참고!$J$5)
+(($G16)*참고!$J$6)
+(($H16)*참고!$J$7)
+(($I16)*참고!$J$8)
+(($J16))*참고!$J$9,0)</f>
        <v>665</v>
      </c>
      <c r="R16" s="34">
        <f>IF(E16="공격형",(INDEX(몬스터계수[[#Data],[속도]],MATCH(E16, 몬스터계수[[#Data],[타입]],0),1)*속도핸들러_곱계수)*(INT(몬스터밸런스[[#This Row],[Lv]]/속도핸들러_합계수+1)),
IF(E16="방어형",(INDEX(몬스터계수[[#Data],[속도]],MATCH(E16, 몬스터계수[[#Data],[타입]],0),1)*속도핸들러_곱계수)*(INT(몬스터밸런스[[#This Row],[Lv]]/속도핸들러_합계수+1)),
IF(E16="회피형",(INDEX(몬스터계수[[#Data],[속도]],MATCH(E16, 몬스터계수[[#Data],[타입]],0),1)*속도핸들러_곱계수)*(INT(몬스터밸런스[[#This Row],[Lv]]/속도핸들러_합계수+1)),
IF(E16="기본형",(INDEX(몬스터계수[[#Data],[속도]],MATCH(E16, 몬스터계수[[#Data],[타입]],0),1)*속도핸들러_곱계수)*(INT(몬스터밸런스[[#This Row],[Lv]]/속도핸들러_합계수+1)),0))))</f>
        <v>0</v>
      </c>
      <c r="S16">
        <f t="shared" si="0"/>
        <v>177501</v>
      </c>
      <c r="U16">
        <v>3</v>
      </c>
      <c r="V16">
        <v>14</v>
      </c>
      <c r="W16">
        <f>$Z$1*몬스터밸런스9[[#This Row],[단계]]</f>
        <v>15</v>
      </c>
      <c r="X16" t="s">
        <v>65</v>
      </c>
      <c r="Y16">
        <v>3</v>
      </c>
      <c r="AE16" s="34"/>
      <c r="AF16" s="34">
        <f>몬스터밸런스[[#This Row],[Attack]]*0.5</f>
        <v>1479.5</v>
      </c>
      <c r="AG16" s="34"/>
      <c r="AH16" s="34"/>
      <c r="AI16" s="34"/>
      <c r="AJ16" s="34"/>
      <c r="AK16" s="34"/>
      <c r="AL16">
        <f t="shared" si="1"/>
        <v>23672</v>
      </c>
    </row>
    <row r="17" spans="1:38">
      <c r="A17">
        <v>140</v>
      </c>
      <c r="B17">
        <v>15</v>
      </c>
      <c r="C17">
        <f>$F$1*몬스터밸런스[[#This Row],[Lv]]+15</f>
        <v>715</v>
      </c>
      <c r="E17" t="s">
        <v>479</v>
      </c>
      <c r="F17">
        <f>IF(E17="공격형",INDEX(몬스터계수[[#Data],[생명계수]],MATCH(E17,몬스터계수[[#Data],[타입]],0),1)*C17,
IF(E17="방어형",INDEX(몬스터계수[[#Data],[생명계수]],MATCH(E17,몬스터계수[[#Data],[타입]],0),1)*C17,
IF(E17="회피형",INDEX(몬스터계수[[#Data],[생명계수]],MATCH(E17,몬스터계수[[#Data],[타입]],0),1)*C17,
IF(E17="체력형",INDEX(몬스터계수[[#Data],[생명계수]],MATCH(E17,몬스터계수[[#Data],[타입]],0),1)*C17,0))))*IF(몬스터밸런스[[#This Row],[보스]]=TRUE,2,1)</f>
        <v>357.5</v>
      </c>
      <c r="G17">
        <f>IF(E17="공격형",INDEX(몬스터계수[[#Data],[힘계수]],MATCH(E17, 몬스터계수[[#Data],[타입]],0),1)*C17,
IF(E17="방어형",INDEX(몬스터계수[[#Data],[힘계수]],MATCH(E17, 몬스터계수[[#Data],[타입]],0),1)*C17,
IF(E17="회피형",INDEX(몬스터계수[[#Data],[힘계수]],MATCH(E17, 몬스터계수[[#Data],[타입]],0),1)*C17,
IF(E17="체력형",INDEX(몬스터계수[[#Data],[힘계수]],MATCH(E17, 몬스터계수[[#Data],[타입]],0),1)*C17,0))))</f>
        <v>178.75</v>
      </c>
      <c r="H17">
        <f>IF(E17="공격형",INDEX(몬스터계수[[#Data],[근력게수]],MATCH(E17,몬스터계수[[#Data],[타입]],0),1)*C17,
IF(E17="방어형",INDEX(몬스터계수[[#Data],[근력게수]],MATCH(E17,몬스터계수[[#Data],[타입]],0),1)*C17,
IF(E17="회피형",INDEX(몬스터계수[[#Data],[근력게수]],MATCH(E17,몬스터계수[[#Data],[타입]],0),1)*C17,
IF(E17="체력형",INDEX(몬스터계수[[#Data],[근력게수]],MATCH(E17,몬스터계수[[#Data],[타입]],0),1)*C17,0))))</f>
        <v>35.75</v>
      </c>
      <c r="I17">
        <f>IF(E17="공격형",INDEX(몬스터계수[[#Data],[숙련도계수]],MATCH(E17,몬스터계수[[#Data],[타입]],0),1)*C17,
IF(E17="방어형",INDEX(몬스터계수[[#Data],[숙련도계수]],MATCH(E17,몬스터계수[[#Data],[타입]],0),1)*C17,
IF(E17="회피형",INDEX(몬스터계수[[#Data],[숙련도계수]],MATCH(E17,몬스터계수[[#Data],[타입]],0),1)*C17,
IF(E17="체력형",INDEX(몬스터계수[[#Data],[숙련도계수]],MATCH(E17,몬스터계수[[#Data],[타입]],0),1)*C17,0))))</f>
        <v>107.25</v>
      </c>
      <c r="J17">
        <f>IF(E17="공격형",INDEX(몬스터계수[[#Data],[행운계수]],MATCH(E17, 몬스터계수[[#Data],[타입]],0),1)*C17,
IF(E17="방어형",INDEX(몬스터계수[[#Data],[행운계수]],MATCH(E17, 몬스터계수[[#Data],[타입]],0),1)*C17,
IF(E17="회피형",INDEX(몬스터계수[[#Data],[행운계수]],MATCH(E17, 몬스터계수[[#Data],[타입]],0),1)*C17,
IF(E17="체력형",INDEX(몬스터계수[[#Data],[행운계수]],MATCH(E17, 몬스터계수[[#Data],[타입]],0),1)*C17,0))))</f>
        <v>35.75</v>
      </c>
      <c r="K17" s="34">
        <f>ROUND(
(($F17)*참고!$D$5)
+(($G17)*참고!$D$6)
+(($H17)*참고!$D$7)
+(($I17)*참고!$D$8)
+(($J17))*참고!$D$9,0)</f>
        <v>5559</v>
      </c>
      <c r="L17" s="34">
        <f>ROUND(
(($F17)*참고!$E$5)
+(($G17)*참고!$E$6)
+(($H17)*참고!$E$7)
+(($I17)*참고!$E$8)
+(($J17))*참고!$E$9,0)</f>
        <v>3182</v>
      </c>
      <c r="M17" s="34">
        <f>ROUND(
(($F17)*참고!$F$5)
+(($G17)*참고!$F$6)
+(($H17)*참고!$F$7)
+(($I17)*참고!$F$8)
+(($J17))*참고!$F$9,0)</f>
        <v>894</v>
      </c>
      <c r="N17" s="34">
        <f>ROUND(
(($F17)*참고!$G$5)
+(($G17)*참고!$G$6)
+(($H17)*참고!$G$7)
+(($I17)*참고!$G$8)
+(($J17))*참고!$G$9,0)</f>
        <v>25</v>
      </c>
      <c r="O17" s="34">
        <f>ROUND(
(($F17)*참고!$H$5)
+(($G17)*참고!$H$6)
+(($H17)*참고!$H$7)
+(($I17)*참고!$H$8)
+(($J17))*참고!$H$9,0)</f>
        <v>590</v>
      </c>
      <c r="P17" s="34">
        <f>ROUND(
(($F17)*참고!$I$5)
+(($G17)*참고!$I$6)
+(($H17)*참고!$I$7)
+(($I17)*참고!$I$8)
+(($J17))*참고!$I$9,0)</f>
        <v>1037</v>
      </c>
      <c r="Q17" s="34">
        <f>ROUND(
(($F17)*참고!$J$5)
+(($G17)*참고!$J$6)
+(($H17)*참고!$J$7)
+(($I17)*참고!$J$8)
+(($J17))*참고!$J$9,0)</f>
        <v>715</v>
      </c>
      <c r="R17" s="34">
        <f>IF(E17="공격형",(INDEX(몬스터계수[[#Data],[속도]],MATCH(E17, 몬스터계수[[#Data],[타입]],0),1)*속도핸들러_곱계수)*(INT(몬스터밸런스[[#This Row],[Lv]]/속도핸들러_합계수+1)),
IF(E17="방어형",(INDEX(몬스터계수[[#Data],[속도]],MATCH(E17, 몬스터계수[[#Data],[타입]],0),1)*속도핸들러_곱계수)*(INT(몬스터밸런스[[#This Row],[Lv]]/속도핸들러_합계수+1)),
IF(E17="회피형",(INDEX(몬스터계수[[#Data],[속도]],MATCH(E17, 몬스터계수[[#Data],[타입]],0),1)*속도핸들러_곱계수)*(INT(몬스터밸런스[[#This Row],[Lv]]/속도핸들러_합계수+1)),
IF(E17="기본형",(INDEX(몬스터계수[[#Data],[속도]],MATCH(E17, 몬스터계수[[#Data],[타입]],0),1)*속도핸들러_곱계수)*(INT(몬스터밸런스[[#This Row],[Lv]]/속도핸들러_합계수+1)),0))))</f>
        <v>0</v>
      </c>
      <c r="S17">
        <f t="shared" si="0"/>
        <v>190873</v>
      </c>
      <c r="U17">
        <v>3</v>
      </c>
      <c r="V17">
        <v>15</v>
      </c>
      <c r="W17">
        <f>$Z$1*몬스터밸런스9[[#This Row],[단계]]</f>
        <v>15</v>
      </c>
      <c r="X17" t="s">
        <v>65</v>
      </c>
      <c r="Y17">
        <v>4</v>
      </c>
      <c r="AE17" s="34"/>
      <c r="AF17" s="34">
        <f>몬스터밸런스[[#This Row],[Attack]]*0.5</f>
        <v>1591</v>
      </c>
      <c r="AG17" s="34"/>
      <c r="AH17" s="34"/>
      <c r="AI17" s="34"/>
      <c r="AJ17" s="34"/>
      <c r="AK17" s="34"/>
      <c r="AL17">
        <f t="shared" si="1"/>
        <v>25456</v>
      </c>
    </row>
    <row r="18" spans="1:38">
      <c r="A18">
        <v>150</v>
      </c>
      <c r="B18">
        <v>16</v>
      </c>
      <c r="C18">
        <f>$F$1*몬스터밸런스[[#This Row],[Lv]]+15</f>
        <v>765</v>
      </c>
      <c r="E18" t="s">
        <v>479</v>
      </c>
      <c r="F18">
        <f>IF(E18="공격형",INDEX(몬스터계수[[#Data],[생명계수]],MATCH(E18,몬스터계수[[#Data],[타입]],0),1)*C18,
IF(E18="방어형",INDEX(몬스터계수[[#Data],[생명계수]],MATCH(E18,몬스터계수[[#Data],[타입]],0),1)*C18,
IF(E18="회피형",INDEX(몬스터계수[[#Data],[생명계수]],MATCH(E18,몬스터계수[[#Data],[타입]],0),1)*C18,
IF(E18="체력형",INDEX(몬스터계수[[#Data],[생명계수]],MATCH(E18,몬스터계수[[#Data],[타입]],0),1)*C18,0))))*IF(몬스터밸런스[[#This Row],[보스]]=TRUE,2,1)</f>
        <v>382.5</v>
      </c>
      <c r="G18">
        <f>IF(E18="공격형",INDEX(몬스터계수[[#Data],[힘계수]],MATCH(E18, 몬스터계수[[#Data],[타입]],0),1)*C18,
IF(E18="방어형",INDEX(몬스터계수[[#Data],[힘계수]],MATCH(E18, 몬스터계수[[#Data],[타입]],0),1)*C18,
IF(E18="회피형",INDEX(몬스터계수[[#Data],[힘계수]],MATCH(E18, 몬스터계수[[#Data],[타입]],0),1)*C18,
IF(E18="체력형",INDEX(몬스터계수[[#Data],[힘계수]],MATCH(E18, 몬스터계수[[#Data],[타입]],0),1)*C18,0))))</f>
        <v>191.25</v>
      </c>
      <c r="H18">
        <f>IF(E18="공격형",INDEX(몬스터계수[[#Data],[근력게수]],MATCH(E18,몬스터계수[[#Data],[타입]],0),1)*C18,
IF(E18="방어형",INDEX(몬스터계수[[#Data],[근력게수]],MATCH(E18,몬스터계수[[#Data],[타입]],0),1)*C18,
IF(E18="회피형",INDEX(몬스터계수[[#Data],[근력게수]],MATCH(E18,몬스터계수[[#Data],[타입]],0),1)*C18,
IF(E18="체력형",INDEX(몬스터계수[[#Data],[근력게수]],MATCH(E18,몬스터계수[[#Data],[타입]],0),1)*C18,0))))</f>
        <v>38.25</v>
      </c>
      <c r="I18">
        <f>IF(E18="공격형",INDEX(몬스터계수[[#Data],[숙련도계수]],MATCH(E18,몬스터계수[[#Data],[타입]],0),1)*C18,
IF(E18="방어형",INDEX(몬스터계수[[#Data],[숙련도계수]],MATCH(E18,몬스터계수[[#Data],[타입]],0),1)*C18,
IF(E18="회피형",INDEX(몬스터계수[[#Data],[숙련도계수]],MATCH(E18,몬스터계수[[#Data],[타입]],0),1)*C18,
IF(E18="체력형",INDEX(몬스터계수[[#Data],[숙련도계수]],MATCH(E18,몬스터계수[[#Data],[타입]],0),1)*C18,0))))</f>
        <v>114.75</v>
      </c>
      <c r="J18">
        <f>IF(E18="공격형",INDEX(몬스터계수[[#Data],[행운계수]],MATCH(E18, 몬스터계수[[#Data],[타입]],0),1)*C18,
IF(E18="방어형",INDEX(몬스터계수[[#Data],[행운계수]],MATCH(E18, 몬스터계수[[#Data],[타입]],0),1)*C18,
IF(E18="회피형",INDEX(몬스터계수[[#Data],[행운계수]],MATCH(E18, 몬스터계수[[#Data],[타입]],0),1)*C18,
IF(E18="체력형",INDEX(몬스터계수[[#Data],[행운계수]],MATCH(E18, 몬스터계수[[#Data],[타입]],0),1)*C18,0))))</f>
        <v>38.25</v>
      </c>
      <c r="K18" s="34">
        <f>ROUND(
(($F18)*참고!$D$5)
+(($G18)*참고!$D$6)
+(($H18)*참고!$D$7)
+(($I18)*참고!$D$8)
+(($J18))*참고!$D$9,0)</f>
        <v>5948</v>
      </c>
      <c r="L18" s="34">
        <f>ROUND(
(($F18)*참고!$E$5)
+(($G18)*참고!$E$6)
+(($H18)*참고!$E$7)
+(($I18)*참고!$E$8)
+(($J18))*참고!$E$9,0)</f>
        <v>3404</v>
      </c>
      <c r="M18" s="34">
        <f>ROUND(
(($F18)*참고!$F$5)
+(($G18)*참고!$F$6)
+(($H18)*참고!$F$7)
+(($I18)*참고!$F$8)
+(($J18))*참고!$F$9,0)</f>
        <v>956</v>
      </c>
      <c r="N18" s="34">
        <f>ROUND(
(($F18)*참고!$G$5)
+(($G18)*참고!$G$6)
+(($H18)*참고!$G$7)
+(($I18)*참고!$G$8)
+(($J18))*참고!$G$9,0)</f>
        <v>27</v>
      </c>
      <c r="O18" s="34">
        <f>ROUND(
(($F18)*참고!$H$5)
+(($G18)*참고!$H$6)
+(($H18)*참고!$H$7)
+(($I18)*참고!$H$8)
+(($J18))*참고!$H$9,0)</f>
        <v>631</v>
      </c>
      <c r="P18" s="34">
        <f>ROUND(
(($F18)*참고!$I$5)
+(($G18)*참고!$I$6)
+(($H18)*참고!$I$7)
+(($I18)*참고!$I$8)
+(($J18))*참고!$I$9,0)</f>
        <v>1109</v>
      </c>
      <c r="Q18" s="34">
        <f>ROUND(
(($F18)*참고!$J$5)
+(($G18)*참고!$J$6)
+(($H18)*참고!$J$7)
+(($I18)*참고!$J$8)
+(($J18))*참고!$J$9,0)</f>
        <v>765</v>
      </c>
      <c r="R18" s="34">
        <f>IF(E18="공격형",(INDEX(몬스터계수[[#Data],[속도]],MATCH(E18, 몬스터계수[[#Data],[타입]],0),1)*속도핸들러_곱계수)*(INT(몬스터밸런스[[#This Row],[Lv]]/속도핸들러_합계수+1)),
IF(E18="방어형",(INDEX(몬스터계수[[#Data],[속도]],MATCH(E18, 몬스터계수[[#Data],[타입]],0),1)*속도핸들러_곱계수)*(INT(몬스터밸런스[[#This Row],[Lv]]/속도핸들러_합계수+1)),
IF(E18="회피형",(INDEX(몬스터계수[[#Data],[속도]],MATCH(E18, 몬스터계수[[#Data],[타입]],0),1)*속도핸들러_곱계수)*(INT(몬스터밸런스[[#This Row],[Lv]]/속도핸들러_합계수+1)),
IF(E18="기본형",(INDEX(몬스터계수[[#Data],[속도]],MATCH(E18, 몬스터계수[[#Data],[타입]],0),1)*속도핸들러_곱계수)*(INT(몬스터밸런스[[#This Row],[Lv]]/속도핸들러_합계수+1)),0))))</f>
        <v>0</v>
      </c>
      <c r="S18">
        <f t="shared" si="0"/>
        <v>204202</v>
      </c>
      <c r="U18">
        <v>4</v>
      </c>
      <c r="V18">
        <v>16</v>
      </c>
      <c r="W18">
        <f>$Z$1*몬스터밸런스9[[#This Row],[단계]]</f>
        <v>20</v>
      </c>
      <c r="X18" t="s">
        <v>65</v>
      </c>
      <c r="Y18">
        <v>0</v>
      </c>
      <c r="AE18" s="34"/>
      <c r="AF18" s="34">
        <f>몬스터밸런스[[#This Row],[Attack]]*0.5</f>
        <v>1702</v>
      </c>
      <c r="AG18" s="34"/>
      <c r="AH18" s="34"/>
      <c r="AI18" s="34"/>
      <c r="AJ18" s="34"/>
      <c r="AK18" s="34"/>
      <c r="AL18">
        <f t="shared" si="1"/>
        <v>27232</v>
      </c>
    </row>
    <row r="19" spans="1:38">
      <c r="A19">
        <v>160</v>
      </c>
      <c r="B19">
        <v>17</v>
      </c>
      <c r="C19">
        <f>$F$1*몬스터밸런스[[#This Row],[Lv]]+15</f>
        <v>815</v>
      </c>
      <c r="E19" t="s">
        <v>479</v>
      </c>
      <c r="F19">
        <f>IF(E19="공격형",INDEX(몬스터계수[[#Data],[생명계수]],MATCH(E19,몬스터계수[[#Data],[타입]],0),1)*C19,
IF(E19="방어형",INDEX(몬스터계수[[#Data],[생명계수]],MATCH(E19,몬스터계수[[#Data],[타입]],0),1)*C19,
IF(E19="회피형",INDEX(몬스터계수[[#Data],[생명계수]],MATCH(E19,몬스터계수[[#Data],[타입]],0),1)*C19,
IF(E19="체력형",INDEX(몬스터계수[[#Data],[생명계수]],MATCH(E19,몬스터계수[[#Data],[타입]],0),1)*C19,0))))*IF(몬스터밸런스[[#This Row],[보스]]=TRUE,2,1)</f>
        <v>407.5</v>
      </c>
      <c r="G19">
        <f>IF(E19="공격형",INDEX(몬스터계수[[#Data],[힘계수]],MATCH(E19, 몬스터계수[[#Data],[타입]],0),1)*C19,
IF(E19="방어형",INDEX(몬스터계수[[#Data],[힘계수]],MATCH(E19, 몬스터계수[[#Data],[타입]],0),1)*C19,
IF(E19="회피형",INDEX(몬스터계수[[#Data],[힘계수]],MATCH(E19, 몬스터계수[[#Data],[타입]],0),1)*C19,
IF(E19="체력형",INDEX(몬스터계수[[#Data],[힘계수]],MATCH(E19, 몬스터계수[[#Data],[타입]],0),1)*C19,0))))</f>
        <v>203.75</v>
      </c>
      <c r="H19">
        <f>IF(E19="공격형",INDEX(몬스터계수[[#Data],[근력게수]],MATCH(E19,몬스터계수[[#Data],[타입]],0),1)*C19,
IF(E19="방어형",INDEX(몬스터계수[[#Data],[근력게수]],MATCH(E19,몬스터계수[[#Data],[타입]],0),1)*C19,
IF(E19="회피형",INDEX(몬스터계수[[#Data],[근력게수]],MATCH(E19,몬스터계수[[#Data],[타입]],0),1)*C19,
IF(E19="체력형",INDEX(몬스터계수[[#Data],[근력게수]],MATCH(E19,몬스터계수[[#Data],[타입]],0),1)*C19,0))))</f>
        <v>40.75</v>
      </c>
      <c r="I19">
        <f>IF(E19="공격형",INDEX(몬스터계수[[#Data],[숙련도계수]],MATCH(E19,몬스터계수[[#Data],[타입]],0),1)*C19,
IF(E19="방어형",INDEX(몬스터계수[[#Data],[숙련도계수]],MATCH(E19,몬스터계수[[#Data],[타입]],0),1)*C19,
IF(E19="회피형",INDEX(몬스터계수[[#Data],[숙련도계수]],MATCH(E19,몬스터계수[[#Data],[타입]],0),1)*C19,
IF(E19="체력형",INDEX(몬스터계수[[#Data],[숙련도계수]],MATCH(E19,몬스터계수[[#Data],[타입]],0),1)*C19,0))))</f>
        <v>122.25</v>
      </c>
      <c r="J19">
        <f>IF(E19="공격형",INDEX(몬스터계수[[#Data],[행운계수]],MATCH(E19, 몬스터계수[[#Data],[타입]],0),1)*C19,
IF(E19="방어형",INDEX(몬스터계수[[#Data],[행운계수]],MATCH(E19, 몬스터계수[[#Data],[타입]],0),1)*C19,
IF(E19="회피형",INDEX(몬스터계수[[#Data],[행운계수]],MATCH(E19, 몬스터계수[[#Data],[타입]],0),1)*C19,
IF(E19="체력형",INDEX(몬스터계수[[#Data],[행운계수]],MATCH(E19, 몬스터계수[[#Data],[타입]],0),1)*C19,0))))</f>
        <v>40.75</v>
      </c>
      <c r="K19" s="34">
        <f>ROUND(
(($F19)*참고!$D$5)
+(($G19)*참고!$D$6)
+(($H19)*참고!$D$7)
+(($I19)*참고!$D$8)
+(($J19))*참고!$D$9,0)</f>
        <v>6337</v>
      </c>
      <c r="L19" s="34">
        <f>ROUND(
(($F19)*참고!$E$5)
+(($G19)*참고!$E$6)
+(($H19)*참고!$E$7)
+(($I19)*참고!$E$8)
+(($J19))*참고!$E$9,0)</f>
        <v>3627</v>
      </c>
      <c r="M19" s="34">
        <f>ROUND(
(($F19)*참고!$F$5)
+(($G19)*참고!$F$6)
+(($H19)*참고!$F$7)
+(($I19)*참고!$F$8)
+(($J19))*참고!$F$9,0)</f>
        <v>1019</v>
      </c>
      <c r="N19" s="34">
        <f>ROUND(
(($F19)*참고!$G$5)
+(($G19)*참고!$G$6)
+(($H19)*참고!$G$7)
+(($I19)*참고!$G$8)
+(($J19))*참고!$G$9,0)</f>
        <v>29</v>
      </c>
      <c r="O19" s="34">
        <f>ROUND(
(($F19)*참고!$H$5)
+(($G19)*참고!$H$6)
+(($H19)*참고!$H$7)
+(($I19)*참고!$H$8)
+(($J19))*참고!$H$9,0)</f>
        <v>672</v>
      </c>
      <c r="P19" s="34">
        <f>ROUND(
(($F19)*참고!$I$5)
+(($G19)*참고!$I$6)
+(($H19)*참고!$I$7)
+(($I19)*참고!$I$8)
+(($J19))*참고!$I$9,0)</f>
        <v>1182</v>
      </c>
      <c r="Q19" s="34">
        <f>ROUND(
(($F19)*참고!$J$5)
+(($G19)*참고!$J$6)
+(($H19)*참고!$J$7)
+(($I19)*참고!$J$8)
+(($J19))*참고!$J$9,0)</f>
        <v>815</v>
      </c>
      <c r="R19" s="34">
        <f>IF(E19="공격형",(INDEX(몬스터계수[[#Data],[속도]],MATCH(E19, 몬스터계수[[#Data],[타입]],0),1)*속도핸들러_곱계수)*(INT(몬스터밸런스[[#This Row],[Lv]]/속도핸들러_합계수+1)),
IF(E19="방어형",(INDEX(몬스터계수[[#Data],[속도]],MATCH(E19, 몬스터계수[[#Data],[타입]],0),1)*속도핸들러_곱계수)*(INT(몬스터밸런스[[#This Row],[Lv]]/속도핸들러_합계수+1)),
IF(E19="회피형",(INDEX(몬스터계수[[#Data],[속도]],MATCH(E19, 몬스터계수[[#Data],[타입]],0),1)*속도핸들러_곱계수)*(INT(몬스터밸런스[[#This Row],[Lv]]/속도핸들러_합계수+1)),
IF(E19="기본형",(INDEX(몬스터계수[[#Data],[속도]],MATCH(E19, 몬스터계수[[#Data],[타입]],0),1)*속도핸들러_곱계수)*(INT(몬스터밸런스[[#This Row],[Lv]]/속도핸들러_합계수+1)),0))))</f>
        <v>0</v>
      </c>
      <c r="S19">
        <f t="shared" si="0"/>
        <v>217574</v>
      </c>
      <c r="U19">
        <v>4</v>
      </c>
      <c r="V19">
        <v>17</v>
      </c>
      <c r="W19">
        <f>$Z$1*몬스터밸런스9[[#This Row],[단계]]</f>
        <v>20</v>
      </c>
      <c r="X19" t="s">
        <v>65</v>
      </c>
      <c r="Y19">
        <v>1</v>
      </c>
      <c r="AE19" s="34"/>
      <c r="AF19" s="34">
        <f>몬스터밸런스[[#This Row],[Attack]]*0.5</f>
        <v>1813.5</v>
      </c>
      <c r="AG19" s="34"/>
      <c r="AH19" s="34"/>
      <c r="AI19" s="34"/>
      <c r="AJ19" s="34"/>
      <c r="AK19" s="34"/>
      <c r="AL19">
        <f t="shared" si="1"/>
        <v>29016</v>
      </c>
    </row>
    <row r="20" spans="1:38">
      <c r="A20">
        <v>170</v>
      </c>
      <c r="B20">
        <v>18</v>
      </c>
      <c r="C20">
        <f>$F$1*몬스터밸런스[[#This Row],[Lv]]+15</f>
        <v>865</v>
      </c>
      <c r="E20" t="s">
        <v>479</v>
      </c>
      <c r="F20">
        <f>IF(E20="공격형",INDEX(몬스터계수[[#Data],[생명계수]],MATCH(E20,몬스터계수[[#Data],[타입]],0),1)*C20,
IF(E20="방어형",INDEX(몬스터계수[[#Data],[생명계수]],MATCH(E20,몬스터계수[[#Data],[타입]],0),1)*C20,
IF(E20="회피형",INDEX(몬스터계수[[#Data],[생명계수]],MATCH(E20,몬스터계수[[#Data],[타입]],0),1)*C20,
IF(E20="체력형",INDEX(몬스터계수[[#Data],[생명계수]],MATCH(E20,몬스터계수[[#Data],[타입]],0),1)*C20,0))))*IF(몬스터밸런스[[#This Row],[보스]]=TRUE,2,1)</f>
        <v>432.5</v>
      </c>
      <c r="G20">
        <f>IF(E20="공격형",INDEX(몬스터계수[[#Data],[힘계수]],MATCH(E20, 몬스터계수[[#Data],[타입]],0),1)*C20,
IF(E20="방어형",INDEX(몬스터계수[[#Data],[힘계수]],MATCH(E20, 몬스터계수[[#Data],[타입]],0),1)*C20,
IF(E20="회피형",INDEX(몬스터계수[[#Data],[힘계수]],MATCH(E20, 몬스터계수[[#Data],[타입]],0),1)*C20,
IF(E20="체력형",INDEX(몬스터계수[[#Data],[힘계수]],MATCH(E20, 몬스터계수[[#Data],[타입]],0),1)*C20,0))))</f>
        <v>216.25</v>
      </c>
      <c r="H20">
        <f>IF(E20="공격형",INDEX(몬스터계수[[#Data],[근력게수]],MATCH(E20,몬스터계수[[#Data],[타입]],0),1)*C20,
IF(E20="방어형",INDEX(몬스터계수[[#Data],[근력게수]],MATCH(E20,몬스터계수[[#Data],[타입]],0),1)*C20,
IF(E20="회피형",INDEX(몬스터계수[[#Data],[근력게수]],MATCH(E20,몬스터계수[[#Data],[타입]],0),1)*C20,
IF(E20="체력형",INDEX(몬스터계수[[#Data],[근력게수]],MATCH(E20,몬스터계수[[#Data],[타입]],0),1)*C20,0))))</f>
        <v>43.25</v>
      </c>
      <c r="I20">
        <f>IF(E20="공격형",INDEX(몬스터계수[[#Data],[숙련도계수]],MATCH(E20,몬스터계수[[#Data],[타입]],0),1)*C20,
IF(E20="방어형",INDEX(몬스터계수[[#Data],[숙련도계수]],MATCH(E20,몬스터계수[[#Data],[타입]],0),1)*C20,
IF(E20="회피형",INDEX(몬스터계수[[#Data],[숙련도계수]],MATCH(E20,몬스터계수[[#Data],[타입]],0),1)*C20,
IF(E20="체력형",INDEX(몬스터계수[[#Data],[숙련도계수]],MATCH(E20,몬스터계수[[#Data],[타입]],0),1)*C20,0))))</f>
        <v>129.75</v>
      </c>
      <c r="J20">
        <f>IF(E20="공격형",INDEX(몬스터계수[[#Data],[행운계수]],MATCH(E20, 몬스터계수[[#Data],[타입]],0),1)*C20,
IF(E20="방어형",INDEX(몬스터계수[[#Data],[행운계수]],MATCH(E20, 몬스터계수[[#Data],[타입]],0),1)*C20,
IF(E20="회피형",INDEX(몬스터계수[[#Data],[행운계수]],MATCH(E20, 몬스터계수[[#Data],[타입]],0),1)*C20,
IF(E20="체력형",INDEX(몬스터계수[[#Data],[행운계수]],MATCH(E20, 몬스터계수[[#Data],[타입]],0),1)*C20,0))))</f>
        <v>43.25</v>
      </c>
      <c r="K20" s="34">
        <f>ROUND(
(($F20)*참고!$D$5)
+(($G20)*참고!$D$6)
+(($H20)*참고!$D$7)
+(($I20)*참고!$D$8)
+(($J20))*참고!$D$9,0)</f>
        <v>6725</v>
      </c>
      <c r="L20" s="34">
        <f>ROUND(
(($F20)*참고!$E$5)
+(($G20)*참고!$E$6)
+(($H20)*참고!$E$7)
+(($I20)*참고!$E$8)
+(($J20))*참고!$E$9,0)</f>
        <v>3849</v>
      </c>
      <c r="M20" s="34">
        <f>ROUND(
(($F20)*참고!$F$5)
+(($G20)*참고!$F$6)
+(($H20)*참고!$F$7)
+(($I20)*참고!$F$8)
+(($J20))*참고!$F$9,0)</f>
        <v>1081</v>
      </c>
      <c r="N20" s="34">
        <f>ROUND(
(($F20)*참고!$G$5)
+(($G20)*참고!$G$6)
+(($H20)*참고!$G$7)
+(($I20)*참고!$G$8)
+(($J20))*참고!$G$9,0)</f>
        <v>30</v>
      </c>
      <c r="O20" s="34">
        <f>ROUND(
(($F20)*참고!$H$5)
+(($G20)*참고!$H$6)
+(($H20)*참고!$H$7)
+(($I20)*참고!$H$8)
+(($J20))*참고!$H$9,0)</f>
        <v>714</v>
      </c>
      <c r="P20" s="34">
        <f>ROUND(
(($F20)*참고!$I$5)
+(($G20)*참고!$I$6)
+(($H20)*참고!$I$7)
+(($I20)*참고!$I$8)
+(($J20))*참고!$I$9,0)</f>
        <v>1254</v>
      </c>
      <c r="Q20" s="34">
        <f>ROUND(
(($F20)*참고!$J$5)
+(($G20)*참고!$J$6)
+(($H20)*참고!$J$7)
+(($I20)*참고!$J$8)
+(($J20))*참고!$J$9,0)</f>
        <v>865</v>
      </c>
      <c r="R20" s="34">
        <f>IF(E20="공격형",(INDEX(몬스터계수[[#Data],[속도]],MATCH(E20, 몬스터계수[[#Data],[타입]],0),1)*속도핸들러_곱계수)*(INT(몬스터밸런스[[#This Row],[Lv]]/속도핸들러_합계수+1)),
IF(E20="방어형",(INDEX(몬스터계수[[#Data],[속도]],MATCH(E20, 몬스터계수[[#Data],[타입]],0),1)*속도핸들러_곱계수)*(INT(몬스터밸런스[[#This Row],[Lv]]/속도핸들러_합계수+1)),
IF(E20="회피형",(INDEX(몬스터계수[[#Data],[속도]],MATCH(E20, 몬스터계수[[#Data],[타입]],0),1)*속도핸들러_곱계수)*(INT(몬스터밸런스[[#This Row],[Lv]]/속도핸들러_합계수+1)),
IF(E20="기본형",(INDEX(몬스터계수[[#Data],[속도]],MATCH(E20, 몬스터계수[[#Data],[타입]],0),1)*속도핸들러_곱계수)*(INT(몬스터밸런스[[#This Row],[Lv]]/속도핸들러_합계수+1)),0))))</f>
        <v>0</v>
      </c>
      <c r="S20">
        <f t="shared" si="0"/>
        <v>230889.5</v>
      </c>
      <c r="U20">
        <v>4</v>
      </c>
      <c r="V20">
        <v>18</v>
      </c>
      <c r="W20">
        <f>$Z$1*몬스터밸런스9[[#This Row],[단계]]</f>
        <v>20</v>
      </c>
      <c r="X20" t="s">
        <v>65</v>
      </c>
      <c r="Y20">
        <v>2</v>
      </c>
      <c r="AE20" s="34"/>
      <c r="AF20" s="34">
        <f>몬스터밸런스[[#This Row],[Attack]]*0.5</f>
        <v>1924.5</v>
      </c>
      <c r="AG20" s="34"/>
      <c r="AH20" s="34"/>
      <c r="AI20" s="34"/>
      <c r="AJ20" s="34"/>
      <c r="AK20" s="34"/>
      <c r="AL20">
        <f t="shared" si="1"/>
        <v>30792</v>
      </c>
    </row>
    <row r="21" spans="1:38">
      <c r="A21">
        <v>180</v>
      </c>
      <c r="B21">
        <v>19</v>
      </c>
      <c r="C21">
        <f>$F$1*몬스터밸런스[[#This Row],[Lv]]+15</f>
        <v>915</v>
      </c>
      <c r="E21" t="s">
        <v>479</v>
      </c>
      <c r="F21">
        <f>IF(E21="공격형",INDEX(몬스터계수[[#Data],[생명계수]],MATCH(E21,몬스터계수[[#Data],[타입]],0),1)*C21,
IF(E21="방어형",INDEX(몬스터계수[[#Data],[생명계수]],MATCH(E21,몬스터계수[[#Data],[타입]],0),1)*C21,
IF(E21="회피형",INDEX(몬스터계수[[#Data],[생명계수]],MATCH(E21,몬스터계수[[#Data],[타입]],0),1)*C21,
IF(E21="체력형",INDEX(몬스터계수[[#Data],[생명계수]],MATCH(E21,몬스터계수[[#Data],[타입]],0),1)*C21,0))))*IF(몬스터밸런스[[#This Row],[보스]]=TRUE,2,1)</f>
        <v>457.5</v>
      </c>
      <c r="G21">
        <f>IF(E21="공격형",INDEX(몬스터계수[[#Data],[힘계수]],MATCH(E21, 몬스터계수[[#Data],[타입]],0),1)*C21,
IF(E21="방어형",INDEX(몬스터계수[[#Data],[힘계수]],MATCH(E21, 몬스터계수[[#Data],[타입]],0),1)*C21,
IF(E21="회피형",INDEX(몬스터계수[[#Data],[힘계수]],MATCH(E21, 몬스터계수[[#Data],[타입]],0),1)*C21,
IF(E21="체력형",INDEX(몬스터계수[[#Data],[힘계수]],MATCH(E21, 몬스터계수[[#Data],[타입]],0),1)*C21,0))))</f>
        <v>228.75</v>
      </c>
      <c r="H21">
        <f>IF(E21="공격형",INDEX(몬스터계수[[#Data],[근력게수]],MATCH(E21,몬스터계수[[#Data],[타입]],0),1)*C21,
IF(E21="방어형",INDEX(몬스터계수[[#Data],[근력게수]],MATCH(E21,몬스터계수[[#Data],[타입]],0),1)*C21,
IF(E21="회피형",INDEX(몬스터계수[[#Data],[근력게수]],MATCH(E21,몬스터계수[[#Data],[타입]],0),1)*C21,
IF(E21="체력형",INDEX(몬스터계수[[#Data],[근력게수]],MATCH(E21,몬스터계수[[#Data],[타입]],0),1)*C21,0))))</f>
        <v>45.75</v>
      </c>
      <c r="I21">
        <f>IF(E21="공격형",INDEX(몬스터계수[[#Data],[숙련도계수]],MATCH(E21,몬스터계수[[#Data],[타입]],0),1)*C21,
IF(E21="방어형",INDEX(몬스터계수[[#Data],[숙련도계수]],MATCH(E21,몬스터계수[[#Data],[타입]],0),1)*C21,
IF(E21="회피형",INDEX(몬스터계수[[#Data],[숙련도계수]],MATCH(E21,몬스터계수[[#Data],[타입]],0),1)*C21,
IF(E21="체력형",INDEX(몬스터계수[[#Data],[숙련도계수]],MATCH(E21,몬스터계수[[#Data],[타입]],0),1)*C21,0))))</f>
        <v>137.25</v>
      </c>
      <c r="J21">
        <f>IF(E21="공격형",INDEX(몬스터계수[[#Data],[행운계수]],MATCH(E21, 몬스터계수[[#Data],[타입]],0),1)*C21,
IF(E21="방어형",INDEX(몬스터계수[[#Data],[행운계수]],MATCH(E21, 몬스터계수[[#Data],[타입]],0),1)*C21,
IF(E21="회피형",INDEX(몬스터계수[[#Data],[행운계수]],MATCH(E21, 몬스터계수[[#Data],[타입]],0),1)*C21,
IF(E21="체력형",INDEX(몬스터계수[[#Data],[행운계수]],MATCH(E21, 몬스터계수[[#Data],[타입]],0),1)*C21,0))))</f>
        <v>45.75</v>
      </c>
      <c r="K21" s="34">
        <f>ROUND(
(($F21)*참고!$D$5)
+(($G21)*참고!$D$6)
+(($H21)*참고!$D$7)
+(($I21)*참고!$D$8)
+(($J21))*참고!$D$9,0)</f>
        <v>7114</v>
      </c>
      <c r="L21" s="34">
        <f>ROUND(
(($F21)*참고!$E$5)
+(($G21)*참고!$E$6)
+(($H21)*참고!$E$7)
+(($I21)*참고!$E$8)
+(($J21))*참고!$E$9,0)</f>
        <v>4072</v>
      </c>
      <c r="M21" s="34">
        <f>ROUND(
(($F21)*참고!$F$5)
+(($G21)*참고!$F$6)
+(($H21)*참고!$F$7)
+(($I21)*참고!$F$8)
+(($J21))*참고!$F$9,0)</f>
        <v>1144</v>
      </c>
      <c r="N21" s="34">
        <f>ROUND(
(($F21)*참고!$G$5)
+(($G21)*참고!$G$6)
+(($H21)*참고!$G$7)
+(($I21)*참고!$G$8)
+(($J21))*참고!$G$9,0)</f>
        <v>32</v>
      </c>
      <c r="O21" s="34">
        <f>ROUND(
(($F21)*참고!$H$5)
+(($G21)*참고!$H$6)
+(($H21)*참고!$H$7)
+(($I21)*참고!$H$8)
+(($J21))*참고!$H$9,0)</f>
        <v>755</v>
      </c>
      <c r="P21" s="34">
        <f>ROUND(
(($F21)*참고!$I$5)
+(($G21)*참고!$I$6)
+(($H21)*참고!$I$7)
+(($I21)*참고!$I$8)
+(($J21))*참고!$I$9,0)</f>
        <v>1327</v>
      </c>
      <c r="Q21" s="34">
        <f>ROUND(
(($F21)*참고!$J$5)
+(($G21)*참고!$J$6)
+(($H21)*참고!$J$7)
+(($I21)*참고!$J$8)
+(($J21))*참고!$J$9,0)</f>
        <v>915</v>
      </c>
      <c r="R21" s="34">
        <f>IF(E21="공격형",(INDEX(몬스터계수[[#Data],[속도]],MATCH(E21, 몬스터계수[[#Data],[타입]],0),1)*속도핸들러_곱계수)*(INT(몬스터밸런스[[#This Row],[Lv]]/속도핸들러_합계수+1)),
IF(E21="방어형",(INDEX(몬스터계수[[#Data],[속도]],MATCH(E21, 몬스터계수[[#Data],[타입]],0),1)*속도핸들러_곱계수)*(INT(몬스터밸런스[[#This Row],[Lv]]/속도핸들러_합계수+1)),
IF(E21="회피형",(INDEX(몬스터계수[[#Data],[속도]],MATCH(E21, 몬스터계수[[#Data],[타입]],0),1)*속도핸들러_곱계수)*(INT(몬스터밸런스[[#This Row],[Lv]]/속도핸들러_합계수+1)),
IF(E21="기본형",(INDEX(몬스터계수[[#Data],[속도]],MATCH(E21, 몬스터계수[[#Data],[타입]],0),1)*속도핸들러_곱계수)*(INT(몬스터밸런스[[#This Row],[Lv]]/속도핸들러_합계수+1)),0))))</f>
        <v>0</v>
      </c>
      <c r="S21">
        <f t="shared" si="0"/>
        <v>244261.5</v>
      </c>
      <c r="U21">
        <v>4</v>
      </c>
      <c r="V21">
        <v>19</v>
      </c>
      <c r="W21">
        <f>$Z$1*몬스터밸런스9[[#This Row],[단계]]</f>
        <v>20</v>
      </c>
      <c r="X21" t="s">
        <v>65</v>
      </c>
      <c r="Y21">
        <v>3</v>
      </c>
      <c r="AE21" s="34"/>
      <c r="AF21" s="34">
        <f>몬스터밸런스[[#This Row],[Attack]]*0.5</f>
        <v>2036</v>
      </c>
      <c r="AG21" s="34"/>
      <c r="AH21" s="34"/>
      <c r="AI21" s="34"/>
      <c r="AJ21" s="34"/>
      <c r="AK21" s="34"/>
      <c r="AL21">
        <f t="shared" si="1"/>
        <v>32576</v>
      </c>
    </row>
    <row r="22" spans="1:38">
      <c r="A22">
        <v>190</v>
      </c>
      <c r="B22">
        <v>20</v>
      </c>
      <c r="C22">
        <f>$F$1*몬스터밸런스[[#This Row],[Lv]]+15</f>
        <v>965</v>
      </c>
      <c r="E22" t="s">
        <v>479</v>
      </c>
      <c r="F22">
        <f>IF(E22="공격형",INDEX(몬스터계수[[#Data],[생명계수]],MATCH(E22,몬스터계수[[#Data],[타입]],0),1)*C22,
IF(E22="방어형",INDEX(몬스터계수[[#Data],[생명계수]],MATCH(E22,몬스터계수[[#Data],[타입]],0),1)*C22,
IF(E22="회피형",INDEX(몬스터계수[[#Data],[생명계수]],MATCH(E22,몬스터계수[[#Data],[타입]],0),1)*C22,
IF(E22="체력형",INDEX(몬스터계수[[#Data],[생명계수]],MATCH(E22,몬스터계수[[#Data],[타입]],0),1)*C22,0))))*IF(몬스터밸런스[[#This Row],[보스]]=TRUE,2,1)</f>
        <v>482.5</v>
      </c>
      <c r="G22">
        <f>IF(E22="공격형",INDEX(몬스터계수[[#Data],[힘계수]],MATCH(E22, 몬스터계수[[#Data],[타입]],0),1)*C22,
IF(E22="방어형",INDEX(몬스터계수[[#Data],[힘계수]],MATCH(E22, 몬스터계수[[#Data],[타입]],0),1)*C22,
IF(E22="회피형",INDEX(몬스터계수[[#Data],[힘계수]],MATCH(E22, 몬스터계수[[#Data],[타입]],0),1)*C22,
IF(E22="체력형",INDEX(몬스터계수[[#Data],[힘계수]],MATCH(E22, 몬스터계수[[#Data],[타입]],0),1)*C22,0))))</f>
        <v>241.25</v>
      </c>
      <c r="H22">
        <f>IF(E22="공격형",INDEX(몬스터계수[[#Data],[근력게수]],MATCH(E22,몬스터계수[[#Data],[타입]],0),1)*C22,
IF(E22="방어형",INDEX(몬스터계수[[#Data],[근력게수]],MATCH(E22,몬스터계수[[#Data],[타입]],0),1)*C22,
IF(E22="회피형",INDEX(몬스터계수[[#Data],[근력게수]],MATCH(E22,몬스터계수[[#Data],[타입]],0),1)*C22,
IF(E22="체력형",INDEX(몬스터계수[[#Data],[근력게수]],MATCH(E22,몬스터계수[[#Data],[타입]],0),1)*C22,0))))</f>
        <v>48.25</v>
      </c>
      <c r="I22">
        <f>IF(E22="공격형",INDEX(몬스터계수[[#Data],[숙련도계수]],MATCH(E22,몬스터계수[[#Data],[타입]],0),1)*C22,
IF(E22="방어형",INDEX(몬스터계수[[#Data],[숙련도계수]],MATCH(E22,몬스터계수[[#Data],[타입]],0),1)*C22,
IF(E22="회피형",INDEX(몬스터계수[[#Data],[숙련도계수]],MATCH(E22,몬스터계수[[#Data],[타입]],0),1)*C22,
IF(E22="체력형",INDEX(몬스터계수[[#Data],[숙련도계수]],MATCH(E22,몬스터계수[[#Data],[타입]],0),1)*C22,0))))</f>
        <v>144.75</v>
      </c>
      <c r="J22">
        <f>IF(E22="공격형",INDEX(몬스터계수[[#Data],[행운계수]],MATCH(E22, 몬스터계수[[#Data],[타입]],0),1)*C22,
IF(E22="방어형",INDEX(몬스터계수[[#Data],[행운계수]],MATCH(E22, 몬스터계수[[#Data],[타입]],0),1)*C22,
IF(E22="회피형",INDEX(몬스터계수[[#Data],[행운계수]],MATCH(E22, 몬스터계수[[#Data],[타입]],0),1)*C22,
IF(E22="체력형",INDEX(몬스터계수[[#Data],[행운계수]],MATCH(E22, 몬스터계수[[#Data],[타입]],0),1)*C22,0))))</f>
        <v>48.25</v>
      </c>
      <c r="K22" s="34">
        <f>ROUND(
(($F22)*참고!$D$5)
+(($G22)*참고!$D$6)
+(($H22)*참고!$D$7)
+(($I22)*참고!$D$8)
+(($J22))*참고!$D$9,0)</f>
        <v>7503</v>
      </c>
      <c r="L22" s="34">
        <f>ROUND(
(($F22)*참고!$E$5)
+(($G22)*참고!$E$6)
+(($H22)*참고!$E$7)
+(($I22)*참고!$E$8)
+(($J22))*참고!$E$9,0)</f>
        <v>4294</v>
      </c>
      <c r="M22" s="34">
        <f>ROUND(
(($F22)*참고!$F$5)
+(($G22)*참고!$F$6)
+(($H22)*참고!$F$7)
+(($I22)*참고!$F$8)
+(($J22))*참고!$F$9,0)</f>
        <v>1206</v>
      </c>
      <c r="N22" s="34">
        <f>ROUND(
(($F22)*참고!$G$5)
+(($G22)*참고!$G$6)
+(($H22)*참고!$G$7)
+(($I22)*참고!$G$8)
+(($J22))*참고!$G$9,0)</f>
        <v>34</v>
      </c>
      <c r="O22" s="34">
        <f>ROUND(
(($F22)*참고!$H$5)
+(($G22)*참고!$H$6)
+(($H22)*참고!$H$7)
+(($I22)*참고!$H$8)
+(($J22))*참고!$H$9,0)</f>
        <v>796</v>
      </c>
      <c r="P22" s="34">
        <f>ROUND(
(($F22)*참고!$I$5)
+(($G22)*참고!$I$6)
+(($H22)*참고!$I$7)
+(($I22)*참고!$I$8)
+(($J22))*참고!$I$9,0)</f>
        <v>1399</v>
      </c>
      <c r="Q22" s="34">
        <f>ROUND(
(($F22)*참고!$J$5)
+(($G22)*참고!$J$6)
+(($H22)*참고!$J$7)
+(($I22)*참고!$J$8)
+(($J22))*참고!$J$9,0)</f>
        <v>965</v>
      </c>
      <c r="R22" s="34">
        <f>IF(E22="공격형",(INDEX(몬스터계수[[#Data],[속도]],MATCH(E22, 몬스터계수[[#Data],[타입]],0),1)*속도핸들러_곱계수)*(INT(몬스터밸런스[[#This Row],[Lv]]/속도핸들러_합계수+1)),
IF(E22="방어형",(INDEX(몬스터계수[[#Data],[속도]],MATCH(E22, 몬스터계수[[#Data],[타입]],0),1)*속도핸들러_곱계수)*(INT(몬스터밸런스[[#This Row],[Lv]]/속도핸들러_합계수+1)),
IF(E22="회피형",(INDEX(몬스터계수[[#Data],[속도]],MATCH(E22, 몬스터계수[[#Data],[타입]],0),1)*속도핸들러_곱계수)*(INT(몬스터밸런스[[#This Row],[Lv]]/속도핸들러_합계수+1)),
IF(E22="기본형",(INDEX(몬스터계수[[#Data],[속도]],MATCH(E22, 몬스터계수[[#Data],[타입]],0),1)*속도핸들러_곱계수)*(INT(몬스터밸런스[[#This Row],[Lv]]/속도핸들러_합계수+1)),0))))</f>
        <v>0</v>
      </c>
      <c r="S22">
        <f t="shared" si="0"/>
        <v>257590.5</v>
      </c>
      <c r="U22">
        <v>4</v>
      </c>
      <c r="V22">
        <v>20</v>
      </c>
      <c r="W22">
        <f>$Z$1*몬스터밸런스9[[#This Row],[단계]]</f>
        <v>20</v>
      </c>
      <c r="X22" t="s">
        <v>65</v>
      </c>
      <c r="Y22">
        <v>4</v>
      </c>
      <c r="AE22" s="34"/>
      <c r="AF22" s="34">
        <f>몬스터밸런스[[#This Row],[Attack]]*0.5</f>
        <v>2147</v>
      </c>
      <c r="AG22" s="34"/>
      <c r="AH22" s="34"/>
      <c r="AI22" s="34"/>
      <c r="AJ22" s="34"/>
      <c r="AK22" s="34"/>
      <c r="AL22">
        <f t="shared" si="1"/>
        <v>34352</v>
      </c>
    </row>
    <row r="23" spans="1:38">
      <c r="A23">
        <v>200</v>
      </c>
      <c r="B23">
        <v>21</v>
      </c>
      <c r="C23">
        <f>$F$1*몬스터밸런스[[#This Row],[Lv]]+15</f>
        <v>1015</v>
      </c>
      <c r="E23" t="s">
        <v>479</v>
      </c>
      <c r="F23">
        <f>IF(E23="공격형",INDEX(몬스터계수[[#Data],[생명계수]],MATCH(E23,몬스터계수[[#Data],[타입]],0),1)*C23,
IF(E23="방어형",INDEX(몬스터계수[[#Data],[생명계수]],MATCH(E23,몬스터계수[[#Data],[타입]],0),1)*C23,
IF(E23="회피형",INDEX(몬스터계수[[#Data],[생명계수]],MATCH(E23,몬스터계수[[#Data],[타입]],0),1)*C23,
IF(E23="체력형",INDEX(몬스터계수[[#Data],[생명계수]],MATCH(E23,몬스터계수[[#Data],[타입]],0),1)*C23,0))))*IF(몬스터밸런스[[#This Row],[보스]]=TRUE,2,1)</f>
        <v>507.5</v>
      </c>
      <c r="G23">
        <f>IF(E23="공격형",INDEX(몬스터계수[[#Data],[힘계수]],MATCH(E23, 몬스터계수[[#Data],[타입]],0),1)*C23,
IF(E23="방어형",INDEX(몬스터계수[[#Data],[힘계수]],MATCH(E23, 몬스터계수[[#Data],[타입]],0),1)*C23,
IF(E23="회피형",INDEX(몬스터계수[[#Data],[힘계수]],MATCH(E23, 몬스터계수[[#Data],[타입]],0),1)*C23,
IF(E23="체력형",INDEX(몬스터계수[[#Data],[힘계수]],MATCH(E23, 몬스터계수[[#Data],[타입]],0),1)*C23,0))))</f>
        <v>253.75</v>
      </c>
      <c r="H23">
        <f>IF(E23="공격형",INDEX(몬스터계수[[#Data],[근력게수]],MATCH(E23,몬스터계수[[#Data],[타입]],0),1)*C23,
IF(E23="방어형",INDEX(몬스터계수[[#Data],[근력게수]],MATCH(E23,몬스터계수[[#Data],[타입]],0),1)*C23,
IF(E23="회피형",INDEX(몬스터계수[[#Data],[근력게수]],MATCH(E23,몬스터계수[[#Data],[타입]],0),1)*C23,
IF(E23="체력형",INDEX(몬스터계수[[#Data],[근력게수]],MATCH(E23,몬스터계수[[#Data],[타입]],0),1)*C23,0))))</f>
        <v>50.75</v>
      </c>
      <c r="I23">
        <f>IF(E23="공격형",INDEX(몬스터계수[[#Data],[숙련도계수]],MATCH(E23,몬스터계수[[#Data],[타입]],0),1)*C23,
IF(E23="방어형",INDEX(몬스터계수[[#Data],[숙련도계수]],MATCH(E23,몬스터계수[[#Data],[타입]],0),1)*C23,
IF(E23="회피형",INDEX(몬스터계수[[#Data],[숙련도계수]],MATCH(E23,몬스터계수[[#Data],[타입]],0),1)*C23,
IF(E23="체력형",INDEX(몬스터계수[[#Data],[숙련도계수]],MATCH(E23,몬스터계수[[#Data],[타입]],0),1)*C23,0))))</f>
        <v>152.25</v>
      </c>
      <c r="J23">
        <f>IF(E23="공격형",INDEX(몬스터계수[[#Data],[행운계수]],MATCH(E23, 몬스터계수[[#Data],[타입]],0),1)*C23,
IF(E23="방어형",INDEX(몬스터계수[[#Data],[행운계수]],MATCH(E23, 몬스터계수[[#Data],[타입]],0),1)*C23,
IF(E23="회피형",INDEX(몬스터계수[[#Data],[행운계수]],MATCH(E23, 몬스터계수[[#Data],[타입]],0),1)*C23,
IF(E23="체력형",INDEX(몬스터계수[[#Data],[행운계수]],MATCH(E23, 몬스터계수[[#Data],[타입]],0),1)*C23,0))))</f>
        <v>50.75</v>
      </c>
      <c r="K23" s="34">
        <f>ROUND(
(($F23)*참고!$D$5)
+(($G23)*참고!$D$6)
+(($H23)*참고!$D$7)
+(($I23)*참고!$D$8)
+(($J23))*참고!$D$9,0)</f>
        <v>7892</v>
      </c>
      <c r="L23" s="34">
        <f>ROUND(
(($F23)*참고!$E$5)
+(($G23)*참고!$E$6)
+(($H23)*참고!$E$7)
+(($I23)*참고!$E$8)
+(($J23))*참고!$E$9,0)</f>
        <v>4517</v>
      </c>
      <c r="M23" s="34">
        <f>ROUND(
(($F23)*참고!$F$5)
+(($G23)*참고!$F$6)
+(($H23)*참고!$F$7)
+(($I23)*참고!$F$8)
+(($J23))*참고!$F$9,0)</f>
        <v>1269</v>
      </c>
      <c r="N23" s="34">
        <f>ROUND(
(($F23)*참고!$G$5)
+(($G23)*참고!$G$6)
+(($H23)*참고!$G$7)
+(($I23)*참고!$G$8)
+(($J23))*참고!$G$9,0)</f>
        <v>36</v>
      </c>
      <c r="O23" s="34">
        <f>ROUND(
(($F23)*참고!$H$5)
+(($G23)*참고!$H$6)
+(($H23)*참고!$H$7)
+(($I23)*참고!$H$8)
+(($J23))*참고!$H$9,0)</f>
        <v>837</v>
      </c>
      <c r="P23" s="34">
        <f>ROUND(
(($F23)*참고!$I$5)
+(($G23)*참고!$I$6)
+(($H23)*참고!$I$7)
+(($I23)*참고!$I$8)
+(($J23))*참고!$I$9,0)</f>
        <v>1472</v>
      </c>
      <c r="Q23" s="34">
        <f>ROUND(
(($F23)*참고!$J$5)
+(($G23)*참고!$J$6)
+(($H23)*참고!$J$7)
+(($I23)*참고!$J$8)
+(($J23))*참고!$J$9,0)</f>
        <v>1015</v>
      </c>
      <c r="R23" s="34">
        <f>IF(E23="공격형",(INDEX(몬스터계수[[#Data],[속도]],MATCH(E23, 몬스터계수[[#Data],[타입]],0),1)*속도핸들러_곱계수)*(INT(몬스터밸런스[[#This Row],[Lv]]/속도핸들러_합계수+1)),
IF(E23="방어형",(INDEX(몬스터계수[[#Data],[속도]],MATCH(E23, 몬스터계수[[#Data],[타입]],0),1)*속도핸들러_곱계수)*(INT(몬스터밸런스[[#This Row],[Lv]]/속도핸들러_합계수+1)),
IF(E23="회피형",(INDEX(몬스터계수[[#Data],[속도]],MATCH(E23, 몬스터계수[[#Data],[타입]],0),1)*속도핸들러_곱계수)*(INT(몬스터밸런스[[#This Row],[Lv]]/속도핸들러_합계수+1)),
IF(E23="기본형",(INDEX(몬스터계수[[#Data],[속도]],MATCH(E23, 몬스터계수[[#Data],[타입]],0),1)*속도핸들러_곱계수)*(INT(몬스터밸런스[[#This Row],[Lv]]/속도핸들러_합계수+1)),0))))</f>
        <v>0</v>
      </c>
      <c r="S23">
        <f t="shared" si="0"/>
        <v>270962.5</v>
      </c>
      <c r="U23">
        <v>5</v>
      </c>
      <c r="V23">
        <v>21</v>
      </c>
      <c r="W23">
        <f>$Z$1*몬스터밸런스9[[#This Row],[단계]]</f>
        <v>25</v>
      </c>
      <c r="X23" t="s">
        <v>65</v>
      </c>
      <c r="Y23">
        <v>0</v>
      </c>
      <c r="AE23" s="34"/>
      <c r="AF23" s="34">
        <f>몬스터밸런스[[#This Row],[Attack]]*0.5</f>
        <v>2258.5</v>
      </c>
      <c r="AG23" s="34"/>
      <c r="AH23" s="34"/>
      <c r="AI23" s="34"/>
      <c r="AJ23" s="34"/>
      <c r="AK23" s="34"/>
      <c r="AL23">
        <f t="shared" si="1"/>
        <v>36136</v>
      </c>
    </row>
    <row r="24" spans="1:38">
      <c r="A24">
        <v>210</v>
      </c>
      <c r="B24">
        <v>22</v>
      </c>
      <c r="C24">
        <f>$F$1*몬스터밸런스[[#This Row],[Lv]]+15</f>
        <v>1065</v>
      </c>
      <c r="E24" t="s">
        <v>479</v>
      </c>
      <c r="F24">
        <f>IF(E24="공격형",INDEX(몬스터계수[[#Data],[생명계수]],MATCH(E24,몬스터계수[[#Data],[타입]],0),1)*C24,
IF(E24="방어형",INDEX(몬스터계수[[#Data],[생명계수]],MATCH(E24,몬스터계수[[#Data],[타입]],0),1)*C24,
IF(E24="회피형",INDEX(몬스터계수[[#Data],[생명계수]],MATCH(E24,몬스터계수[[#Data],[타입]],0),1)*C24,
IF(E24="체력형",INDEX(몬스터계수[[#Data],[생명계수]],MATCH(E24,몬스터계수[[#Data],[타입]],0),1)*C24,0))))*IF(몬스터밸런스[[#This Row],[보스]]=TRUE,2,1)</f>
        <v>532.5</v>
      </c>
      <c r="G24">
        <f>IF(E24="공격형",INDEX(몬스터계수[[#Data],[힘계수]],MATCH(E24, 몬스터계수[[#Data],[타입]],0),1)*C24,
IF(E24="방어형",INDEX(몬스터계수[[#Data],[힘계수]],MATCH(E24, 몬스터계수[[#Data],[타입]],0),1)*C24,
IF(E24="회피형",INDEX(몬스터계수[[#Data],[힘계수]],MATCH(E24, 몬스터계수[[#Data],[타입]],0),1)*C24,
IF(E24="체력형",INDEX(몬스터계수[[#Data],[힘계수]],MATCH(E24, 몬스터계수[[#Data],[타입]],0),1)*C24,0))))</f>
        <v>266.25</v>
      </c>
      <c r="H24">
        <f>IF(E24="공격형",INDEX(몬스터계수[[#Data],[근력게수]],MATCH(E24,몬스터계수[[#Data],[타입]],0),1)*C24,
IF(E24="방어형",INDEX(몬스터계수[[#Data],[근력게수]],MATCH(E24,몬스터계수[[#Data],[타입]],0),1)*C24,
IF(E24="회피형",INDEX(몬스터계수[[#Data],[근력게수]],MATCH(E24,몬스터계수[[#Data],[타입]],0),1)*C24,
IF(E24="체력형",INDEX(몬스터계수[[#Data],[근력게수]],MATCH(E24,몬스터계수[[#Data],[타입]],0),1)*C24,0))))</f>
        <v>53.25</v>
      </c>
      <c r="I24">
        <f>IF(E24="공격형",INDEX(몬스터계수[[#Data],[숙련도계수]],MATCH(E24,몬스터계수[[#Data],[타입]],0),1)*C24,
IF(E24="방어형",INDEX(몬스터계수[[#Data],[숙련도계수]],MATCH(E24,몬스터계수[[#Data],[타입]],0),1)*C24,
IF(E24="회피형",INDEX(몬스터계수[[#Data],[숙련도계수]],MATCH(E24,몬스터계수[[#Data],[타입]],0),1)*C24,
IF(E24="체력형",INDEX(몬스터계수[[#Data],[숙련도계수]],MATCH(E24,몬스터계수[[#Data],[타입]],0),1)*C24,0))))</f>
        <v>159.75</v>
      </c>
      <c r="J24">
        <f>IF(E24="공격형",INDEX(몬스터계수[[#Data],[행운계수]],MATCH(E24, 몬스터계수[[#Data],[타입]],0),1)*C24,
IF(E24="방어형",INDEX(몬스터계수[[#Data],[행운계수]],MATCH(E24, 몬스터계수[[#Data],[타입]],0),1)*C24,
IF(E24="회피형",INDEX(몬스터계수[[#Data],[행운계수]],MATCH(E24, 몬스터계수[[#Data],[타입]],0),1)*C24,
IF(E24="체력형",INDEX(몬스터계수[[#Data],[행운계수]],MATCH(E24, 몬스터계수[[#Data],[타입]],0),1)*C24,0))))</f>
        <v>53.25</v>
      </c>
      <c r="K24" s="34">
        <f>ROUND(
(($F24)*참고!$D$5)
+(($G24)*참고!$D$6)
+(($H24)*참고!$D$7)
+(($I24)*참고!$D$8)
+(($J24))*참고!$D$9,0)</f>
        <v>8280</v>
      </c>
      <c r="L24" s="34">
        <f>ROUND(
(($F24)*참고!$E$5)
+(($G24)*참고!$E$6)
+(($H24)*참고!$E$7)
+(($I24)*참고!$E$8)
+(($J24))*참고!$E$9,0)</f>
        <v>4739</v>
      </c>
      <c r="M24" s="34">
        <f>ROUND(
(($F24)*참고!$F$5)
+(($G24)*참고!$F$6)
+(($H24)*참고!$F$7)
+(($I24)*참고!$F$8)
+(($J24))*참고!$F$9,0)</f>
        <v>1331</v>
      </c>
      <c r="N24" s="34">
        <f>ROUND(
(($F24)*참고!$G$5)
+(($G24)*참고!$G$6)
+(($H24)*참고!$G$7)
+(($I24)*참고!$G$8)
+(($J24))*참고!$G$9,0)</f>
        <v>37</v>
      </c>
      <c r="O24" s="34">
        <f>ROUND(
(($F24)*참고!$H$5)
+(($G24)*참고!$H$6)
+(($H24)*참고!$H$7)
+(($I24)*참고!$H$8)
+(($J24))*참고!$H$9,0)</f>
        <v>879</v>
      </c>
      <c r="P24" s="34">
        <f>ROUND(
(($F24)*참고!$I$5)
+(($G24)*참고!$I$6)
+(($H24)*참고!$I$7)
+(($I24)*참고!$I$8)
+(($J24))*참고!$I$9,0)</f>
        <v>1544</v>
      </c>
      <c r="Q24" s="34">
        <f>ROUND(
(($F24)*참고!$J$5)
+(($G24)*참고!$J$6)
+(($H24)*참고!$J$7)
+(($I24)*참고!$J$8)
+(($J24))*참고!$J$9,0)</f>
        <v>1065</v>
      </c>
      <c r="R24" s="34">
        <f>IF(E24="공격형",(INDEX(몬스터계수[[#Data],[속도]],MATCH(E24, 몬스터계수[[#Data],[타입]],0),1)*속도핸들러_곱계수)*(INT(몬스터밸런스[[#This Row],[Lv]]/속도핸들러_합계수+1)),
IF(E24="방어형",(INDEX(몬스터계수[[#Data],[속도]],MATCH(E24, 몬스터계수[[#Data],[타입]],0),1)*속도핸들러_곱계수)*(INT(몬스터밸런스[[#This Row],[Lv]]/속도핸들러_합계수+1)),
IF(E24="회피형",(INDEX(몬스터계수[[#Data],[속도]],MATCH(E24, 몬스터계수[[#Data],[타입]],0),1)*속도핸들러_곱계수)*(INT(몬스터밸런스[[#This Row],[Lv]]/속도핸들러_합계수+1)),
IF(E24="기본형",(INDEX(몬스터계수[[#Data],[속도]],MATCH(E24, 몬스터계수[[#Data],[타입]],0),1)*속도핸들러_곱계수)*(INT(몬스터밸런스[[#This Row],[Lv]]/속도핸들러_합계수+1)),0))))</f>
        <v>0</v>
      </c>
      <c r="S24">
        <f t="shared" si="0"/>
        <v>284278</v>
      </c>
      <c r="U24">
        <v>5</v>
      </c>
      <c r="V24">
        <v>22</v>
      </c>
      <c r="W24">
        <f>$Z$1*몬스터밸런스9[[#This Row],[단계]]</f>
        <v>25</v>
      </c>
      <c r="X24" t="s">
        <v>65</v>
      </c>
      <c r="Y24">
        <v>1</v>
      </c>
      <c r="AE24" s="34"/>
      <c r="AF24" s="34">
        <f>몬스터밸런스[[#This Row],[Attack]]*0.5</f>
        <v>2369.5</v>
      </c>
      <c r="AG24" s="34"/>
      <c r="AH24" s="34"/>
      <c r="AI24" s="34"/>
      <c r="AJ24" s="34"/>
      <c r="AK24" s="34"/>
      <c r="AL24">
        <f t="shared" si="1"/>
        <v>37912</v>
      </c>
    </row>
    <row r="25" spans="1:38">
      <c r="A25">
        <v>220</v>
      </c>
      <c r="B25">
        <v>23</v>
      </c>
      <c r="C25">
        <f>$F$1*몬스터밸런스[[#This Row],[Lv]]+15</f>
        <v>1115</v>
      </c>
      <c r="E25" t="s">
        <v>479</v>
      </c>
      <c r="F25">
        <f>IF(E25="공격형",INDEX(몬스터계수[[#Data],[생명계수]],MATCH(E25,몬스터계수[[#Data],[타입]],0),1)*C25,
IF(E25="방어형",INDEX(몬스터계수[[#Data],[생명계수]],MATCH(E25,몬스터계수[[#Data],[타입]],0),1)*C25,
IF(E25="회피형",INDEX(몬스터계수[[#Data],[생명계수]],MATCH(E25,몬스터계수[[#Data],[타입]],0),1)*C25,
IF(E25="체력형",INDEX(몬스터계수[[#Data],[생명계수]],MATCH(E25,몬스터계수[[#Data],[타입]],0),1)*C25,0))))*IF(몬스터밸런스[[#This Row],[보스]]=TRUE,2,1)</f>
        <v>557.5</v>
      </c>
      <c r="G25">
        <f>IF(E25="공격형",INDEX(몬스터계수[[#Data],[힘계수]],MATCH(E25, 몬스터계수[[#Data],[타입]],0),1)*C25,
IF(E25="방어형",INDEX(몬스터계수[[#Data],[힘계수]],MATCH(E25, 몬스터계수[[#Data],[타입]],0),1)*C25,
IF(E25="회피형",INDEX(몬스터계수[[#Data],[힘계수]],MATCH(E25, 몬스터계수[[#Data],[타입]],0),1)*C25,
IF(E25="체력형",INDEX(몬스터계수[[#Data],[힘계수]],MATCH(E25, 몬스터계수[[#Data],[타입]],0),1)*C25,0))))</f>
        <v>278.75</v>
      </c>
      <c r="H25">
        <f>IF(E25="공격형",INDEX(몬스터계수[[#Data],[근력게수]],MATCH(E25,몬스터계수[[#Data],[타입]],0),1)*C25,
IF(E25="방어형",INDEX(몬스터계수[[#Data],[근력게수]],MATCH(E25,몬스터계수[[#Data],[타입]],0),1)*C25,
IF(E25="회피형",INDEX(몬스터계수[[#Data],[근력게수]],MATCH(E25,몬스터계수[[#Data],[타입]],0),1)*C25,
IF(E25="체력형",INDEX(몬스터계수[[#Data],[근력게수]],MATCH(E25,몬스터계수[[#Data],[타입]],0),1)*C25,0))))</f>
        <v>55.75</v>
      </c>
      <c r="I25">
        <f>IF(E25="공격형",INDEX(몬스터계수[[#Data],[숙련도계수]],MATCH(E25,몬스터계수[[#Data],[타입]],0),1)*C25,
IF(E25="방어형",INDEX(몬스터계수[[#Data],[숙련도계수]],MATCH(E25,몬스터계수[[#Data],[타입]],0),1)*C25,
IF(E25="회피형",INDEX(몬스터계수[[#Data],[숙련도계수]],MATCH(E25,몬스터계수[[#Data],[타입]],0),1)*C25,
IF(E25="체력형",INDEX(몬스터계수[[#Data],[숙련도계수]],MATCH(E25,몬스터계수[[#Data],[타입]],0),1)*C25,0))))</f>
        <v>167.25</v>
      </c>
      <c r="J25">
        <f>IF(E25="공격형",INDEX(몬스터계수[[#Data],[행운계수]],MATCH(E25, 몬스터계수[[#Data],[타입]],0),1)*C25,
IF(E25="방어형",INDEX(몬스터계수[[#Data],[행운계수]],MATCH(E25, 몬스터계수[[#Data],[타입]],0),1)*C25,
IF(E25="회피형",INDEX(몬스터계수[[#Data],[행운계수]],MATCH(E25, 몬스터계수[[#Data],[타입]],0),1)*C25,
IF(E25="체력형",INDEX(몬스터계수[[#Data],[행운계수]],MATCH(E25, 몬스터계수[[#Data],[타입]],0),1)*C25,0))))</f>
        <v>55.75</v>
      </c>
      <c r="K25" s="34">
        <f>ROUND(
(($F25)*참고!$D$5)
+(($G25)*참고!$D$6)
+(($H25)*참고!$D$7)
+(($I25)*참고!$D$8)
+(($J25))*참고!$D$9,0)</f>
        <v>8669</v>
      </c>
      <c r="L25" s="34">
        <f>ROUND(
(($F25)*참고!$E$5)
+(($G25)*참고!$E$6)
+(($H25)*참고!$E$7)
+(($I25)*참고!$E$8)
+(($J25))*참고!$E$9,0)</f>
        <v>4962</v>
      </c>
      <c r="M25" s="34">
        <f>ROUND(
(($F25)*참고!$F$5)
+(($G25)*참고!$F$6)
+(($H25)*참고!$F$7)
+(($I25)*참고!$F$8)
+(($J25))*참고!$F$9,0)</f>
        <v>1394</v>
      </c>
      <c r="N25" s="34">
        <f>ROUND(
(($F25)*참고!$G$5)
+(($G25)*참고!$G$6)
+(($H25)*참고!$G$7)
+(($I25)*참고!$G$8)
+(($J25))*참고!$G$9,0)</f>
        <v>39</v>
      </c>
      <c r="O25" s="34">
        <f>ROUND(
(($F25)*참고!$H$5)
+(($G25)*참고!$H$6)
+(($H25)*참고!$H$7)
+(($I25)*참고!$H$8)
+(($J25))*참고!$H$9,0)</f>
        <v>920</v>
      </c>
      <c r="P25" s="34">
        <f>ROUND(
(($F25)*참고!$I$5)
+(($G25)*참고!$I$6)
+(($H25)*참고!$I$7)
+(($I25)*참고!$I$8)
+(($J25))*참고!$I$9,0)</f>
        <v>1617</v>
      </c>
      <c r="Q25" s="34">
        <f>ROUND(
(($F25)*참고!$J$5)
+(($G25)*참고!$J$6)
+(($H25)*참고!$J$7)
+(($I25)*참고!$J$8)
+(($J25))*참고!$J$9,0)</f>
        <v>1115</v>
      </c>
      <c r="R25" s="34">
        <f>IF(E25="공격형",(INDEX(몬스터계수[[#Data],[속도]],MATCH(E25, 몬스터계수[[#Data],[타입]],0),1)*속도핸들러_곱계수)*(INT(몬스터밸런스[[#This Row],[Lv]]/속도핸들러_합계수+1)),
IF(E25="방어형",(INDEX(몬스터계수[[#Data],[속도]],MATCH(E25, 몬스터계수[[#Data],[타입]],0),1)*속도핸들러_곱계수)*(INT(몬스터밸런스[[#This Row],[Lv]]/속도핸들러_합계수+1)),
IF(E25="회피형",(INDEX(몬스터계수[[#Data],[속도]],MATCH(E25, 몬스터계수[[#Data],[타입]],0),1)*속도핸들러_곱계수)*(INT(몬스터밸런스[[#This Row],[Lv]]/속도핸들러_합계수+1)),
IF(E25="기본형",(INDEX(몬스터계수[[#Data],[속도]],MATCH(E25, 몬스터계수[[#Data],[타입]],0),1)*속도핸들러_곱계수)*(INT(몬스터밸런스[[#This Row],[Lv]]/속도핸들러_합계수+1)),0))))</f>
        <v>0</v>
      </c>
      <c r="S25">
        <f t="shared" si="0"/>
        <v>297650</v>
      </c>
      <c r="U25">
        <v>5</v>
      </c>
      <c r="V25">
        <v>23</v>
      </c>
      <c r="W25">
        <f>$Z$1*몬스터밸런스9[[#This Row],[단계]]</f>
        <v>25</v>
      </c>
      <c r="X25" t="s">
        <v>65</v>
      </c>
      <c r="Y25">
        <v>2</v>
      </c>
      <c r="AE25" s="34"/>
      <c r="AF25" s="34">
        <f>몬스터밸런스[[#This Row],[Attack]]*0.5</f>
        <v>2481</v>
      </c>
      <c r="AG25" s="34"/>
      <c r="AH25" s="34"/>
      <c r="AI25" s="34"/>
      <c r="AJ25" s="34"/>
      <c r="AK25" s="34"/>
      <c r="AL25">
        <f t="shared" si="1"/>
        <v>39696</v>
      </c>
    </row>
    <row r="26" spans="1:38">
      <c r="A26">
        <v>230</v>
      </c>
      <c r="B26">
        <v>24</v>
      </c>
      <c r="C26">
        <f>$F$1*몬스터밸런스[[#This Row],[Lv]]+15</f>
        <v>1165</v>
      </c>
      <c r="E26" t="s">
        <v>479</v>
      </c>
      <c r="F26">
        <f>IF(E26="공격형",INDEX(몬스터계수[[#Data],[생명계수]],MATCH(E26,몬스터계수[[#Data],[타입]],0),1)*C26,
IF(E26="방어형",INDEX(몬스터계수[[#Data],[생명계수]],MATCH(E26,몬스터계수[[#Data],[타입]],0),1)*C26,
IF(E26="회피형",INDEX(몬스터계수[[#Data],[생명계수]],MATCH(E26,몬스터계수[[#Data],[타입]],0),1)*C26,
IF(E26="체력형",INDEX(몬스터계수[[#Data],[생명계수]],MATCH(E26,몬스터계수[[#Data],[타입]],0),1)*C26,0))))*IF(몬스터밸런스[[#This Row],[보스]]=TRUE,2,1)</f>
        <v>582.5</v>
      </c>
      <c r="G26">
        <f>IF(E26="공격형",INDEX(몬스터계수[[#Data],[힘계수]],MATCH(E26, 몬스터계수[[#Data],[타입]],0),1)*C26,
IF(E26="방어형",INDEX(몬스터계수[[#Data],[힘계수]],MATCH(E26, 몬스터계수[[#Data],[타입]],0),1)*C26,
IF(E26="회피형",INDEX(몬스터계수[[#Data],[힘계수]],MATCH(E26, 몬스터계수[[#Data],[타입]],0),1)*C26,
IF(E26="체력형",INDEX(몬스터계수[[#Data],[힘계수]],MATCH(E26, 몬스터계수[[#Data],[타입]],0),1)*C26,0))))</f>
        <v>291.25</v>
      </c>
      <c r="H26">
        <f>IF(E26="공격형",INDEX(몬스터계수[[#Data],[근력게수]],MATCH(E26,몬스터계수[[#Data],[타입]],0),1)*C26,
IF(E26="방어형",INDEX(몬스터계수[[#Data],[근력게수]],MATCH(E26,몬스터계수[[#Data],[타입]],0),1)*C26,
IF(E26="회피형",INDEX(몬스터계수[[#Data],[근력게수]],MATCH(E26,몬스터계수[[#Data],[타입]],0),1)*C26,
IF(E26="체력형",INDEX(몬스터계수[[#Data],[근력게수]],MATCH(E26,몬스터계수[[#Data],[타입]],0),1)*C26,0))))</f>
        <v>58.25</v>
      </c>
      <c r="I26">
        <f>IF(E26="공격형",INDEX(몬스터계수[[#Data],[숙련도계수]],MATCH(E26,몬스터계수[[#Data],[타입]],0),1)*C26,
IF(E26="방어형",INDEX(몬스터계수[[#Data],[숙련도계수]],MATCH(E26,몬스터계수[[#Data],[타입]],0),1)*C26,
IF(E26="회피형",INDEX(몬스터계수[[#Data],[숙련도계수]],MATCH(E26,몬스터계수[[#Data],[타입]],0),1)*C26,
IF(E26="체력형",INDEX(몬스터계수[[#Data],[숙련도계수]],MATCH(E26,몬스터계수[[#Data],[타입]],0),1)*C26,0))))</f>
        <v>174.75</v>
      </c>
      <c r="J26">
        <f>IF(E26="공격형",INDEX(몬스터계수[[#Data],[행운계수]],MATCH(E26, 몬스터계수[[#Data],[타입]],0),1)*C26,
IF(E26="방어형",INDEX(몬스터계수[[#Data],[행운계수]],MATCH(E26, 몬스터계수[[#Data],[타입]],0),1)*C26,
IF(E26="회피형",INDEX(몬스터계수[[#Data],[행운계수]],MATCH(E26, 몬스터계수[[#Data],[타입]],0),1)*C26,
IF(E26="체력형",INDEX(몬스터계수[[#Data],[행운계수]],MATCH(E26, 몬스터계수[[#Data],[타입]],0),1)*C26,0))))</f>
        <v>58.25</v>
      </c>
      <c r="K26" s="34">
        <f>ROUND(
(($F26)*참고!$D$5)
+(($G26)*참고!$D$6)
+(($H26)*참고!$D$7)
+(($I26)*참고!$D$8)
+(($J26))*참고!$D$9,0)</f>
        <v>9058</v>
      </c>
      <c r="L26" s="34">
        <f>ROUND(
(($F26)*참고!$E$5)
+(($G26)*참고!$E$6)
+(($H26)*참고!$E$7)
+(($I26)*참고!$E$8)
+(($J26))*참고!$E$9,0)</f>
        <v>5184</v>
      </c>
      <c r="M26" s="34">
        <f>ROUND(
(($F26)*참고!$F$5)
+(($G26)*참고!$F$6)
+(($H26)*참고!$F$7)
+(($I26)*참고!$F$8)
+(($J26))*참고!$F$9,0)</f>
        <v>1456</v>
      </c>
      <c r="N26" s="34">
        <f>ROUND(
(($F26)*참고!$G$5)
+(($G26)*참고!$G$6)
+(($H26)*참고!$G$7)
+(($I26)*참고!$G$8)
+(($J26))*참고!$G$9,0)</f>
        <v>41</v>
      </c>
      <c r="O26" s="34">
        <f>ROUND(
(($F26)*참고!$H$5)
+(($G26)*참고!$H$6)
+(($H26)*참고!$H$7)
+(($I26)*참고!$H$8)
+(($J26))*참고!$H$9,0)</f>
        <v>961</v>
      </c>
      <c r="P26" s="34">
        <f>ROUND(
(($F26)*참고!$I$5)
+(($G26)*참고!$I$6)
+(($H26)*참고!$I$7)
+(($I26)*참고!$I$8)
+(($J26))*참고!$I$9,0)</f>
        <v>1689</v>
      </c>
      <c r="Q26" s="34">
        <f>ROUND(
(($F26)*참고!$J$5)
+(($G26)*참고!$J$6)
+(($H26)*참고!$J$7)
+(($I26)*참고!$J$8)
+(($J26))*참고!$J$9,0)</f>
        <v>1165</v>
      </c>
      <c r="R26" s="34">
        <f>IF(E26="공격형",(INDEX(몬스터계수[[#Data],[속도]],MATCH(E26, 몬스터계수[[#Data],[타입]],0),1)*속도핸들러_곱계수)*(INT(몬스터밸런스[[#This Row],[Lv]]/속도핸들러_합계수+1)),
IF(E26="방어형",(INDEX(몬스터계수[[#Data],[속도]],MATCH(E26, 몬스터계수[[#Data],[타입]],0),1)*속도핸들러_곱계수)*(INT(몬스터밸런스[[#This Row],[Lv]]/속도핸들러_합계수+1)),
IF(E26="회피형",(INDEX(몬스터계수[[#Data],[속도]],MATCH(E26, 몬스터계수[[#Data],[타입]],0),1)*속도핸들러_곱계수)*(INT(몬스터밸런스[[#This Row],[Lv]]/속도핸들러_합계수+1)),
IF(E26="기본형",(INDEX(몬스터계수[[#Data],[속도]],MATCH(E26, 몬스터계수[[#Data],[타입]],0),1)*속도핸들러_곱계수)*(INT(몬스터밸런스[[#This Row],[Lv]]/속도핸들러_합계수+1)),0))))</f>
        <v>0</v>
      </c>
      <c r="S26">
        <f t="shared" si="0"/>
        <v>310979</v>
      </c>
      <c r="U26">
        <v>5</v>
      </c>
      <c r="V26">
        <v>24</v>
      </c>
      <c r="W26">
        <f>$Z$1*몬스터밸런스9[[#This Row],[단계]]</f>
        <v>25</v>
      </c>
      <c r="X26" t="s">
        <v>65</v>
      </c>
      <c r="Y26">
        <v>3</v>
      </c>
      <c r="AE26" s="34"/>
      <c r="AF26" s="34">
        <f>몬스터밸런스[[#This Row],[Attack]]*0.5</f>
        <v>2592</v>
      </c>
      <c r="AG26" s="34"/>
      <c r="AH26" s="34"/>
      <c r="AI26" s="34"/>
      <c r="AJ26" s="34"/>
      <c r="AK26" s="34"/>
      <c r="AL26">
        <f t="shared" si="1"/>
        <v>41472</v>
      </c>
    </row>
    <row r="27" spans="1:38">
      <c r="A27">
        <v>240</v>
      </c>
      <c r="B27">
        <v>25</v>
      </c>
      <c r="C27">
        <f>$F$1*몬스터밸런스[[#This Row],[Lv]]+15</f>
        <v>1215</v>
      </c>
      <c r="E27" t="s">
        <v>479</v>
      </c>
      <c r="F27">
        <f>IF(E27="공격형",INDEX(몬스터계수[[#Data],[생명계수]],MATCH(E27,몬스터계수[[#Data],[타입]],0),1)*C27,
IF(E27="방어형",INDEX(몬스터계수[[#Data],[생명계수]],MATCH(E27,몬스터계수[[#Data],[타입]],0),1)*C27,
IF(E27="회피형",INDEX(몬스터계수[[#Data],[생명계수]],MATCH(E27,몬스터계수[[#Data],[타입]],0),1)*C27,
IF(E27="체력형",INDEX(몬스터계수[[#Data],[생명계수]],MATCH(E27,몬스터계수[[#Data],[타입]],0),1)*C27,0))))*IF(몬스터밸런스[[#This Row],[보스]]=TRUE,2,1)</f>
        <v>607.5</v>
      </c>
      <c r="G27">
        <f>IF(E27="공격형",INDEX(몬스터계수[[#Data],[힘계수]],MATCH(E27, 몬스터계수[[#Data],[타입]],0),1)*C27,
IF(E27="방어형",INDEX(몬스터계수[[#Data],[힘계수]],MATCH(E27, 몬스터계수[[#Data],[타입]],0),1)*C27,
IF(E27="회피형",INDEX(몬스터계수[[#Data],[힘계수]],MATCH(E27, 몬스터계수[[#Data],[타입]],0),1)*C27,
IF(E27="체력형",INDEX(몬스터계수[[#Data],[힘계수]],MATCH(E27, 몬스터계수[[#Data],[타입]],0),1)*C27,0))))</f>
        <v>303.75</v>
      </c>
      <c r="H27">
        <f>IF(E27="공격형",INDEX(몬스터계수[[#Data],[근력게수]],MATCH(E27,몬스터계수[[#Data],[타입]],0),1)*C27,
IF(E27="방어형",INDEX(몬스터계수[[#Data],[근력게수]],MATCH(E27,몬스터계수[[#Data],[타입]],0),1)*C27,
IF(E27="회피형",INDEX(몬스터계수[[#Data],[근력게수]],MATCH(E27,몬스터계수[[#Data],[타입]],0),1)*C27,
IF(E27="체력형",INDEX(몬스터계수[[#Data],[근력게수]],MATCH(E27,몬스터계수[[#Data],[타입]],0),1)*C27,0))))</f>
        <v>60.75</v>
      </c>
      <c r="I27">
        <f>IF(E27="공격형",INDEX(몬스터계수[[#Data],[숙련도계수]],MATCH(E27,몬스터계수[[#Data],[타입]],0),1)*C27,
IF(E27="방어형",INDEX(몬스터계수[[#Data],[숙련도계수]],MATCH(E27,몬스터계수[[#Data],[타입]],0),1)*C27,
IF(E27="회피형",INDEX(몬스터계수[[#Data],[숙련도계수]],MATCH(E27,몬스터계수[[#Data],[타입]],0),1)*C27,
IF(E27="체력형",INDEX(몬스터계수[[#Data],[숙련도계수]],MATCH(E27,몬스터계수[[#Data],[타입]],0),1)*C27,0))))</f>
        <v>182.25</v>
      </c>
      <c r="J27">
        <f>IF(E27="공격형",INDEX(몬스터계수[[#Data],[행운계수]],MATCH(E27, 몬스터계수[[#Data],[타입]],0),1)*C27,
IF(E27="방어형",INDEX(몬스터계수[[#Data],[행운계수]],MATCH(E27, 몬스터계수[[#Data],[타입]],0),1)*C27,
IF(E27="회피형",INDEX(몬스터계수[[#Data],[행운계수]],MATCH(E27, 몬스터계수[[#Data],[타입]],0),1)*C27,
IF(E27="체력형",INDEX(몬스터계수[[#Data],[행운계수]],MATCH(E27, 몬스터계수[[#Data],[타입]],0),1)*C27,0))))</f>
        <v>60.75</v>
      </c>
      <c r="K27" s="34">
        <f>ROUND(
(($F27)*참고!$D$5)
+(($G27)*참고!$D$6)
+(($H27)*참고!$D$7)
+(($I27)*참고!$D$8)
+(($J27))*참고!$D$9,0)</f>
        <v>9447</v>
      </c>
      <c r="L27" s="34">
        <f>ROUND(
(($F27)*참고!$E$5)
+(($G27)*참고!$E$6)
+(($H27)*참고!$E$7)
+(($I27)*참고!$E$8)
+(($J27))*참고!$E$9,0)</f>
        <v>5407</v>
      </c>
      <c r="M27" s="34">
        <f>ROUND(
(($F27)*참고!$F$5)
+(($G27)*참고!$F$6)
+(($H27)*참고!$F$7)
+(($I27)*참고!$F$8)
+(($J27))*참고!$F$9,0)</f>
        <v>1519</v>
      </c>
      <c r="N27" s="34">
        <f>ROUND(
(($F27)*참고!$G$5)
+(($G27)*참고!$G$6)
+(($H27)*참고!$G$7)
+(($I27)*참고!$G$8)
+(($J27))*참고!$G$9,0)</f>
        <v>43</v>
      </c>
      <c r="O27" s="34">
        <f>ROUND(
(($F27)*참고!$H$5)
+(($G27)*참고!$H$6)
+(($H27)*참고!$H$7)
+(($I27)*참고!$H$8)
+(($J27))*참고!$H$9,0)</f>
        <v>1002</v>
      </c>
      <c r="P27" s="34">
        <f>ROUND(
(($F27)*참고!$I$5)
+(($G27)*참고!$I$6)
+(($H27)*참고!$I$7)
+(($I27)*참고!$I$8)
+(($J27))*참고!$I$9,0)</f>
        <v>1762</v>
      </c>
      <c r="Q27" s="34">
        <f>ROUND(
(($F27)*참고!$J$5)
+(($G27)*참고!$J$6)
+(($H27)*참고!$J$7)
+(($I27)*참고!$J$8)
+(($J27))*참고!$J$9,0)</f>
        <v>1215</v>
      </c>
      <c r="R27" s="34">
        <f>IF(E27="공격형",(INDEX(몬스터계수[[#Data],[속도]],MATCH(E27, 몬스터계수[[#Data],[타입]],0),1)*속도핸들러_곱계수)*(INT(몬스터밸런스[[#This Row],[Lv]]/속도핸들러_합계수+1)),
IF(E27="방어형",(INDEX(몬스터계수[[#Data],[속도]],MATCH(E27, 몬스터계수[[#Data],[타입]],0),1)*속도핸들러_곱계수)*(INT(몬스터밸런스[[#This Row],[Lv]]/속도핸들러_합계수+1)),
IF(E27="회피형",(INDEX(몬스터계수[[#Data],[속도]],MATCH(E27, 몬스터계수[[#Data],[타입]],0),1)*속도핸들러_곱계수)*(INT(몬스터밸런스[[#This Row],[Lv]]/속도핸들러_합계수+1)),
IF(E27="기본형",(INDEX(몬스터계수[[#Data],[속도]],MATCH(E27, 몬스터계수[[#Data],[타입]],0),1)*속도핸들러_곱계수)*(INT(몬스터밸런스[[#This Row],[Lv]]/속도핸들러_합계수+1)),0))))</f>
        <v>0</v>
      </c>
      <c r="S27">
        <f t="shared" si="0"/>
        <v>324351</v>
      </c>
      <c r="U27">
        <v>5</v>
      </c>
      <c r="V27">
        <v>25</v>
      </c>
      <c r="W27">
        <f>$Z$1*몬스터밸런스9[[#This Row],[단계]]</f>
        <v>25</v>
      </c>
      <c r="X27" t="s">
        <v>65</v>
      </c>
      <c r="Y27">
        <v>4</v>
      </c>
      <c r="AE27" s="34"/>
      <c r="AF27" s="34">
        <f>몬스터밸런스[[#This Row],[Attack]]*0.5</f>
        <v>2703.5</v>
      </c>
      <c r="AG27" s="34"/>
      <c r="AH27" s="34"/>
      <c r="AI27" s="34"/>
      <c r="AJ27" s="34"/>
      <c r="AK27" s="34"/>
      <c r="AL27">
        <f t="shared" si="1"/>
        <v>43256</v>
      </c>
    </row>
    <row r="28" spans="1:38">
      <c r="A28">
        <v>250</v>
      </c>
      <c r="B28">
        <v>26</v>
      </c>
      <c r="C28">
        <f>$F$1*몬스터밸런스[[#This Row],[Lv]]+15</f>
        <v>1265</v>
      </c>
      <c r="E28" t="s">
        <v>479</v>
      </c>
      <c r="F28">
        <f>IF(E28="공격형",INDEX(몬스터계수[[#Data],[생명계수]],MATCH(E28,몬스터계수[[#Data],[타입]],0),1)*C28,
IF(E28="방어형",INDEX(몬스터계수[[#Data],[생명계수]],MATCH(E28,몬스터계수[[#Data],[타입]],0),1)*C28,
IF(E28="회피형",INDEX(몬스터계수[[#Data],[생명계수]],MATCH(E28,몬스터계수[[#Data],[타입]],0),1)*C28,
IF(E28="체력형",INDEX(몬스터계수[[#Data],[생명계수]],MATCH(E28,몬스터계수[[#Data],[타입]],0),1)*C28,0))))*IF(몬스터밸런스[[#This Row],[보스]]=TRUE,2,1)</f>
        <v>632.5</v>
      </c>
      <c r="G28">
        <f>IF(E28="공격형",INDEX(몬스터계수[[#Data],[힘계수]],MATCH(E28, 몬스터계수[[#Data],[타입]],0),1)*C28,
IF(E28="방어형",INDEX(몬스터계수[[#Data],[힘계수]],MATCH(E28, 몬스터계수[[#Data],[타입]],0),1)*C28,
IF(E28="회피형",INDEX(몬스터계수[[#Data],[힘계수]],MATCH(E28, 몬스터계수[[#Data],[타입]],0),1)*C28,
IF(E28="체력형",INDEX(몬스터계수[[#Data],[힘계수]],MATCH(E28, 몬스터계수[[#Data],[타입]],0),1)*C28,0))))</f>
        <v>316.25</v>
      </c>
      <c r="H28">
        <f>IF(E28="공격형",INDEX(몬스터계수[[#Data],[근력게수]],MATCH(E28,몬스터계수[[#Data],[타입]],0),1)*C28,
IF(E28="방어형",INDEX(몬스터계수[[#Data],[근력게수]],MATCH(E28,몬스터계수[[#Data],[타입]],0),1)*C28,
IF(E28="회피형",INDEX(몬스터계수[[#Data],[근력게수]],MATCH(E28,몬스터계수[[#Data],[타입]],0),1)*C28,
IF(E28="체력형",INDEX(몬스터계수[[#Data],[근력게수]],MATCH(E28,몬스터계수[[#Data],[타입]],0),1)*C28,0))))</f>
        <v>63.25</v>
      </c>
      <c r="I28">
        <f>IF(E28="공격형",INDEX(몬스터계수[[#Data],[숙련도계수]],MATCH(E28,몬스터계수[[#Data],[타입]],0),1)*C28,
IF(E28="방어형",INDEX(몬스터계수[[#Data],[숙련도계수]],MATCH(E28,몬스터계수[[#Data],[타입]],0),1)*C28,
IF(E28="회피형",INDEX(몬스터계수[[#Data],[숙련도계수]],MATCH(E28,몬스터계수[[#Data],[타입]],0),1)*C28,
IF(E28="체력형",INDEX(몬스터계수[[#Data],[숙련도계수]],MATCH(E28,몬스터계수[[#Data],[타입]],0),1)*C28,0))))</f>
        <v>189.75</v>
      </c>
      <c r="J28">
        <f>IF(E28="공격형",INDEX(몬스터계수[[#Data],[행운계수]],MATCH(E28, 몬스터계수[[#Data],[타입]],0),1)*C28,
IF(E28="방어형",INDEX(몬스터계수[[#Data],[행운계수]],MATCH(E28, 몬스터계수[[#Data],[타입]],0),1)*C28,
IF(E28="회피형",INDEX(몬스터계수[[#Data],[행운계수]],MATCH(E28, 몬스터계수[[#Data],[타입]],0),1)*C28,
IF(E28="체력형",INDEX(몬스터계수[[#Data],[행운계수]],MATCH(E28, 몬스터계수[[#Data],[타입]],0),1)*C28,0))))</f>
        <v>63.25</v>
      </c>
      <c r="K28" s="34">
        <f>ROUND(
(($F28)*참고!$D$5)
+(($G28)*참고!$D$6)
+(($H28)*참고!$D$7)
+(($I28)*참고!$D$8)
+(($J28))*참고!$D$9,0)</f>
        <v>9835</v>
      </c>
      <c r="L28" s="34">
        <f>ROUND(
(($F28)*참고!$E$5)
+(($G28)*참고!$E$6)
+(($H28)*참고!$E$7)
+(($I28)*참고!$E$8)
+(($J28))*참고!$E$9,0)</f>
        <v>5629</v>
      </c>
      <c r="M28" s="34">
        <f>ROUND(
(($F28)*참고!$F$5)
+(($G28)*참고!$F$6)
+(($H28)*참고!$F$7)
+(($I28)*참고!$F$8)
+(($J28))*참고!$F$9,0)</f>
        <v>1581</v>
      </c>
      <c r="N28" s="34">
        <f>ROUND(
(($F28)*참고!$G$5)
+(($G28)*참고!$G$6)
+(($H28)*참고!$G$7)
+(($I28)*참고!$G$8)
+(($J28))*참고!$G$9,0)</f>
        <v>44</v>
      </c>
      <c r="O28" s="34">
        <f>ROUND(
(($F28)*참고!$H$5)
+(($G28)*참고!$H$6)
+(($H28)*참고!$H$7)
+(($I28)*참고!$H$8)
+(($J28))*참고!$H$9,0)</f>
        <v>1044</v>
      </c>
      <c r="P28" s="34">
        <f>ROUND(
(($F28)*참고!$I$5)
+(($G28)*참고!$I$6)
+(($H28)*참고!$I$7)
+(($I28)*참고!$I$8)
+(($J28))*참고!$I$9,0)</f>
        <v>1834</v>
      </c>
      <c r="Q28" s="34">
        <f>ROUND(
(($F28)*참고!$J$5)
+(($G28)*참고!$J$6)
+(($H28)*참고!$J$7)
+(($I28)*참고!$J$8)
+(($J28))*참고!$J$9,0)</f>
        <v>1265</v>
      </c>
      <c r="R28" s="34">
        <f>IF(E28="공격형",(INDEX(몬스터계수[[#Data],[속도]],MATCH(E28, 몬스터계수[[#Data],[타입]],0),1)*속도핸들러_곱계수)*(INT(몬스터밸런스[[#This Row],[Lv]]/속도핸들러_합계수+1)),
IF(E28="방어형",(INDEX(몬스터계수[[#Data],[속도]],MATCH(E28, 몬스터계수[[#Data],[타입]],0),1)*속도핸들러_곱계수)*(INT(몬스터밸런스[[#This Row],[Lv]]/속도핸들러_합계수+1)),
IF(E28="회피형",(INDEX(몬스터계수[[#Data],[속도]],MATCH(E28, 몬스터계수[[#Data],[타입]],0),1)*속도핸들러_곱계수)*(INT(몬스터밸런스[[#This Row],[Lv]]/속도핸들러_합계수+1)),
IF(E28="기본형",(INDEX(몬스터계수[[#Data],[속도]],MATCH(E28, 몬스터계수[[#Data],[타입]],0),1)*속도핸들러_곱계수)*(INT(몬스터밸런스[[#This Row],[Lv]]/속도핸들러_합계수+1)),0))))</f>
        <v>0</v>
      </c>
      <c r="S28">
        <f t="shared" si="0"/>
        <v>337666.5</v>
      </c>
      <c r="U28">
        <v>1</v>
      </c>
      <c r="V28">
        <v>26</v>
      </c>
      <c r="W28">
        <f>$Z$1*몬스터밸런스9[[#This Row],[단계]]</f>
        <v>5</v>
      </c>
      <c r="X28" t="s">
        <v>55</v>
      </c>
      <c r="Y28">
        <v>0</v>
      </c>
      <c r="AE28" s="34"/>
      <c r="AF28" s="34"/>
      <c r="AG28" s="34"/>
      <c r="AH28" s="34"/>
      <c r="AI28" s="34">
        <f>몬스터밸런스[[#This Row],[CriticalDamage]]*0.4</f>
        <v>417.6</v>
      </c>
      <c r="AJ28" s="34"/>
      <c r="AK28" s="34">
        <f>몬스터밸런스[[#This Row],[DodgeRate]]*0.6</f>
        <v>759</v>
      </c>
      <c r="AL28">
        <f t="shared" ref="AL28:AL42" si="2">(AE28*HP계수) + (AF28*attack계수) + (AG28*Defense계수) + (AH28*CriticalRate계수) + (AI28*CriticalDamage계수) + (AJ28*Accuracy계수) + (AK28*DodgeRate계수)</f>
        <v>17059.2</v>
      </c>
    </row>
    <row r="29" spans="1:38">
      <c r="A29">
        <v>260</v>
      </c>
      <c r="B29">
        <v>27</v>
      </c>
      <c r="C29">
        <f>$F$1*몬스터밸런스[[#This Row],[Lv]]+15</f>
        <v>1315</v>
      </c>
      <c r="E29" t="s">
        <v>479</v>
      </c>
      <c r="F29">
        <f>IF(E29="공격형",INDEX(몬스터계수[[#Data],[생명계수]],MATCH(E29,몬스터계수[[#Data],[타입]],0),1)*C29,
IF(E29="방어형",INDEX(몬스터계수[[#Data],[생명계수]],MATCH(E29,몬스터계수[[#Data],[타입]],0),1)*C29,
IF(E29="회피형",INDEX(몬스터계수[[#Data],[생명계수]],MATCH(E29,몬스터계수[[#Data],[타입]],0),1)*C29,
IF(E29="체력형",INDEX(몬스터계수[[#Data],[생명계수]],MATCH(E29,몬스터계수[[#Data],[타입]],0),1)*C29,0))))*IF(몬스터밸런스[[#This Row],[보스]]=TRUE,2,1)</f>
        <v>657.5</v>
      </c>
      <c r="G29">
        <f>IF(E29="공격형",INDEX(몬스터계수[[#Data],[힘계수]],MATCH(E29, 몬스터계수[[#Data],[타입]],0),1)*C29,
IF(E29="방어형",INDEX(몬스터계수[[#Data],[힘계수]],MATCH(E29, 몬스터계수[[#Data],[타입]],0),1)*C29,
IF(E29="회피형",INDEX(몬스터계수[[#Data],[힘계수]],MATCH(E29, 몬스터계수[[#Data],[타입]],0),1)*C29,
IF(E29="체력형",INDEX(몬스터계수[[#Data],[힘계수]],MATCH(E29, 몬스터계수[[#Data],[타입]],0),1)*C29,0))))</f>
        <v>328.75</v>
      </c>
      <c r="H29">
        <f>IF(E29="공격형",INDEX(몬스터계수[[#Data],[근력게수]],MATCH(E29,몬스터계수[[#Data],[타입]],0),1)*C29,
IF(E29="방어형",INDEX(몬스터계수[[#Data],[근력게수]],MATCH(E29,몬스터계수[[#Data],[타입]],0),1)*C29,
IF(E29="회피형",INDEX(몬스터계수[[#Data],[근력게수]],MATCH(E29,몬스터계수[[#Data],[타입]],0),1)*C29,
IF(E29="체력형",INDEX(몬스터계수[[#Data],[근력게수]],MATCH(E29,몬스터계수[[#Data],[타입]],0),1)*C29,0))))</f>
        <v>65.75</v>
      </c>
      <c r="I29">
        <f>IF(E29="공격형",INDEX(몬스터계수[[#Data],[숙련도계수]],MATCH(E29,몬스터계수[[#Data],[타입]],0),1)*C29,
IF(E29="방어형",INDEX(몬스터계수[[#Data],[숙련도계수]],MATCH(E29,몬스터계수[[#Data],[타입]],0),1)*C29,
IF(E29="회피형",INDEX(몬스터계수[[#Data],[숙련도계수]],MATCH(E29,몬스터계수[[#Data],[타입]],0),1)*C29,
IF(E29="체력형",INDEX(몬스터계수[[#Data],[숙련도계수]],MATCH(E29,몬스터계수[[#Data],[타입]],0),1)*C29,0))))</f>
        <v>197.25</v>
      </c>
      <c r="J29">
        <f>IF(E29="공격형",INDEX(몬스터계수[[#Data],[행운계수]],MATCH(E29, 몬스터계수[[#Data],[타입]],0),1)*C29,
IF(E29="방어형",INDEX(몬스터계수[[#Data],[행운계수]],MATCH(E29, 몬스터계수[[#Data],[타입]],0),1)*C29,
IF(E29="회피형",INDEX(몬스터계수[[#Data],[행운계수]],MATCH(E29, 몬스터계수[[#Data],[타입]],0),1)*C29,
IF(E29="체력형",INDEX(몬스터계수[[#Data],[행운계수]],MATCH(E29, 몬스터계수[[#Data],[타입]],0),1)*C29,0))))</f>
        <v>65.75</v>
      </c>
      <c r="K29" s="34">
        <f>ROUND(
(($F29)*참고!$D$5)
+(($G29)*참고!$D$6)
+(($H29)*참고!$D$7)
+(($I29)*참고!$D$8)
+(($J29))*참고!$D$9,0)</f>
        <v>10224</v>
      </c>
      <c r="L29" s="34">
        <f>ROUND(
(($F29)*참고!$E$5)
+(($G29)*참고!$E$6)
+(($H29)*참고!$E$7)
+(($I29)*참고!$E$8)
+(($J29))*참고!$E$9,0)</f>
        <v>5852</v>
      </c>
      <c r="M29" s="34">
        <f>ROUND(
(($F29)*참고!$F$5)
+(($G29)*참고!$F$6)
+(($H29)*참고!$F$7)
+(($I29)*참고!$F$8)
+(($J29))*참고!$F$9,0)</f>
        <v>1644</v>
      </c>
      <c r="N29" s="34">
        <f>ROUND(
(($F29)*참고!$G$5)
+(($G29)*참고!$G$6)
+(($H29)*참고!$G$7)
+(($I29)*참고!$G$8)
+(($J29))*참고!$G$9,0)</f>
        <v>46</v>
      </c>
      <c r="O29" s="34">
        <f>ROUND(
(($F29)*참고!$H$5)
+(($G29)*참고!$H$6)
+(($H29)*참고!$H$7)
+(($I29)*참고!$H$8)
+(($J29))*참고!$H$9,0)</f>
        <v>1085</v>
      </c>
      <c r="P29" s="34">
        <f>ROUND(
(($F29)*참고!$I$5)
+(($G29)*참고!$I$6)
+(($H29)*참고!$I$7)
+(($I29)*참고!$I$8)
+(($J29))*참고!$I$9,0)</f>
        <v>1907</v>
      </c>
      <c r="Q29" s="34">
        <f>ROUND(
(($F29)*참고!$J$5)
+(($G29)*참고!$J$6)
+(($H29)*참고!$J$7)
+(($I29)*참고!$J$8)
+(($J29))*참고!$J$9,0)</f>
        <v>1315</v>
      </c>
      <c r="R29" s="34">
        <f>IF(E29="공격형",(INDEX(몬스터계수[[#Data],[속도]],MATCH(E29, 몬스터계수[[#Data],[타입]],0),1)*속도핸들러_곱계수)*(INT(몬스터밸런스[[#This Row],[Lv]]/속도핸들러_합계수+1)),
IF(E29="방어형",(INDEX(몬스터계수[[#Data],[속도]],MATCH(E29, 몬스터계수[[#Data],[타입]],0),1)*속도핸들러_곱계수)*(INT(몬스터밸런스[[#This Row],[Lv]]/속도핸들러_합계수+1)),
IF(E29="회피형",(INDEX(몬스터계수[[#Data],[속도]],MATCH(E29, 몬스터계수[[#Data],[타입]],0),1)*속도핸들러_곱계수)*(INT(몬스터밸런스[[#This Row],[Lv]]/속도핸들러_합계수+1)),
IF(E29="기본형",(INDEX(몬스터계수[[#Data],[속도]],MATCH(E29, 몬스터계수[[#Data],[타입]],0),1)*속도핸들러_곱계수)*(INT(몬스터밸런스[[#This Row],[Lv]]/속도핸들러_합계수+1)),0))))</f>
        <v>0</v>
      </c>
      <c r="S29">
        <f t="shared" si="0"/>
        <v>351038.5</v>
      </c>
      <c r="U29">
        <v>1</v>
      </c>
      <c r="V29">
        <v>27</v>
      </c>
      <c r="W29">
        <f>$Z$1*몬스터밸런스9[[#This Row],[단계]]</f>
        <v>5</v>
      </c>
      <c r="X29" t="s">
        <v>55</v>
      </c>
      <c r="Y29">
        <v>1</v>
      </c>
      <c r="AE29" s="34"/>
      <c r="AF29" s="34"/>
      <c r="AG29" s="34"/>
      <c r="AH29" s="34"/>
      <c r="AI29" s="34">
        <f>몬스터밸런스[[#This Row],[CriticalDamage]]*0.4</f>
        <v>434</v>
      </c>
      <c r="AJ29" s="34"/>
      <c r="AK29" s="34">
        <f>몬스터밸런스[[#This Row],[DodgeRate]]*0.6</f>
        <v>789</v>
      </c>
      <c r="AL29">
        <f t="shared" si="2"/>
        <v>17733</v>
      </c>
    </row>
    <row r="30" spans="1:38">
      <c r="A30">
        <v>270</v>
      </c>
      <c r="B30">
        <v>28</v>
      </c>
      <c r="C30">
        <f>$F$1*몬스터밸런스[[#This Row],[Lv]]+15</f>
        <v>1365</v>
      </c>
      <c r="E30" t="s">
        <v>479</v>
      </c>
      <c r="F30">
        <f>IF(E30="공격형",INDEX(몬스터계수[[#Data],[생명계수]],MATCH(E30,몬스터계수[[#Data],[타입]],0),1)*C30,
IF(E30="방어형",INDEX(몬스터계수[[#Data],[생명계수]],MATCH(E30,몬스터계수[[#Data],[타입]],0),1)*C30,
IF(E30="회피형",INDEX(몬스터계수[[#Data],[생명계수]],MATCH(E30,몬스터계수[[#Data],[타입]],0),1)*C30,
IF(E30="체력형",INDEX(몬스터계수[[#Data],[생명계수]],MATCH(E30,몬스터계수[[#Data],[타입]],0),1)*C30,0))))*IF(몬스터밸런스[[#This Row],[보스]]=TRUE,2,1)</f>
        <v>682.5</v>
      </c>
      <c r="G30">
        <f>IF(E30="공격형",INDEX(몬스터계수[[#Data],[힘계수]],MATCH(E30, 몬스터계수[[#Data],[타입]],0),1)*C30,
IF(E30="방어형",INDEX(몬스터계수[[#Data],[힘계수]],MATCH(E30, 몬스터계수[[#Data],[타입]],0),1)*C30,
IF(E30="회피형",INDEX(몬스터계수[[#Data],[힘계수]],MATCH(E30, 몬스터계수[[#Data],[타입]],0),1)*C30,
IF(E30="체력형",INDEX(몬스터계수[[#Data],[힘계수]],MATCH(E30, 몬스터계수[[#Data],[타입]],0),1)*C30,0))))</f>
        <v>341.25</v>
      </c>
      <c r="H30">
        <f>IF(E30="공격형",INDEX(몬스터계수[[#Data],[근력게수]],MATCH(E30,몬스터계수[[#Data],[타입]],0),1)*C30,
IF(E30="방어형",INDEX(몬스터계수[[#Data],[근력게수]],MATCH(E30,몬스터계수[[#Data],[타입]],0),1)*C30,
IF(E30="회피형",INDEX(몬스터계수[[#Data],[근력게수]],MATCH(E30,몬스터계수[[#Data],[타입]],0),1)*C30,
IF(E30="체력형",INDEX(몬스터계수[[#Data],[근력게수]],MATCH(E30,몬스터계수[[#Data],[타입]],0),1)*C30,0))))</f>
        <v>68.25</v>
      </c>
      <c r="I30">
        <f>IF(E30="공격형",INDEX(몬스터계수[[#Data],[숙련도계수]],MATCH(E30,몬스터계수[[#Data],[타입]],0),1)*C30,
IF(E30="방어형",INDEX(몬스터계수[[#Data],[숙련도계수]],MATCH(E30,몬스터계수[[#Data],[타입]],0),1)*C30,
IF(E30="회피형",INDEX(몬스터계수[[#Data],[숙련도계수]],MATCH(E30,몬스터계수[[#Data],[타입]],0),1)*C30,
IF(E30="체력형",INDEX(몬스터계수[[#Data],[숙련도계수]],MATCH(E30,몬스터계수[[#Data],[타입]],0),1)*C30,0))))</f>
        <v>204.75</v>
      </c>
      <c r="J30">
        <f>IF(E30="공격형",INDEX(몬스터계수[[#Data],[행운계수]],MATCH(E30, 몬스터계수[[#Data],[타입]],0),1)*C30,
IF(E30="방어형",INDEX(몬스터계수[[#Data],[행운계수]],MATCH(E30, 몬스터계수[[#Data],[타입]],0),1)*C30,
IF(E30="회피형",INDEX(몬스터계수[[#Data],[행운계수]],MATCH(E30, 몬스터계수[[#Data],[타입]],0),1)*C30,
IF(E30="체력형",INDEX(몬스터계수[[#Data],[행운계수]],MATCH(E30, 몬스터계수[[#Data],[타입]],0),1)*C30,0))))</f>
        <v>68.25</v>
      </c>
      <c r="K30" s="34">
        <f>ROUND(
(($F30)*참고!$D$5)
+(($G30)*참고!$D$6)
+(($H30)*참고!$D$7)
+(($I30)*참고!$D$8)
+(($J30))*참고!$D$9,0)</f>
        <v>10613</v>
      </c>
      <c r="L30" s="34">
        <f>ROUND(
(($F30)*참고!$E$5)
+(($G30)*참고!$E$6)
+(($H30)*참고!$E$7)
+(($I30)*참고!$E$8)
+(($J30))*참고!$E$9,0)</f>
        <v>6074</v>
      </c>
      <c r="M30" s="34">
        <f>ROUND(
(($F30)*참고!$F$5)
+(($G30)*참고!$F$6)
+(($H30)*참고!$F$7)
+(($I30)*참고!$F$8)
+(($J30))*참고!$F$9,0)</f>
        <v>1706</v>
      </c>
      <c r="N30" s="34">
        <f>ROUND(
(($F30)*참고!$G$5)
+(($G30)*참고!$G$6)
+(($H30)*참고!$G$7)
+(($I30)*참고!$G$8)
+(($J30))*참고!$G$9,0)</f>
        <v>48</v>
      </c>
      <c r="O30" s="34">
        <f>ROUND(
(($F30)*참고!$H$5)
+(($G30)*참고!$H$6)
+(($H30)*참고!$H$7)
+(($I30)*참고!$H$8)
+(($J30))*참고!$H$9,0)</f>
        <v>1126</v>
      </c>
      <c r="P30" s="34">
        <f>ROUND(
(($F30)*참고!$I$5)
+(($G30)*참고!$I$6)
+(($H30)*참고!$I$7)
+(($I30)*참고!$I$8)
+(($J30))*참고!$I$9,0)</f>
        <v>1979</v>
      </c>
      <c r="Q30" s="34">
        <f>ROUND(
(($F30)*참고!$J$5)
+(($G30)*참고!$J$6)
+(($H30)*참고!$J$7)
+(($I30)*참고!$J$8)
+(($J30))*참고!$J$9,0)</f>
        <v>1365</v>
      </c>
      <c r="R30" s="34">
        <f>IF(E30="공격형",(INDEX(몬스터계수[[#Data],[속도]],MATCH(E30, 몬스터계수[[#Data],[타입]],0),1)*속도핸들러_곱계수)*(INT(몬스터밸런스[[#This Row],[Lv]]/속도핸들러_합계수+1)),
IF(E30="방어형",(INDEX(몬스터계수[[#Data],[속도]],MATCH(E30, 몬스터계수[[#Data],[타입]],0),1)*속도핸들러_곱계수)*(INT(몬스터밸런스[[#This Row],[Lv]]/속도핸들러_합계수+1)),
IF(E30="회피형",(INDEX(몬스터계수[[#Data],[속도]],MATCH(E30, 몬스터계수[[#Data],[타입]],0),1)*속도핸들러_곱계수)*(INT(몬스터밸런스[[#This Row],[Lv]]/속도핸들러_합계수+1)),
IF(E30="기본형",(INDEX(몬스터계수[[#Data],[속도]],MATCH(E30, 몬스터계수[[#Data],[타입]],0),1)*속도핸들러_곱계수)*(INT(몬스터밸런스[[#This Row],[Lv]]/속도핸들러_합계수+1)),0))))</f>
        <v>0</v>
      </c>
      <c r="S30">
        <f t="shared" si="0"/>
        <v>364367.5</v>
      </c>
      <c r="U30">
        <v>1</v>
      </c>
      <c r="V30">
        <v>28</v>
      </c>
      <c r="W30">
        <f>$Z$1*몬스터밸런스9[[#This Row],[단계]]</f>
        <v>5</v>
      </c>
      <c r="X30" t="s">
        <v>55</v>
      </c>
      <c r="Y30">
        <v>2</v>
      </c>
      <c r="AE30" s="34"/>
      <c r="AF30" s="34"/>
      <c r="AG30" s="34"/>
      <c r="AH30" s="34"/>
      <c r="AI30" s="34">
        <f>몬스터밸런스[[#This Row],[CriticalDamage]]*0.4</f>
        <v>450.40000000000003</v>
      </c>
      <c r="AJ30" s="34"/>
      <c r="AK30" s="34">
        <f>몬스터밸런스[[#This Row],[DodgeRate]]*0.6</f>
        <v>819</v>
      </c>
      <c r="AL30">
        <f t="shared" si="2"/>
        <v>18406.8</v>
      </c>
    </row>
    <row r="31" spans="1:38">
      <c r="A31">
        <v>280</v>
      </c>
      <c r="B31">
        <v>29</v>
      </c>
      <c r="C31">
        <f>$F$1*몬스터밸런스[[#This Row],[Lv]]+15</f>
        <v>1415</v>
      </c>
      <c r="E31" t="s">
        <v>479</v>
      </c>
      <c r="F31">
        <f>IF(E31="공격형",INDEX(몬스터계수[[#Data],[생명계수]],MATCH(E31,몬스터계수[[#Data],[타입]],0),1)*C31,
IF(E31="방어형",INDEX(몬스터계수[[#Data],[생명계수]],MATCH(E31,몬스터계수[[#Data],[타입]],0),1)*C31,
IF(E31="회피형",INDEX(몬스터계수[[#Data],[생명계수]],MATCH(E31,몬스터계수[[#Data],[타입]],0),1)*C31,
IF(E31="체력형",INDEX(몬스터계수[[#Data],[생명계수]],MATCH(E31,몬스터계수[[#Data],[타입]],0),1)*C31,0))))*IF(몬스터밸런스[[#This Row],[보스]]=TRUE,2,1)</f>
        <v>707.5</v>
      </c>
      <c r="G31">
        <f>IF(E31="공격형",INDEX(몬스터계수[[#Data],[힘계수]],MATCH(E31, 몬스터계수[[#Data],[타입]],0),1)*C31,
IF(E31="방어형",INDEX(몬스터계수[[#Data],[힘계수]],MATCH(E31, 몬스터계수[[#Data],[타입]],0),1)*C31,
IF(E31="회피형",INDEX(몬스터계수[[#Data],[힘계수]],MATCH(E31, 몬스터계수[[#Data],[타입]],0),1)*C31,
IF(E31="체력형",INDEX(몬스터계수[[#Data],[힘계수]],MATCH(E31, 몬스터계수[[#Data],[타입]],0),1)*C31,0))))</f>
        <v>353.75</v>
      </c>
      <c r="H31">
        <f>IF(E31="공격형",INDEX(몬스터계수[[#Data],[근력게수]],MATCH(E31,몬스터계수[[#Data],[타입]],0),1)*C31,
IF(E31="방어형",INDEX(몬스터계수[[#Data],[근력게수]],MATCH(E31,몬스터계수[[#Data],[타입]],0),1)*C31,
IF(E31="회피형",INDEX(몬스터계수[[#Data],[근력게수]],MATCH(E31,몬스터계수[[#Data],[타입]],0),1)*C31,
IF(E31="체력형",INDEX(몬스터계수[[#Data],[근력게수]],MATCH(E31,몬스터계수[[#Data],[타입]],0),1)*C31,0))))</f>
        <v>70.75</v>
      </c>
      <c r="I31">
        <f>IF(E31="공격형",INDEX(몬스터계수[[#Data],[숙련도계수]],MATCH(E31,몬스터계수[[#Data],[타입]],0),1)*C31,
IF(E31="방어형",INDEX(몬스터계수[[#Data],[숙련도계수]],MATCH(E31,몬스터계수[[#Data],[타입]],0),1)*C31,
IF(E31="회피형",INDEX(몬스터계수[[#Data],[숙련도계수]],MATCH(E31,몬스터계수[[#Data],[타입]],0),1)*C31,
IF(E31="체력형",INDEX(몬스터계수[[#Data],[숙련도계수]],MATCH(E31,몬스터계수[[#Data],[타입]],0),1)*C31,0))))</f>
        <v>212.25</v>
      </c>
      <c r="J31">
        <f>IF(E31="공격형",INDEX(몬스터계수[[#Data],[행운계수]],MATCH(E31, 몬스터계수[[#Data],[타입]],0),1)*C31,
IF(E31="방어형",INDEX(몬스터계수[[#Data],[행운계수]],MATCH(E31, 몬스터계수[[#Data],[타입]],0),1)*C31,
IF(E31="회피형",INDEX(몬스터계수[[#Data],[행운계수]],MATCH(E31, 몬스터계수[[#Data],[타입]],0),1)*C31,
IF(E31="체력형",INDEX(몬스터계수[[#Data],[행운계수]],MATCH(E31, 몬스터계수[[#Data],[타입]],0),1)*C31,0))))</f>
        <v>70.75</v>
      </c>
      <c r="K31" s="34">
        <f>ROUND(
(($F31)*참고!$D$5)
+(($G31)*참고!$D$6)
+(($H31)*참고!$D$7)
+(($I31)*참고!$D$8)
+(($J31))*참고!$D$9,0)</f>
        <v>11002</v>
      </c>
      <c r="L31" s="34">
        <f>ROUND(
(($F31)*참고!$E$5)
+(($G31)*참고!$E$6)
+(($H31)*참고!$E$7)
+(($I31)*참고!$E$8)
+(($J31))*참고!$E$9,0)</f>
        <v>6297</v>
      </c>
      <c r="M31" s="34">
        <f>ROUND(
(($F31)*참고!$F$5)
+(($G31)*참고!$F$6)
+(($H31)*참고!$F$7)
+(($I31)*참고!$F$8)
+(($J31))*참고!$F$9,0)</f>
        <v>1769</v>
      </c>
      <c r="N31" s="34">
        <f>ROUND(
(($F31)*참고!$G$5)
+(($G31)*참고!$G$6)
+(($H31)*참고!$G$7)
+(($I31)*참고!$G$8)
+(($J31))*참고!$G$9,0)</f>
        <v>50</v>
      </c>
      <c r="O31" s="34">
        <f>ROUND(
(($F31)*참고!$H$5)
+(($G31)*참고!$H$6)
+(($H31)*참고!$H$7)
+(($I31)*참고!$H$8)
+(($J31))*참고!$H$9,0)</f>
        <v>1167</v>
      </c>
      <c r="P31" s="34">
        <f>ROUND(
(($F31)*참고!$I$5)
+(($G31)*참고!$I$6)
+(($H31)*참고!$I$7)
+(($I31)*참고!$I$8)
+(($J31))*참고!$I$9,0)</f>
        <v>2052</v>
      </c>
      <c r="Q31" s="34">
        <f>ROUND(
(($F31)*참고!$J$5)
+(($G31)*참고!$J$6)
+(($H31)*참고!$J$7)
+(($I31)*참고!$J$8)
+(($J31))*참고!$J$9,0)</f>
        <v>1415</v>
      </c>
      <c r="R31" s="34">
        <f>IF(E31="공격형",(INDEX(몬스터계수[[#Data],[속도]],MATCH(E31, 몬스터계수[[#Data],[타입]],0),1)*속도핸들러_곱계수)*(INT(몬스터밸런스[[#This Row],[Lv]]/속도핸들러_합계수+1)),
IF(E31="방어형",(INDEX(몬스터계수[[#Data],[속도]],MATCH(E31, 몬스터계수[[#Data],[타입]],0),1)*속도핸들러_곱계수)*(INT(몬스터밸런스[[#This Row],[Lv]]/속도핸들러_합계수+1)),
IF(E31="회피형",(INDEX(몬스터계수[[#Data],[속도]],MATCH(E31, 몬스터계수[[#Data],[타입]],0),1)*속도핸들러_곱계수)*(INT(몬스터밸런스[[#This Row],[Lv]]/속도핸들러_합계수+1)),
IF(E31="기본형",(INDEX(몬스터계수[[#Data],[속도]],MATCH(E31, 몬스터계수[[#Data],[타입]],0),1)*속도핸들러_곱계수)*(INT(몬스터밸런스[[#This Row],[Lv]]/속도핸들러_합계수+1)),0))))</f>
        <v>0</v>
      </c>
      <c r="S31">
        <f t="shared" si="0"/>
        <v>377739.5</v>
      </c>
      <c r="U31">
        <v>1</v>
      </c>
      <c r="V31">
        <v>29</v>
      </c>
      <c r="W31">
        <f>$Z$1*몬스터밸런스9[[#This Row],[단계]]</f>
        <v>5</v>
      </c>
      <c r="X31" t="s">
        <v>55</v>
      </c>
      <c r="Y31">
        <v>3</v>
      </c>
      <c r="AE31" s="34"/>
      <c r="AF31" s="34"/>
      <c r="AG31" s="34"/>
      <c r="AH31" s="34"/>
      <c r="AI31" s="34">
        <f>몬스터밸런스[[#This Row],[CriticalDamage]]*0.4</f>
        <v>466.8</v>
      </c>
      <c r="AJ31" s="34"/>
      <c r="AK31" s="34">
        <f>몬스터밸런스[[#This Row],[DodgeRate]]*0.6</f>
        <v>849</v>
      </c>
      <c r="AL31">
        <f t="shared" si="2"/>
        <v>19080.599999999999</v>
      </c>
    </row>
    <row r="32" spans="1:38">
      <c r="A32">
        <v>290</v>
      </c>
      <c r="B32">
        <v>30</v>
      </c>
      <c r="C32">
        <f>$F$1*몬스터밸런스[[#This Row],[Lv]]+15</f>
        <v>1465</v>
      </c>
      <c r="E32" t="s">
        <v>479</v>
      </c>
      <c r="F32">
        <f>IF(E32="공격형",INDEX(몬스터계수[[#Data],[생명계수]],MATCH(E32,몬스터계수[[#Data],[타입]],0),1)*C32,
IF(E32="방어형",INDEX(몬스터계수[[#Data],[생명계수]],MATCH(E32,몬스터계수[[#Data],[타입]],0),1)*C32,
IF(E32="회피형",INDEX(몬스터계수[[#Data],[생명계수]],MATCH(E32,몬스터계수[[#Data],[타입]],0),1)*C32,
IF(E32="체력형",INDEX(몬스터계수[[#Data],[생명계수]],MATCH(E32,몬스터계수[[#Data],[타입]],0),1)*C32,0))))*IF(몬스터밸런스[[#This Row],[보스]]=TRUE,2,1)</f>
        <v>732.5</v>
      </c>
      <c r="G32">
        <f>IF(E32="공격형",INDEX(몬스터계수[[#Data],[힘계수]],MATCH(E32, 몬스터계수[[#Data],[타입]],0),1)*C32,
IF(E32="방어형",INDEX(몬스터계수[[#Data],[힘계수]],MATCH(E32, 몬스터계수[[#Data],[타입]],0),1)*C32,
IF(E32="회피형",INDEX(몬스터계수[[#Data],[힘계수]],MATCH(E32, 몬스터계수[[#Data],[타입]],0),1)*C32,
IF(E32="체력형",INDEX(몬스터계수[[#Data],[힘계수]],MATCH(E32, 몬스터계수[[#Data],[타입]],0),1)*C32,0))))</f>
        <v>366.25</v>
      </c>
      <c r="H32">
        <f>IF(E32="공격형",INDEX(몬스터계수[[#Data],[근력게수]],MATCH(E32,몬스터계수[[#Data],[타입]],0),1)*C32,
IF(E32="방어형",INDEX(몬스터계수[[#Data],[근력게수]],MATCH(E32,몬스터계수[[#Data],[타입]],0),1)*C32,
IF(E32="회피형",INDEX(몬스터계수[[#Data],[근력게수]],MATCH(E32,몬스터계수[[#Data],[타입]],0),1)*C32,
IF(E32="체력형",INDEX(몬스터계수[[#Data],[근력게수]],MATCH(E32,몬스터계수[[#Data],[타입]],0),1)*C32,0))))</f>
        <v>73.25</v>
      </c>
      <c r="I32">
        <f>IF(E32="공격형",INDEX(몬스터계수[[#Data],[숙련도계수]],MATCH(E32,몬스터계수[[#Data],[타입]],0),1)*C32,
IF(E32="방어형",INDEX(몬스터계수[[#Data],[숙련도계수]],MATCH(E32,몬스터계수[[#Data],[타입]],0),1)*C32,
IF(E32="회피형",INDEX(몬스터계수[[#Data],[숙련도계수]],MATCH(E32,몬스터계수[[#Data],[타입]],0),1)*C32,
IF(E32="체력형",INDEX(몬스터계수[[#Data],[숙련도계수]],MATCH(E32,몬스터계수[[#Data],[타입]],0),1)*C32,0))))</f>
        <v>219.75</v>
      </c>
      <c r="J32">
        <f>IF(E32="공격형",INDEX(몬스터계수[[#Data],[행운계수]],MATCH(E32, 몬스터계수[[#Data],[타입]],0),1)*C32,
IF(E32="방어형",INDEX(몬스터계수[[#Data],[행운계수]],MATCH(E32, 몬스터계수[[#Data],[타입]],0),1)*C32,
IF(E32="회피형",INDEX(몬스터계수[[#Data],[행운계수]],MATCH(E32, 몬스터계수[[#Data],[타입]],0),1)*C32,
IF(E32="체력형",INDEX(몬스터계수[[#Data],[행운계수]],MATCH(E32, 몬스터계수[[#Data],[타입]],0),1)*C32,0))))</f>
        <v>73.25</v>
      </c>
      <c r="K32" s="34">
        <f>ROUND(
(($F32)*참고!$D$5)
+(($G32)*참고!$D$6)
+(($H32)*참고!$D$7)
+(($I32)*참고!$D$8)
+(($J32))*참고!$D$9,0)</f>
        <v>11390</v>
      </c>
      <c r="L32" s="34">
        <f>ROUND(
(($F32)*참고!$E$5)
+(($G32)*참고!$E$6)
+(($H32)*참고!$E$7)
+(($I32)*참고!$E$8)
+(($J32))*참고!$E$9,0)</f>
        <v>6519</v>
      </c>
      <c r="M32" s="34">
        <f>ROUND(
(($F32)*참고!$F$5)
+(($G32)*참고!$F$6)
+(($H32)*참고!$F$7)
+(($I32)*참고!$F$8)
+(($J32))*참고!$F$9,0)</f>
        <v>1831</v>
      </c>
      <c r="N32" s="34">
        <f>ROUND(
(($F32)*참고!$G$5)
+(($G32)*참고!$G$6)
+(($H32)*참고!$G$7)
+(($I32)*참고!$G$8)
+(($J32))*참고!$G$9,0)</f>
        <v>51</v>
      </c>
      <c r="O32" s="34">
        <f>ROUND(
(($F32)*참고!$H$5)
+(($G32)*참고!$H$6)
+(($H32)*참고!$H$7)
+(($I32)*참고!$H$8)
+(($J32))*참고!$H$9,0)</f>
        <v>1209</v>
      </c>
      <c r="P32" s="34">
        <f>ROUND(
(($F32)*참고!$I$5)
+(($G32)*참고!$I$6)
+(($H32)*참고!$I$7)
+(($I32)*참고!$I$8)
+(($J32))*참고!$I$9,0)</f>
        <v>2124</v>
      </c>
      <c r="Q32" s="34">
        <f>ROUND(
(($F32)*참고!$J$5)
+(($G32)*참고!$J$6)
+(($H32)*참고!$J$7)
+(($I32)*참고!$J$8)
+(($J32))*참고!$J$9,0)</f>
        <v>1465</v>
      </c>
      <c r="R32" s="34">
        <f>IF(E32="공격형",(INDEX(몬스터계수[[#Data],[속도]],MATCH(E32, 몬스터계수[[#Data],[타입]],0),1)*속도핸들러_곱계수)*(INT(몬스터밸런스[[#This Row],[Lv]]/속도핸들러_합계수+1)),
IF(E32="방어형",(INDEX(몬스터계수[[#Data],[속도]],MATCH(E32, 몬스터계수[[#Data],[타입]],0),1)*속도핸들러_곱계수)*(INT(몬스터밸런스[[#This Row],[Lv]]/속도핸들러_합계수+1)),
IF(E32="회피형",(INDEX(몬스터계수[[#Data],[속도]],MATCH(E32, 몬스터계수[[#Data],[타입]],0),1)*속도핸들러_곱계수)*(INT(몬스터밸런스[[#This Row],[Lv]]/속도핸들러_합계수+1)),
IF(E32="기본형",(INDEX(몬스터계수[[#Data],[속도]],MATCH(E32, 몬스터계수[[#Data],[타입]],0),1)*속도핸들러_곱계수)*(INT(몬스터밸런스[[#This Row],[Lv]]/속도핸들러_합계수+1)),0))))</f>
        <v>0</v>
      </c>
      <c r="S32">
        <f t="shared" si="0"/>
        <v>391055</v>
      </c>
      <c r="U32">
        <v>1</v>
      </c>
      <c r="V32">
        <v>30</v>
      </c>
      <c r="W32">
        <f>$Z$1*몬스터밸런스9[[#This Row],[단계]]</f>
        <v>5</v>
      </c>
      <c r="X32" t="s">
        <v>55</v>
      </c>
      <c r="Y32">
        <v>4</v>
      </c>
      <c r="AE32" s="34"/>
      <c r="AF32" s="34"/>
      <c r="AG32" s="34"/>
      <c r="AH32" s="34"/>
      <c r="AI32" s="34">
        <f>몬스터밸런스[[#This Row],[CriticalDamage]]*0.4</f>
        <v>483.6</v>
      </c>
      <c r="AJ32" s="34"/>
      <c r="AK32" s="34">
        <f>몬스터밸런스[[#This Row],[DodgeRate]]*0.6</f>
        <v>879</v>
      </c>
      <c r="AL32">
        <f t="shared" si="2"/>
        <v>19756.2</v>
      </c>
    </row>
    <row r="33" spans="1:38">
      <c r="A33">
        <v>300</v>
      </c>
      <c r="B33">
        <v>31</v>
      </c>
      <c r="C33">
        <f>$F$1*몬스터밸런스[[#This Row],[Lv]]+15</f>
        <v>1515</v>
      </c>
      <c r="E33" t="s">
        <v>479</v>
      </c>
      <c r="F33">
        <f>IF(E33="공격형",INDEX(몬스터계수[[#Data],[생명계수]],MATCH(E33,몬스터계수[[#Data],[타입]],0),1)*C33,
IF(E33="방어형",INDEX(몬스터계수[[#Data],[생명계수]],MATCH(E33,몬스터계수[[#Data],[타입]],0),1)*C33,
IF(E33="회피형",INDEX(몬스터계수[[#Data],[생명계수]],MATCH(E33,몬스터계수[[#Data],[타입]],0),1)*C33,
IF(E33="체력형",INDEX(몬스터계수[[#Data],[생명계수]],MATCH(E33,몬스터계수[[#Data],[타입]],0),1)*C33,0))))*IF(몬스터밸런스[[#This Row],[보스]]=TRUE,2,1)</f>
        <v>757.5</v>
      </c>
      <c r="G33">
        <f>IF(E33="공격형",INDEX(몬스터계수[[#Data],[힘계수]],MATCH(E33, 몬스터계수[[#Data],[타입]],0),1)*C33,
IF(E33="방어형",INDEX(몬스터계수[[#Data],[힘계수]],MATCH(E33, 몬스터계수[[#Data],[타입]],0),1)*C33,
IF(E33="회피형",INDEX(몬스터계수[[#Data],[힘계수]],MATCH(E33, 몬스터계수[[#Data],[타입]],0),1)*C33,
IF(E33="체력형",INDEX(몬스터계수[[#Data],[힘계수]],MATCH(E33, 몬스터계수[[#Data],[타입]],0),1)*C33,0))))</f>
        <v>378.75</v>
      </c>
      <c r="H33">
        <f>IF(E33="공격형",INDEX(몬스터계수[[#Data],[근력게수]],MATCH(E33,몬스터계수[[#Data],[타입]],0),1)*C33,
IF(E33="방어형",INDEX(몬스터계수[[#Data],[근력게수]],MATCH(E33,몬스터계수[[#Data],[타입]],0),1)*C33,
IF(E33="회피형",INDEX(몬스터계수[[#Data],[근력게수]],MATCH(E33,몬스터계수[[#Data],[타입]],0),1)*C33,
IF(E33="체력형",INDEX(몬스터계수[[#Data],[근력게수]],MATCH(E33,몬스터계수[[#Data],[타입]],0),1)*C33,0))))</f>
        <v>75.75</v>
      </c>
      <c r="I33">
        <f>IF(E33="공격형",INDEX(몬스터계수[[#Data],[숙련도계수]],MATCH(E33,몬스터계수[[#Data],[타입]],0),1)*C33,
IF(E33="방어형",INDEX(몬스터계수[[#Data],[숙련도계수]],MATCH(E33,몬스터계수[[#Data],[타입]],0),1)*C33,
IF(E33="회피형",INDEX(몬스터계수[[#Data],[숙련도계수]],MATCH(E33,몬스터계수[[#Data],[타입]],0),1)*C33,
IF(E33="체력형",INDEX(몬스터계수[[#Data],[숙련도계수]],MATCH(E33,몬스터계수[[#Data],[타입]],0),1)*C33,0))))</f>
        <v>227.25</v>
      </c>
      <c r="J33">
        <f>IF(E33="공격형",INDEX(몬스터계수[[#Data],[행운계수]],MATCH(E33, 몬스터계수[[#Data],[타입]],0),1)*C33,
IF(E33="방어형",INDEX(몬스터계수[[#Data],[행운계수]],MATCH(E33, 몬스터계수[[#Data],[타입]],0),1)*C33,
IF(E33="회피형",INDEX(몬스터계수[[#Data],[행운계수]],MATCH(E33, 몬스터계수[[#Data],[타입]],0),1)*C33,
IF(E33="체력형",INDEX(몬스터계수[[#Data],[행운계수]],MATCH(E33, 몬스터계수[[#Data],[타입]],0),1)*C33,0))))</f>
        <v>75.75</v>
      </c>
      <c r="K33" s="34">
        <f>ROUND(
(($F33)*참고!$D$5)
+(($G33)*참고!$D$6)
+(($H33)*참고!$D$7)
+(($I33)*참고!$D$8)
+(($J33))*참고!$D$9,0)</f>
        <v>11779</v>
      </c>
      <c r="L33" s="34">
        <f>ROUND(
(($F33)*참고!$E$5)
+(($G33)*참고!$E$6)
+(($H33)*참고!$E$7)
+(($I33)*참고!$E$8)
+(($J33))*참고!$E$9,0)</f>
        <v>6742</v>
      </c>
      <c r="M33" s="34">
        <f>ROUND(
(($F33)*참고!$F$5)
+(($G33)*참고!$F$6)
+(($H33)*참고!$F$7)
+(($I33)*참고!$F$8)
+(($J33))*참고!$F$9,0)</f>
        <v>1894</v>
      </c>
      <c r="N33" s="34">
        <f>ROUND(
(($F33)*참고!$G$5)
+(($G33)*참고!$G$6)
+(($H33)*참고!$G$7)
+(($I33)*참고!$G$8)
+(($J33))*참고!$G$9,0)</f>
        <v>53</v>
      </c>
      <c r="O33" s="34">
        <f>ROUND(
(($F33)*참고!$H$5)
+(($G33)*참고!$H$6)
+(($H33)*참고!$H$7)
+(($I33)*참고!$H$8)
+(($J33))*참고!$H$9,0)</f>
        <v>1250</v>
      </c>
      <c r="P33" s="34">
        <f>ROUND(
(($F33)*참고!$I$5)
+(($G33)*참고!$I$6)
+(($H33)*참고!$I$7)
+(($I33)*참고!$I$8)
+(($J33))*참고!$I$9,0)</f>
        <v>2197</v>
      </c>
      <c r="Q33" s="34">
        <f>ROUND(
(($F33)*참고!$J$5)
+(($G33)*참고!$J$6)
+(($H33)*참고!$J$7)
+(($I33)*참고!$J$8)
+(($J33))*참고!$J$9,0)</f>
        <v>1515</v>
      </c>
      <c r="R33" s="34">
        <f>IF(E33="공격형",(INDEX(몬스터계수[[#Data],[속도]],MATCH(E33, 몬스터계수[[#Data],[타입]],0),1)*속도핸들러_곱계수)*(INT(몬스터밸런스[[#This Row],[Lv]]/속도핸들러_합계수+1)),
IF(E33="방어형",(INDEX(몬스터계수[[#Data],[속도]],MATCH(E33, 몬스터계수[[#Data],[타입]],0),1)*속도핸들러_곱계수)*(INT(몬스터밸런스[[#This Row],[Lv]]/속도핸들러_합계수+1)),
IF(E33="회피형",(INDEX(몬스터계수[[#Data],[속도]],MATCH(E33, 몬스터계수[[#Data],[타입]],0),1)*속도핸들러_곱계수)*(INT(몬스터밸런스[[#This Row],[Lv]]/속도핸들러_합계수+1)),
IF(E33="기본형",(INDEX(몬스터계수[[#Data],[속도]],MATCH(E33, 몬스터계수[[#Data],[타입]],0),1)*속도핸들러_곱계수)*(INT(몬스터밸런스[[#This Row],[Lv]]/속도핸들러_합계수+1)),0))))</f>
        <v>0</v>
      </c>
      <c r="S33">
        <f t="shared" si="0"/>
        <v>404427</v>
      </c>
      <c r="U33">
        <v>2</v>
      </c>
      <c r="V33">
        <v>31</v>
      </c>
      <c r="W33">
        <f>$Z$1*몬스터밸런스9[[#This Row],[단계]]</f>
        <v>10</v>
      </c>
      <c r="X33" t="s">
        <v>55</v>
      </c>
      <c r="Y33">
        <v>0</v>
      </c>
      <c r="AE33" s="34"/>
      <c r="AF33" s="34"/>
      <c r="AG33" s="34"/>
      <c r="AH33" s="34"/>
      <c r="AI33" s="34">
        <f>몬스터밸런스[[#This Row],[CriticalDamage]]*0.4</f>
        <v>500</v>
      </c>
      <c r="AJ33" s="34"/>
      <c r="AK33" s="34">
        <f>몬스터밸런스[[#This Row],[DodgeRate]]*0.6</f>
        <v>909</v>
      </c>
      <c r="AL33">
        <f t="shared" si="2"/>
        <v>20430</v>
      </c>
    </row>
    <row r="34" spans="1:38">
      <c r="A34">
        <v>310</v>
      </c>
      <c r="B34">
        <v>32</v>
      </c>
      <c r="C34">
        <f>$F$1*몬스터밸런스[[#This Row],[Lv]]+15</f>
        <v>1565</v>
      </c>
      <c r="D34" t="b">
        <v>1</v>
      </c>
      <c r="E34" t="s">
        <v>479</v>
      </c>
      <c r="F34">
        <f>IF(E34="공격형",INDEX(몬스터계수[[#Data],[생명계수]],MATCH(E34,몬스터계수[[#Data],[타입]],0),1)*C34,
IF(E34="방어형",INDEX(몬스터계수[[#Data],[생명계수]],MATCH(E34,몬스터계수[[#Data],[타입]],0),1)*C34,
IF(E34="회피형",INDEX(몬스터계수[[#Data],[생명계수]],MATCH(E34,몬스터계수[[#Data],[타입]],0),1)*C34,
IF(E34="체력형",INDEX(몬스터계수[[#Data],[생명계수]],MATCH(E34,몬스터계수[[#Data],[타입]],0),1)*C34,0))))*IF(몬스터밸런스[[#This Row],[보스]]=TRUE,2,1)</f>
        <v>1565</v>
      </c>
      <c r="G34">
        <f>IF(E34="공격형",INDEX(몬스터계수[[#Data],[힘계수]],MATCH(E34, 몬스터계수[[#Data],[타입]],0),1)*C34,
IF(E34="방어형",INDEX(몬스터계수[[#Data],[힘계수]],MATCH(E34, 몬스터계수[[#Data],[타입]],0),1)*C34,
IF(E34="회피형",INDEX(몬스터계수[[#Data],[힘계수]],MATCH(E34, 몬스터계수[[#Data],[타입]],0),1)*C34,
IF(E34="체력형",INDEX(몬스터계수[[#Data],[힘계수]],MATCH(E34, 몬스터계수[[#Data],[타입]],0),1)*C34,0))))</f>
        <v>391.25</v>
      </c>
      <c r="H34">
        <f>IF(E34="공격형",INDEX(몬스터계수[[#Data],[근력게수]],MATCH(E34,몬스터계수[[#Data],[타입]],0),1)*C34,
IF(E34="방어형",INDEX(몬스터계수[[#Data],[근력게수]],MATCH(E34,몬스터계수[[#Data],[타입]],0),1)*C34,
IF(E34="회피형",INDEX(몬스터계수[[#Data],[근력게수]],MATCH(E34,몬스터계수[[#Data],[타입]],0),1)*C34,
IF(E34="체력형",INDEX(몬스터계수[[#Data],[근력게수]],MATCH(E34,몬스터계수[[#Data],[타입]],0),1)*C34,0))))</f>
        <v>78.25</v>
      </c>
      <c r="I34">
        <f>IF(E34="공격형",INDEX(몬스터계수[[#Data],[숙련도계수]],MATCH(E34,몬스터계수[[#Data],[타입]],0),1)*C34,
IF(E34="방어형",INDEX(몬스터계수[[#Data],[숙련도계수]],MATCH(E34,몬스터계수[[#Data],[타입]],0),1)*C34,
IF(E34="회피형",INDEX(몬스터계수[[#Data],[숙련도계수]],MATCH(E34,몬스터계수[[#Data],[타입]],0),1)*C34,
IF(E34="체력형",INDEX(몬스터계수[[#Data],[숙련도계수]],MATCH(E34,몬스터계수[[#Data],[타입]],0),1)*C34,0))))</f>
        <v>234.75</v>
      </c>
      <c r="J34">
        <f>IF(E34="공격형",INDEX(몬스터계수[[#Data],[행운계수]],MATCH(E34, 몬스터계수[[#Data],[타입]],0),1)*C34,
IF(E34="방어형",INDEX(몬스터계수[[#Data],[행운계수]],MATCH(E34, 몬스터계수[[#Data],[타입]],0),1)*C34,
IF(E34="회피형",INDEX(몬스터계수[[#Data],[행운계수]],MATCH(E34, 몬스터계수[[#Data],[타입]],0),1)*C34,
IF(E34="체력형",INDEX(몬스터계수[[#Data],[행운계수]],MATCH(E34, 몬스터계수[[#Data],[타입]],0),1)*C34,0))))</f>
        <v>78.25</v>
      </c>
      <c r="K34" s="34">
        <f>ROUND(
(($F34)*참고!$D$5)
+(($G34)*참고!$D$6)
+(($H34)*참고!$D$7)
+(($I34)*참고!$D$8)
+(($J34))*참고!$D$9,0)</f>
        <v>23905</v>
      </c>
      <c r="L34" s="34">
        <f>ROUND(
(($F34)*참고!$E$5)
+(($G34)*참고!$E$6)
+(($H34)*참고!$E$7)
+(($I34)*참고!$E$8)
+(($J34))*참고!$E$9,0)</f>
        <v>9312</v>
      </c>
      <c r="M34" s="34">
        <f>ROUND(
(($F34)*참고!$F$5)
+(($G34)*참고!$F$6)
+(($H34)*참고!$F$7)
+(($I34)*참고!$F$8)
+(($J34))*참고!$F$9,0)</f>
        <v>2739</v>
      </c>
      <c r="N34" s="34">
        <f>ROUND(
(($F34)*참고!$G$5)
+(($G34)*참고!$G$6)
+(($H34)*참고!$G$7)
+(($I34)*참고!$G$8)
+(($J34))*참고!$G$9,0)</f>
        <v>55</v>
      </c>
      <c r="O34" s="34">
        <f>ROUND(
(($F34)*참고!$H$5)
+(($G34)*참고!$H$6)
+(($H34)*참고!$H$7)
+(($I34)*참고!$H$8)
+(($J34))*참고!$H$9,0)</f>
        <v>1291</v>
      </c>
      <c r="P34" s="34">
        <f>ROUND(
(($F34)*참고!$I$5)
+(($G34)*참고!$I$6)
+(($H34)*참고!$I$7)
+(($I34)*참고!$I$8)
+(($J34))*참고!$I$9,0)</f>
        <v>2269</v>
      </c>
      <c r="Q34" s="34">
        <f>ROUND(
(($F34)*참고!$J$5)
+(($G34)*참고!$J$6)
+(($H34)*참고!$J$7)
+(($I34)*참고!$J$8)
+(($J34))*참고!$J$9,0)</f>
        <v>1565</v>
      </c>
      <c r="R34" s="34">
        <f>IF(E34="공격형",(INDEX(몬스터계수[[#Data],[속도]],MATCH(E34, 몬스터계수[[#Data],[타입]],0),1)*속도핸들러_곱계수)*(INT(몬스터밸런스[[#This Row],[Lv]]/속도핸들러_합계수+1)),
IF(E34="방어형",(INDEX(몬스터계수[[#Data],[속도]],MATCH(E34, 몬스터계수[[#Data],[타입]],0),1)*속도핸들러_곱계수)*(INT(몬스터밸런스[[#This Row],[Lv]]/속도핸들러_합계수+1)),
IF(E34="회피형",(INDEX(몬스터계수[[#Data],[속도]],MATCH(E34, 몬스터계수[[#Data],[타입]],0),1)*속도핸들러_곱계수)*(INT(몬스터밸런스[[#This Row],[Lv]]/속도핸들러_합계수+1)),
IF(E34="기본형",(INDEX(몬스터계수[[#Data],[속도]],MATCH(E34, 몬스터계수[[#Data],[타입]],0),1)*속도핸들러_곱계수)*(INT(몬스터밸런스[[#This Row],[Lv]]/속도핸들러_합계수+1)),0))))</f>
        <v>0</v>
      </c>
      <c r="S34">
        <f t="shared" si="0"/>
        <v>673249.5</v>
      </c>
      <c r="U34">
        <v>2</v>
      </c>
      <c r="V34">
        <v>32</v>
      </c>
      <c r="W34">
        <f>$Z$1*몬스터밸런스9[[#This Row],[단계]]</f>
        <v>10</v>
      </c>
      <c r="X34" t="s">
        <v>55</v>
      </c>
      <c r="Y34">
        <v>1</v>
      </c>
      <c r="AE34" s="34"/>
      <c r="AF34" s="34"/>
      <c r="AG34" s="34"/>
      <c r="AH34" s="34"/>
      <c r="AI34" s="34">
        <f>몬스터밸런스[[#This Row],[CriticalDamage]]*0.4</f>
        <v>516.4</v>
      </c>
      <c r="AJ34" s="34"/>
      <c r="AK34" s="34">
        <f>몬스터밸런스[[#This Row],[DodgeRate]]*0.6</f>
        <v>939</v>
      </c>
      <c r="AL34">
        <f t="shared" si="2"/>
        <v>21103.8</v>
      </c>
    </row>
    <row r="35" spans="1:38">
      <c r="A35">
        <v>320</v>
      </c>
      <c r="B35">
        <v>33</v>
      </c>
      <c r="C35">
        <f>$F$1*몬스터밸런스[[#This Row],[Lv]]+15</f>
        <v>1615</v>
      </c>
      <c r="E35" t="s">
        <v>479</v>
      </c>
      <c r="F35">
        <f>IF(E35="공격형",INDEX(몬스터계수[[#Data],[생명계수]],MATCH(E35,몬스터계수[[#Data],[타입]],0),1)*C35,
IF(E35="방어형",INDEX(몬스터계수[[#Data],[생명계수]],MATCH(E35,몬스터계수[[#Data],[타입]],0),1)*C35,
IF(E35="회피형",INDEX(몬스터계수[[#Data],[생명계수]],MATCH(E35,몬스터계수[[#Data],[타입]],0),1)*C35,
IF(E35="체력형",INDEX(몬스터계수[[#Data],[생명계수]],MATCH(E35,몬스터계수[[#Data],[타입]],0),1)*C35,0))))*IF(몬스터밸런스[[#This Row],[보스]]=TRUE,2,1)</f>
        <v>807.5</v>
      </c>
      <c r="G35">
        <f>IF(E35="공격형",INDEX(몬스터계수[[#Data],[힘계수]],MATCH(E35, 몬스터계수[[#Data],[타입]],0),1)*C35,
IF(E35="방어형",INDEX(몬스터계수[[#Data],[힘계수]],MATCH(E35, 몬스터계수[[#Data],[타입]],0),1)*C35,
IF(E35="회피형",INDEX(몬스터계수[[#Data],[힘계수]],MATCH(E35, 몬스터계수[[#Data],[타입]],0),1)*C35,
IF(E35="체력형",INDEX(몬스터계수[[#Data],[힘계수]],MATCH(E35, 몬스터계수[[#Data],[타입]],0),1)*C35,0))))</f>
        <v>403.75</v>
      </c>
      <c r="H35">
        <f>IF(E35="공격형",INDEX(몬스터계수[[#Data],[근력게수]],MATCH(E35,몬스터계수[[#Data],[타입]],0),1)*C35,
IF(E35="방어형",INDEX(몬스터계수[[#Data],[근력게수]],MATCH(E35,몬스터계수[[#Data],[타입]],0),1)*C35,
IF(E35="회피형",INDEX(몬스터계수[[#Data],[근력게수]],MATCH(E35,몬스터계수[[#Data],[타입]],0),1)*C35,
IF(E35="체력형",INDEX(몬스터계수[[#Data],[근력게수]],MATCH(E35,몬스터계수[[#Data],[타입]],0),1)*C35,0))))</f>
        <v>80.75</v>
      </c>
      <c r="I35">
        <f>IF(E35="공격형",INDEX(몬스터계수[[#Data],[숙련도계수]],MATCH(E35,몬스터계수[[#Data],[타입]],0),1)*C35,
IF(E35="방어형",INDEX(몬스터계수[[#Data],[숙련도계수]],MATCH(E35,몬스터계수[[#Data],[타입]],0),1)*C35,
IF(E35="회피형",INDEX(몬스터계수[[#Data],[숙련도계수]],MATCH(E35,몬스터계수[[#Data],[타입]],0),1)*C35,
IF(E35="체력형",INDEX(몬스터계수[[#Data],[숙련도계수]],MATCH(E35,몬스터계수[[#Data],[타입]],0),1)*C35,0))))</f>
        <v>242.25</v>
      </c>
      <c r="J35">
        <f>IF(E35="공격형",INDEX(몬스터계수[[#Data],[행운계수]],MATCH(E35, 몬스터계수[[#Data],[타입]],0),1)*C35,
IF(E35="방어형",INDEX(몬스터계수[[#Data],[행운계수]],MATCH(E35, 몬스터계수[[#Data],[타입]],0),1)*C35,
IF(E35="회피형",INDEX(몬스터계수[[#Data],[행운계수]],MATCH(E35, 몬스터계수[[#Data],[타입]],0),1)*C35,
IF(E35="체력형",INDEX(몬스터계수[[#Data],[행운계수]],MATCH(E35, 몬스터계수[[#Data],[타입]],0),1)*C35,0))))</f>
        <v>80.75</v>
      </c>
      <c r="K35" s="34">
        <f>ROUND(
(($F35)*참고!$D$5)
+(($G35)*참고!$D$6)
+(($H35)*참고!$D$7)
+(($I35)*참고!$D$8)
+(($J35))*참고!$D$9,0)</f>
        <v>12557</v>
      </c>
      <c r="L35" s="34">
        <f>ROUND(
(($F35)*참고!$E$5)
+(($G35)*참고!$E$6)
+(($H35)*참고!$E$7)
+(($I35)*참고!$E$8)
+(($J35))*참고!$E$9,0)</f>
        <v>7187</v>
      </c>
      <c r="M35" s="34">
        <f>ROUND(
(($F35)*참고!$F$5)
+(($G35)*참고!$F$6)
+(($H35)*참고!$F$7)
+(($I35)*참고!$F$8)
+(($J35))*참고!$F$9,0)</f>
        <v>2019</v>
      </c>
      <c r="N35" s="34">
        <f>ROUND(
(($F35)*참고!$G$5)
+(($G35)*참고!$G$6)
+(($H35)*참고!$G$7)
+(($I35)*참고!$G$8)
+(($J35))*참고!$G$9,0)</f>
        <v>57</v>
      </c>
      <c r="O35" s="34">
        <f>ROUND(
(($F35)*참고!$H$5)
+(($G35)*참고!$H$6)
+(($H35)*참고!$H$7)
+(($I35)*참고!$H$8)
+(($J35))*참고!$H$9,0)</f>
        <v>1332</v>
      </c>
      <c r="P35" s="34">
        <f>ROUND(
(($F35)*참고!$I$5)
+(($G35)*참고!$I$6)
+(($H35)*참고!$I$7)
+(($I35)*참고!$I$8)
+(($J35))*참고!$I$9,0)</f>
        <v>2342</v>
      </c>
      <c r="Q35" s="34">
        <f>ROUND(
(($F35)*참고!$J$5)
+(($G35)*참고!$J$6)
+(($H35)*참고!$J$7)
+(($I35)*참고!$J$8)
+(($J35))*참고!$J$9,0)</f>
        <v>1615</v>
      </c>
      <c r="R35" s="34">
        <f>IF(E35="공격형",(INDEX(몬스터계수[[#Data],[속도]],MATCH(E35, 몬스터계수[[#Data],[타입]],0),1)*속도핸들러_곱계수)*(INT(몬스터밸런스[[#This Row],[Lv]]/속도핸들러_합계수+1)),
IF(E35="방어형",(INDEX(몬스터계수[[#Data],[속도]],MATCH(E35, 몬스터계수[[#Data],[타입]],0),1)*속도핸들러_곱계수)*(INT(몬스터밸런스[[#This Row],[Lv]]/속도핸들러_합계수+1)),
IF(E35="회피형",(INDEX(몬스터계수[[#Data],[속도]],MATCH(E35, 몬스터계수[[#Data],[타입]],0),1)*속도핸들러_곱계수)*(INT(몬스터밸런스[[#This Row],[Lv]]/속도핸들러_합계수+1)),
IF(E35="기본형",(INDEX(몬스터계수[[#Data],[속도]],MATCH(E35, 몬스터계수[[#Data],[타입]],0),1)*속도핸들러_곱계수)*(INT(몬스터밸런스[[#This Row],[Lv]]/속도핸들러_합계수+1)),0))))</f>
        <v>0</v>
      </c>
      <c r="S35">
        <f t="shared" si="0"/>
        <v>431128</v>
      </c>
      <c r="U35">
        <v>2</v>
      </c>
      <c r="V35">
        <v>33</v>
      </c>
      <c r="W35">
        <f>$Z$1*몬스터밸런스9[[#This Row],[단계]]</f>
        <v>10</v>
      </c>
      <c r="X35" t="s">
        <v>55</v>
      </c>
      <c r="Y35">
        <v>2</v>
      </c>
      <c r="AE35" s="34"/>
      <c r="AF35" s="34"/>
      <c r="AG35" s="34"/>
      <c r="AH35" s="34"/>
      <c r="AI35" s="34">
        <f>몬스터밸런스[[#This Row],[CriticalDamage]]*0.4</f>
        <v>532.80000000000007</v>
      </c>
      <c r="AJ35" s="34"/>
      <c r="AK35" s="34">
        <f>몬스터밸런스[[#This Row],[DodgeRate]]*0.6</f>
        <v>969</v>
      </c>
      <c r="AL35">
        <f t="shared" si="2"/>
        <v>21777.599999999999</v>
      </c>
    </row>
    <row r="36" spans="1:38">
      <c r="A36">
        <v>330</v>
      </c>
      <c r="B36">
        <v>34</v>
      </c>
      <c r="C36">
        <f>$F$1*몬스터밸런스[[#This Row],[Lv]]+15</f>
        <v>1665</v>
      </c>
      <c r="E36" t="s">
        <v>479</v>
      </c>
      <c r="F36">
        <f>IF(E36="공격형",INDEX(몬스터계수[[#Data],[생명계수]],MATCH(E36,몬스터계수[[#Data],[타입]],0),1)*C36,
IF(E36="방어형",INDEX(몬스터계수[[#Data],[생명계수]],MATCH(E36,몬스터계수[[#Data],[타입]],0),1)*C36,
IF(E36="회피형",INDEX(몬스터계수[[#Data],[생명계수]],MATCH(E36,몬스터계수[[#Data],[타입]],0),1)*C36,
IF(E36="체력형",INDEX(몬스터계수[[#Data],[생명계수]],MATCH(E36,몬스터계수[[#Data],[타입]],0),1)*C36,0))))*IF(몬스터밸런스[[#This Row],[보스]]=TRUE,2,1)</f>
        <v>832.5</v>
      </c>
      <c r="G36">
        <f>IF(E36="공격형",INDEX(몬스터계수[[#Data],[힘계수]],MATCH(E36, 몬스터계수[[#Data],[타입]],0),1)*C36,
IF(E36="방어형",INDEX(몬스터계수[[#Data],[힘계수]],MATCH(E36, 몬스터계수[[#Data],[타입]],0),1)*C36,
IF(E36="회피형",INDEX(몬스터계수[[#Data],[힘계수]],MATCH(E36, 몬스터계수[[#Data],[타입]],0),1)*C36,
IF(E36="체력형",INDEX(몬스터계수[[#Data],[힘계수]],MATCH(E36, 몬스터계수[[#Data],[타입]],0),1)*C36,0))))</f>
        <v>416.25</v>
      </c>
      <c r="H36">
        <f>IF(E36="공격형",INDEX(몬스터계수[[#Data],[근력게수]],MATCH(E36,몬스터계수[[#Data],[타입]],0),1)*C36,
IF(E36="방어형",INDEX(몬스터계수[[#Data],[근력게수]],MATCH(E36,몬스터계수[[#Data],[타입]],0),1)*C36,
IF(E36="회피형",INDEX(몬스터계수[[#Data],[근력게수]],MATCH(E36,몬스터계수[[#Data],[타입]],0),1)*C36,
IF(E36="체력형",INDEX(몬스터계수[[#Data],[근력게수]],MATCH(E36,몬스터계수[[#Data],[타입]],0),1)*C36,0))))</f>
        <v>83.25</v>
      </c>
      <c r="I36">
        <f>IF(E36="공격형",INDEX(몬스터계수[[#Data],[숙련도계수]],MATCH(E36,몬스터계수[[#Data],[타입]],0),1)*C36,
IF(E36="방어형",INDEX(몬스터계수[[#Data],[숙련도계수]],MATCH(E36,몬스터계수[[#Data],[타입]],0),1)*C36,
IF(E36="회피형",INDEX(몬스터계수[[#Data],[숙련도계수]],MATCH(E36,몬스터계수[[#Data],[타입]],0),1)*C36,
IF(E36="체력형",INDEX(몬스터계수[[#Data],[숙련도계수]],MATCH(E36,몬스터계수[[#Data],[타입]],0),1)*C36,0))))</f>
        <v>249.75</v>
      </c>
      <c r="J36">
        <f>IF(E36="공격형",INDEX(몬스터계수[[#Data],[행운계수]],MATCH(E36, 몬스터계수[[#Data],[타입]],0),1)*C36,
IF(E36="방어형",INDEX(몬스터계수[[#Data],[행운계수]],MATCH(E36, 몬스터계수[[#Data],[타입]],0),1)*C36,
IF(E36="회피형",INDEX(몬스터계수[[#Data],[행운계수]],MATCH(E36, 몬스터계수[[#Data],[타입]],0),1)*C36,
IF(E36="체력형",INDEX(몬스터계수[[#Data],[행운계수]],MATCH(E36, 몬스터계수[[#Data],[타입]],0),1)*C36,0))))</f>
        <v>83.25</v>
      </c>
      <c r="K36" s="34">
        <f>ROUND(
(($F36)*참고!$D$5)
+(($G36)*참고!$D$6)
+(($H36)*참고!$D$7)
+(($I36)*참고!$D$8)
+(($J36))*참고!$D$9,0)</f>
        <v>12945</v>
      </c>
      <c r="L36" s="34">
        <f>ROUND(
(($F36)*참고!$E$5)
+(($G36)*참고!$E$6)
+(($H36)*참고!$E$7)
+(($I36)*참고!$E$8)
+(($J36))*참고!$E$9,0)</f>
        <v>7409</v>
      </c>
      <c r="M36" s="34">
        <f>ROUND(
(($F36)*참고!$F$5)
+(($G36)*참고!$F$6)
+(($H36)*참고!$F$7)
+(($I36)*참고!$F$8)
+(($J36))*참고!$F$9,0)</f>
        <v>2081</v>
      </c>
      <c r="N36" s="34">
        <f>ROUND(
(($F36)*참고!$G$5)
+(($G36)*참고!$G$6)
+(($H36)*참고!$G$7)
+(($I36)*참고!$G$8)
+(($J36))*참고!$G$9,0)</f>
        <v>58</v>
      </c>
      <c r="O36" s="34">
        <f>ROUND(
(($F36)*참고!$H$5)
+(($G36)*참고!$H$6)
+(($H36)*참고!$H$7)
+(($I36)*참고!$H$8)
+(($J36))*참고!$H$9,0)</f>
        <v>1374</v>
      </c>
      <c r="P36" s="34">
        <f>ROUND(
(($F36)*참고!$I$5)
+(($G36)*참고!$I$6)
+(($H36)*참고!$I$7)
+(($I36)*참고!$I$8)
+(($J36))*참고!$I$9,0)</f>
        <v>2414</v>
      </c>
      <c r="Q36" s="34">
        <f>ROUND(
(($F36)*참고!$J$5)
+(($G36)*참고!$J$6)
+(($H36)*참고!$J$7)
+(($I36)*참고!$J$8)
+(($J36))*참고!$J$9,0)</f>
        <v>1665</v>
      </c>
      <c r="R36" s="34">
        <f>IF(E36="공격형",(INDEX(몬스터계수[[#Data],[속도]],MATCH(E36, 몬스터계수[[#Data],[타입]],0),1)*속도핸들러_곱계수)*(INT(몬스터밸런스[[#This Row],[Lv]]/속도핸들러_합계수+1)),
IF(E36="방어형",(INDEX(몬스터계수[[#Data],[속도]],MATCH(E36, 몬스터계수[[#Data],[타입]],0),1)*속도핸들러_곱계수)*(INT(몬스터밸런스[[#This Row],[Lv]]/속도핸들러_합계수+1)),
IF(E36="회피형",(INDEX(몬스터계수[[#Data],[속도]],MATCH(E36, 몬스터계수[[#Data],[타입]],0),1)*속도핸들러_곱계수)*(INT(몬스터밸런스[[#This Row],[Lv]]/속도핸들러_합계수+1)),
IF(E36="기본형",(INDEX(몬스터계수[[#Data],[속도]],MATCH(E36, 몬스터계수[[#Data],[타입]],0),1)*속도핸들러_곱계수)*(INT(몬스터밸런스[[#This Row],[Lv]]/속도핸들러_합계수+1)),0))))</f>
        <v>0</v>
      </c>
      <c r="S36">
        <f t="shared" si="0"/>
        <v>444443.5</v>
      </c>
      <c r="U36">
        <v>2</v>
      </c>
      <c r="V36">
        <v>34</v>
      </c>
      <c r="W36">
        <f>$Z$1*몬스터밸런스9[[#This Row],[단계]]</f>
        <v>10</v>
      </c>
      <c r="X36" t="s">
        <v>55</v>
      </c>
      <c r="Y36">
        <v>3</v>
      </c>
      <c r="AE36" s="34"/>
      <c r="AF36" s="34"/>
      <c r="AG36" s="34"/>
      <c r="AH36" s="34"/>
      <c r="AI36" s="34">
        <f>몬스터밸런스[[#This Row],[CriticalDamage]]*0.4</f>
        <v>549.6</v>
      </c>
      <c r="AJ36" s="34"/>
      <c r="AK36" s="34">
        <f>몬스터밸런스[[#This Row],[DodgeRate]]*0.6</f>
        <v>999</v>
      </c>
      <c r="AL36">
        <f t="shared" si="2"/>
        <v>22453.200000000001</v>
      </c>
    </row>
    <row r="37" spans="1:38">
      <c r="A37">
        <v>340</v>
      </c>
      <c r="B37">
        <v>35</v>
      </c>
      <c r="C37">
        <f>$F$1*몬스터밸런스[[#This Row],[Lv]]+15</f>
        <v>1715</v>
      </c>
      <c r="E37" t="s">
        <v>479</v>
      </c>
      <c r="F37">
        <f>IF(E37="공격형",INDEX(몬스터계수[[#Data],[생명계수]],MATCH(E37,몬스터계수[[#Data],[타입]],0),1)*C37,
IF(E37="방어형",INDEX(몬스터계수[[#Data],[생명계수]],MATCH(E37,몬스터계수[[#Data],[타입]],0),1)*C37,
IF(E37="회피형",INDEX(몬스터계수[[#Data],[생명계수]],MATCH(E37,몬스터계수[[#Data],[타입]],0),1)*C37,
IF(E37="체력형",INDEX(몬스터계수[[#Data],[생명계수]],MATCH(E37,몬스터계수[[#Data],[타입]],0),1)*C37,0))))*IF(몬스터밸런스[[#This Row],[보스]]=TRUE,2,1)</f>
        <v>857.5</v>
      </c>
      <c r="G37">
        <f>IF(E37="공격형",INDEX(몬스터계수[[#Data],[힘계수]],MATCH(E37, 몬스터계수[[#Data],[타입]],0),1)*C37,
IF(E37="방어형",INDEX(몬스터계수[[#Data],[힘계수]],MATCH(E37, 몬스터계수[[#Data],[타입]],0),1)*C37,
IF(E37="회피형",INDEX(몬스터계수[[#Data],[힘계수]],MATCH(E37, 몬스터계수[[#Data],[타입]],0),1)*C37,
IF(E37="체력형",INDEX(몬스터계수[[#Data],[힘계수]],MATCH(E37, 몬스터계수[[#Data],[타입]],0),1)*C37,0))))</f>
        <v>428.75</v>
      </c>
      <c r="H37">
        <f>IF(E37="공격형",INDEX(몬스터계수[[#Data],[근력게수]],MATCH(E37,몬스터계수[[#Data],[타입]],0),1)*C37,
IF(E37="방어형",INDEX(몬스터계수[[#Data],[근력게수]],MATCH(E37,몬스터계수[[#Data],[타입]],0),1)*C37,
IF(E37="회피형",INDEX(몬스터계수[[#Data],[근력게수]],MATCH(E37,몬스터계수[[#Data],[타입]],0),1)*C37,
IF(E37="체력형",INDEX(몬스터계수[[#Data],[근력게수]],MATCH(E37,몬스터계수[[#Data],[타입]],0),1)*C37,0))))</f>
        <v>85.75</v>
      </c>
      <c r="I37">
        <f>IF(E37="공격형",INDEX(몬스터계수[[#Data],[숙련도계수]],MATCH(E37,몬스터계수[[#Data],[타입]],0),1)*C37,
IF(E37="방어형",INDEX(몬스터계수[[#Data],[숙련도계수]],MATCH(E37,몬스터계수[[#Data],[타입]],0),1)*C37,
IF(E37="회피형",INDEX(몬스터계수[[#Data],[숙련도계수]],MATCH(E37,몬스터계수[[#Data],[타입]],0),1)*C37,
IF(E37="체력형",INDEX(몬스터계수[[#Data],[숙련도계수]],MATCH(E37,몬스터계수[[#Data],[타입]],0),1)*C37,0))))</f>
        <v>257.25</v>
      </c>
      <c r="J37">
        <f>IF(E37="공격형",INDEX(몬스터계수[[#Data],[행운계수]],MATCH(E37, 몬스터계수[[#Data],[타입]],0),1)*C37,
IF(E37="방어형",INDEX(몬스터계수[[#Data],[행운계수]],MATCH(E37, 몬스터계수[[#Data],[타입]],0),1)*C37,
IF(E37="회피형",INDEX(몬스터계수[[#Data],[행운계수]],MATCH(E37, 몬스터계수[[#Data],[타입]],0),1)*C37,
IF(E37="체력형",INDEX(몬스터계수[[#Data],[행운계수]],MATCH(E37, 몬스터계수[[#Data],[타입]],0),1)*C37,0))))</f>
        <v>85.75</v>
      </c>
      <c r="K37" s="34">
        <f>ROUND(
(($F37)*참고!$D$5)
+(($G37)*참고!$D$6)
+(($H37)*참고!$D$7)
+(($I37)*참고!$D$8)
+(($J37))*참고!$D$9,0)</f>
        <v>13334</v>
      </c>
      <c r="L37" s="34">
        <f>ROUND(
(($F37)*참고!$E$5)
+(($G37)*참고!$E$6)
+(($H37)*참고!$E$7)
+(($I37)*참고!$E$8)
+(($J37))*참고!$E$9,0)</f>
        <v>7632</v>
      </c>
      <c r="M37" s="34">
        <f>ROUND(
(($F37)*참고!$F$5)
+(($G37)*참고!$F$6)
+(($H37)*참고!$F$7)
+(($I37)*참고!$F$8)
+(($J37))*참고!$F$9,0)</f>
        <v>2144</v>
      </c>
      <c r="N37" s="34">
        <f>ROUND(
(($F37)*참고!$G$5)
+(($G37)*참고!$G$6)
+(($H37)*참고!$G$7)
+(($I37)*참고!$G$8)
+(($J37))*참고!$G$9,0)</f>
        <v>60</v>
      </c>
      <c r="O37" s="34">
        <f>ROUND(
(($F37)*참고!$H$5)
+(($G37)*참고!$H$6)
+(($H37)*참고!$H$7)
+(($I37)*참고!$H$8)
+(($J37))*참고!$H$9,0)</f>
        <v>1415</v>
      </c>
      <c r="P37" s="34">
        <f>ROUND(
(($F37)*참고!$I$5)
+(($G37)*참고!$I$6)
+(($H37)*참고!$I$7)
+(($I37)*참고!$I$8)
+(($J37))*참고!$I$9,0)</f>
        <v>2487</v>
      </c>
      <c r="Q37" s="34">
        <f>ROUND(
(($F37)*참고!$J$5)
+(($G37)*참고!$J$6)
+(($H37)*참고!$J$7)
+(($I37)*참고!$J$8)
+(($J37))*참고!$J$9,0)</f>
        <v>1715</v>
      </c>
      <c r="R37" s="34">
        <f>IF(E37="공격형",(INDEX(몬스터계수[[#Data],[속도]],MATCH(E37, 몬스터계수[[#Data],[타입]],0),1)*속도핸들러_곱계수)*(INT(몬스터밸런스[[#This Row],[Lv]]/속도핸들러_합계수+1)),
IF(E37="방어형",(INDEX(몬스터계수[[#Data],[속도]],MATCH(E37, 몬스터계수[[#Data],[타입]],0),1)*속도핸들러_곱계수)*(INT(몬스터밸런스[[#This Row],[Lv]]/속도핸들러_합계수+1)),
IF(E37="회피형",(INDEX(몬스터계수[[#Data],[속도]],MATCH(E37, 몬스터계수[[#Data],[타입]],0),1)*속도핸들러_곱계수)*(INT(몬스터밸런스[[#This Row],[Lv]]/속도핸들러_합계수+1)),
IF(E37="기본형",(INDEX(몬스터계수[[#Data],[속도]],MATCH(E37, 몬스터계수[[#Data],[타입]],0),1)*속도핸들러_곱계수)*(INT(몬스터밸런스[[#This Row],[Lv]]/속도핸들러_합계수+1)),0))))</f>
        <v>0</v>
      </c>
      <c r="S37">
        <f t="shared" si="0"/>
        <v>457815.5</v>
      </c>
      <c r="U37">
        <v>2</v>
      </c>
      <c r="V37">
        <v>35</v>
      </c>
      <c r="W37">
        <f>$Z$1*몬스터밸런스9[[#This Row],[단계]]</f>
        <v>10</v>
      </c>
      <c r="X37" t="s">
        <v>55</v>
      </c>
      <c r="Y37">
        <v>4</v>
      </c>
      <c r="AE37" s="34"/>
      <c r="AF37" s="34"/>
      <c r="AG37" s="34"/>
      <c r="AH37" s="34"/>
      <c r="AI37" s="34">
        <f>몬스터밸런스[[#This Row],[CriticalDamage]]*0.4</f>
        <v>566</v>
      </c>
      <c r="AJ37" s="34"/>
      <c r="AK37" s="34">
        <f>몬스터밸런스[[#This Row],[DodgeRate]]*0.6</f>
        <v>1029</v>
      </c>
      <c r="AL37">
        <f t="shared" si="2"/>
        <v>23127</v>
      </c>
    </row>
    <row r="38" spans="1:38">
      <c r="A38">
        <v>350</v>
      </c>
      <c r="B38">
        <v>36</v>
      </c>
      <c r="C38">
        <f>$F$1*몬스터밸런스[[#This Row],[Lv]]+15</f>
        <v>1765</v>
      </c>
      <c r="E38" t="s">
        <v>479</v>
      </c>
      <c r="F38">
        <f>IF(E38="공격형",INDEX(몬스터계수[[#Data],[생명계수]],MATCH(E38,몬스터계수[[#Data],[타입]],0),1)*C38,
IF(E38="방어형",INDEX(몬스터계수[[#Data],[생명계수]],MATCH(E38,몬스터계수[[#Data],[타입]],0),1)*C38,
IF(E38="회피형",INDEX(몬스터계수[[#Data],[생명계수]],MATCH(E38,몬스터계수[[#Data],[타입]],0),1)*C38,
IF(E38="체력형",INDEX(몬스터계수[[#Data],[생명계수]],MATCH(E38,몬스터계수[[#Data],[타입]],0),1)*C38,0))))*IF(몬스터밸런스[[#This Row],[보스]]=TRUE,2,1)</f>
        <v>882.5</v>
      </c>
      <c r="G38">
        <f>IF(E38="공격형",INDEX(몬스터계수[[#Data],[힘계수]],MATCH(E38, 몬스터계수[[#Data],[타입]],0),1)*C38,
IF(E38="방어형",INDEX(몬스터계수[[#Data],[힘계수]],MATCH(E38, 몬스터계수[[#Data],[타입]],0),1)*C38,
IF(E38="회피형",INDEX(몬스터계수[[#Data],[힘계수]],MATCH(E38, 몬스터계수[[#Data],[타입]],0),1)*C38,
IF(E38="체력형",INDEX(몬스터계수[[#Data],[힘계수]],MATCH(E38, 몬스터계수[[#Data],[타입]],0),1)*C38,0))))</f>
        <v>441.25</v>
      </c>
      <c r="H38">
        <f>IF(E38="공격형",INDEX(몬스터계수[[#Data],[근력게수]],MATCH(E38,몬스터계수[[#Data],[타입]],0),1)*C38,
IF(E38="방어형",INDEX(몬스터계수[[#Data],[근력게수]],MATCH(E38,몬스터계수[[#Data],[타입]],0),1)*C38,
IF(E38="회피형",INDEX(몬스터계수[[#Data],[근력게수]],MATCH(E38,몬스터계수[[#Data],[타입]],0),1)*C38,
IF(E38="체력형",INDEX(몬스터계수[[#Data],[근력게수]],MATCH(E38,몬스터계수[[#Data],[타입]],0),1)*C38,0))))</f>
        <v>88.25</v>
      </c>
      <c r="I38">
        <f>IF(E38="공격형",INDEX(몬스터계수[[#Data],[숙련도계수]],MATCH(E38,몬스터계수[[#Data],[타입]],0),1)*C38,
IF(E38="방어형",INDEX(몬스터계수[[#Data],[숙련도계수]],MATCH(E38,몬스터계수[[#Data],[타입]],0),1)*C38,
IF(E38="회피형",INDEX(몬스터계수[[#Data],[숙련도계수]],MATCH(E38,몬스터계수[[#Data],[타입]],0),1)*C38,
IF(E38="체력형",INDEX(몬스터계수[[#Data],[숙련도계수]],MATCH(E38,몬스터계수[[#Data],[타입]],0),1)*C38,0))))</f>
        <v>264.75</v>
      </c>
      <c r="J38">
        <f>IF(E38="공격형",INDEX(몬스터계수[[#Data],[행운계수]],MATCH(E38, 몬스터계수[[#Data],[타입]],0),1)*C38,
IF(E38="방어형",INDEX(몬스터계수[[#Data],[행운계수]],MATCH(E38, 몬스터계수[[#Data],[타입]],0),1)*C38,
IF(E38="회피형",INDEX(몬스터계수[[#Data],[행운계수]],MATCH(E38, 몬스터계수[[#Data],[타입]],0),1)*C38,
IF(E38="체력형",INDEX(몬스터계수[[#Data],[행운계수]],MATCH(E38, 몬스터계수[[#Data],[타입]],0),1)*C38,0))))</f>
        <v>88.25</v>
      </c>
      <c r="K38" s="34">
        <f>ROUND(
(($F38)*참고!$D$5)
+(($G38)*참고!$D$6)
+(($H38)*참고!$D$7)
+(($I38)*참고!$D$8)
+(($J38))*참고!$D$9,0)</f>
        <v>13723</v>
      </c>
      <c r="L38" s="34">
        <f>ROUND(
(($F38)*참고!$E$5)
+(($G38)*참고!$E$6)
+(($H38)*참고!$E$7)
+(($I38)*참고!$E$8)
+(($J38))*참고!$E$9,0)</f>
        <v>7854</v>
      </c>
      <c r="M38" s="34">
        <f>ROUND(
(($F38)*참고!$F$5)
+(($G38)*참고!$F$6)
+(($H38)*참고!$F$7)
+(($I38)*참고!$F$8)
+(($J38))*참고!$F$9,0)</f>
        <v>2206</v>
      </c>
      <c r="N38" s="34">
        <f>ROUND(
(($F38)*참고!$G$5)
+(($G38)*참고!$G$6)
+(($H38)*참고!$G$7)
+(($I38)*참고!$G$8)
+(($J38))*참고!$G$9,0)</f>
        <v>62</v>
      </c>
      <c r="O38" s="34">
        <f>ROUND(
(($F38)*참고!$H$5)
+(($G38)*참고!$H$6)
+(($H38)*참고!$H$7)
+(($I38)*참고!$H$8)
+(($J38))*참고!$H$9,0)</f>
        <v>1456</v>
      </c>
      <c r="P38" s="34">
        <f>ROUND(
(($F38)*참고!$I$5)
+(($G38)*참고!$I$6)
+(($H38)*참고!$I$7)
+(($I38)*참고!$I$8)
+(($J38))*참고!$I$9,0)</f>
        <v>2559</v>
      </c>
      <c r="Q38" s="34">
        <f>ROUND(
(($F38)*참고!$J$5)
+(($G38)*참고!$J$6)
+(($H38)*참고!$J$7)
+(($I38)*참고!$J$8)
+(($J38))*참고!$J$9,0)</f>
        <v>1765</v>
      </c>
      <c r="R38" s="34">
        <f>IF(E38="공격형",(INDEX(몬스터계수[[#Data],[속도]],MATCH(E38, 몬스터계수[[#Data],[타입]],0),1)*속도핸들러_곱계수)*(INT(몬스터밸런스[[#This Row],[Lv]]/속도핸들러_합계수+1)),
IF(E38="방어형",(INDEX(몬스터계수[[#Data],[속도]],MATCH(E38, 몬스터계수[[#Data],[타입]],0),1)*속도핸들러_곱계수)*(INT(몬스터밸런스[[#This Row],[Lv]]/속도핸들러_합계수+1)),
IF(E38="회피형",(INDEX(몬스터계수[[#Data],[속도]],MATCH(E38, 몬스터계수[[#Data],[타입]],0),1)*속도핸들러_곱계수)*(INT(몬스터밸런스[[#This Row],[Lv]]/속도핸들러_합계수+1)),
IF(E38="기본형",(INDEX(몬스터계수[[#Data],[속도]],MATCH(E38, 몬스터계수[[#Data],[타입]],0),1)*속도핸들러_곱계수)*(INT(몬스터밸런스[[#This Row],[Lv]]/속도핸들러_합계수+1)),0))))</f>
        <v>0</v>
      </c>
      <c r="S38">
        <f t="shared" si="0"/>
        <v>471144.5</v>
      </c>
      <c r="U38">
        <v>3</v>
      </c>
      <c r="V38">
        <v>36</v>
      </c>
      <c r="W38">
        <f>$Z$1*몬스터밸런스9[[#This Row],[단계]]</f>
        <v>15</v>
      </c>
      <c r="X38" t="s">
        <v>55</v>
      </c>
      <c r="Y38">
        <v>0</v>
      </c>
      <c r="AE38" s="34"/>
      <c r="AF38" s="34"/>
      <c r="AG38" s="34"/>
      <c r="AH38" s="34"/>
      <c r="AI38" s="34">
        <f>몬스터밸런스[[#This Row],[CriticalDamage]]*0.4</f>
        <v>582.4</v>
      </c>
      <c r="AJ38" s="34"/>
      <c r="AK38" s="34">
        <f>몬스터밸런스[[#This Row],[DodgeRate]]*0.6</f>
        <v>1059</v>
      </c>
      <c r="AL38">
        <f t="shared" si="2"/>
        <v>23800.799999999999</v>
      </c>
    </row>
    <row r="39" spans="1:38">
      <c r="A39">
        <v>360</v>
      </c>
      <c r="B39">
        <v>37</v>
      </c>
      <c r="C39">
        <f>$F$1*몬스터밸런스[[#This Row],[Lv]]+15</f>
        <v>1815</v>
      </c>
      <c r="E39" t="s">
        <v>479</v>
      </c>
      <c r="F39">
        <f>IF(E39="공격형",INDEX(몬스터계수[[#Data],[생명계수]],MATCH(E39,몬스터계수[[#Data],[타입]],0),1)*C39,
IF(E39="방어형",INDEX(몬스터계수[[#Data],[생명계수]],MATCH(E39,몬스터계수[[#Data],[타입]],0),1)*C39,
IF(E39="회피형",INDEX(몬스터계수[[#Data],[생명계수]],MATCH(E39,몬스터계수[[#Data],[타입]],0),1)*C39,
IF(E39="체력형",INDEX(몬스터계수[[#Data],[생명계수]],MATCH(E39,몬스터계수[[#Data],[타입]],0),1)*C39,0))))*IF(몬스터밸런스[[#This Row],[보스]]=TRUE,2,1)</f>
        <v>907.5</v>
      </c>
      <c r="G39">
        <f>IF(E39="공격형",INDEX(몬스터계수[[#Data],[힘계수]],MATCH(E39, 몬스터계수[[#Data],[타입]],0),1)*C39,
IF(E39="방어형",INDEX(몬스터계수[[#Data],[힘계수]],MATCH(E39, 몬스터계수[[#Data],[타입]],0),1)*C39,
IF(E39="회피형",INDEX(몬스터계수[[#Data],[힘계수]],MATCH(E39, 몬스터계수[[#Data],[타입]],0),1)*C39,
IF(E39="체력형",INDEX(몬스터계수[[#Data],[힘계수]],MATCH(E39, 몬스터계수[[#Data],[타입]],0),1)*C39,0))))</f>
        <v>453.75</v>
      </c>
      <c r="H39">
        <f>IF(E39="공격형",INDEX(몬스터계수[[#Data],[근력게수]],MATCH(E39,몬스터계수[[#Data],[타입]],0),1)*C39,
IF(E39="방어형",INDEX(몬스터계수[[#Data],[근력게수]],MATCH(E39,몬스터계수[[#Data],[타입]],0),1)*C39,
IF(E39="회피형",INDEX(몬스터계수[[#Data],[근력게수]],MATCH(E39,몬스터계수[[#Data],[타입]],0),1)*C39,
IF(E39="체력형",INDEX(몬스터계수[[#Data],[근력게수]],MATCH(E39,몬스터계수[[#Data],[타입]],0),1)*C39,0))))</f>
        <v>90.75</v>
      </c>
      <c r="I39">
        <f>IF(E39="공격형",INDEX(몬스터계수[[#Data],[숙련도계수]],MATCH(E39,몬스터계수[[#Data],[타입]],0),1)*C39,
IF(E39="방어형",INDEX(몬스터계수[[#Data],[숙련도계수]],MATCH(E39,몬스터계수[[#Data],[타입]],0),1)*C39,
IF(E39="회피형",INDEX(몬스터계수[[#Data],[숙련도계수]],MATCH(E39,몬스터계수[[#Data],[타입]],0),1)*C39,
IF(E39="체력형",INDEX(몬스터계수[[#Data],[숙련도계수]],MATCH(E39,몬스터계수[[#Data],[타입]],0),1)*C39,0))))</f>
        <v>272.25</v>
      </c>
      <c r="J39">
        <f>IF(E39="공격형",INDEX(몬스터계수[[#Data],[행운계수]],MATCH(E39, 몬스터계수[[#Data],[타입]],0),1)*C39,
IF(E39="방어형",INDEX(몬스터계수[[#Data],[행운계수]],MATCH(E39, 몬스터계수[[#Data],[타입]],0),1)*C39,
IF(E39="회피형",INDEX(몬스터계수[[#Data],[행운계수]],MATCH(E39, 몬스터계수[[#Data],[타입]],0),1)*C39,
IF(E39="체력형",INDEX(몬스터계수[[#Data],[행운계수]],MATCH(E39, 몬스터계수[[#Data],[타입]],0),1)*C39,0))))</f>
        <v>90.75</v>
      </c>
      <c r="K39" s="34">
        <f>ROUND(
(($F39)*참고!$D$5)
+(($G39)*참고!$D$6)
+(($H39)*참고!$D$7)
+(($I39)*참고!$D$8)
+(($J39))*참고!$D$9,0)</f>
        <v>14112</v>
      </c>
      <c r="L39" s="34">
        <f>ROUND(
(($F39)*참고!$E$5)
+(($G39)*참고!$E$6)
+(($H39)*참고!$E$7)
+(($I39)*참고!$E$8)
+(($J39))*참고!$E$9,0)</f>
        <v>8077</v>
      </c>
      <c r="M39" s="34">
        <f>ROUND(
(($F39)*참고!$F$5)
+(($G39)*참고!$F$6)
+(($H39)*참고!$F$7)
+(($I39)*참고!$F$8)
+(($J39))*참고!$F$9,0)</f>
        <v>2269</v>
      </c>
      <c r="N39" s="34">
        <f>ROUND(
(($F39)*참고!$G$5)
+(($G39)*참고!$G$6)
+(($H39)*참고!$G$7)
+(($I39)*참고!$G$8)
+(($J39))*참고!$G$9,0)</f>
        <v>64</v>
      </c>
      <c r="O39" s="34">
        <f>ROUND(
(($F39)*참고!$H$5)
+(($G39)*참고!$H$6)
+(($H39)*참고!$H$7)
+(($I39)*참고!$H$8)
+(($J39))*참고!$H$9,0)</f>
        <v>1497</v>
      </c>
      <c r="P39" s="34">
        <f>ROUND(
(($F39)*참고!$I$5)
+(($G39)*참고!$I$6)
+(($H39)*참고!$I$7)
+(($I39)*참고!$I$8)
+(($J39))*참고!$I$9,0)</f>
        <v>2632</v>
      </c>
      <c r="Q39" s="34">
        <f>ROUND(
(($F39)*참고!$J$5)
+(($G39)*참고!$J$6)
+(($H39)*참고!$J$7)
+(($I39)*참고!$J$8)
+(($J39))*참고!$J$9,0)</f>
        <v>1815</v>
      </c>
      <c r="R39" s="34">
        <f>IF(E39="공격형",(INDEX(몬스터계수[[#Data],[속도]],MATCH(E39, 몬스터계수[[#Data],[타입]],0),1)*속도핸들러_곱계수)*(INT(몬스터밸런스[[#This Row],[Lv]]/속도핸들러_합계수+1)),
IF(E39="방어형",(INDEX(몬스터계수[[#Data],[속도]],MATCH(E39, 몬스터계수[[#Data],[타입]],0),1)*속도핸들러_곱계수)*(INT(몬스터밸런스[[#This Row],[Lv]]/속도핸들러_합계수+1)),
IF(E39="회피형",(INDEX(몬스터계수[[#Data],[속도]],MATCH(E39, 몬스터계수[[#Data],[타입]],0),1)*속도핸들러_곱계수)*(INT(몬스터밸런스[[#This Row],[Lv]]/속도핸들러_합계수+1)),
IF(E39="기본형",(INDEX(몬스터계수[[#Data],[속도]],MATCH(E39, 몬스터계수[[#Data],[타입]],0),1)*속도핸들러_곱계수)*(INT(몬스터밸런스[[#This Row],[Lv]]/속도핸들러_합계수+1)),0))))</f>
        <v>0</v>
      </c>
      <c r="S39">
        <f t="shared" si="0"/>
        <v>484516.5</v>
      </c>
      <c r="U39">
        <v>3</v>
      </c>
      <c r="V39">
        <v>37</v>
      </c>
      <c r="W39">
        <f>$Z$1*몬스터밸런스9[[#This Row],[단계]]</f>
        <v>15</v>
      </c>
      <c r="X39" t="s">
        <v>55</v>
      </c>
      <c r="Y39">
        <v>1</v>
      </c>
      <c r="AE39" s="34"/>
      <c r="AF39" s="34"/>
      <c r="AG39" s="34"/>
      <c r="AH39" s="34"/>
      <c r="AI39" s="34">
        <f>몬스터밸런스[[#This Row],[CriticalDamage]]*0.4</f>
        <v>598.80000000000007</v>
      </c>
      <c r="AJ39" s="34"/>
      <c r="AK39" s="34">
        <f>몬스터밸런스[[#This Row],[DodgeRate]]*0.6</f>
        <v>1089</v>
      </c>
      <c r="AL39">
        <f t="shared" si="2"/>
        <v>24474.6</v>
      </c>
    </row>
    <row r="40" spans="1:38">
      <c r="A40">
        <v>370</v>
      </c>
      <c r="B40">
        <v>38</v>
      </c>
      <c r="C40">
        <f>$F$1*몬스터밸런스[[#This Row],[Lv]]+15</f>
        <v>1865</v>
      </c>
      <c r="E40" t="s">
        <v>479</v>
      </c>
      <c r="F40">
        <f>IF(E40="공격형",INDEX(몬스터계수[[#Data],[생명계수]],MATCH(E40,몬스터계수[[#Data],[타입]],0),1)*C40,
IF(E40="방어형",INDEX(몬스터계수[[#Data],[생명계수]],MATCH(E40,몬스터계수[[#Data],[타입]],0),1)*C40,
IF(E40="회피형",INDEX(몬스터계수[[#Data],[생명계수]],MATCH(E40,몬스터계수[[#Data],[타입]],0),1)*C40,
IF(E40="체력형",INDEX(몬스터계수[[#Data],[생명계수]],MATCH(E40,몬스터계수[[#Data],[타입]],0),1)*C40,0))))*IF(몬스터밸런스[[#This Row],[보스]]=TRUE,2,1)</f>
        <v>932.5</v>
      </c>
      <c r="G40">
        <f>IF(E40="공격형",INDEX(몬스터계수[[#Data],[힘계수]],MATCH(E40, 몬스터계수[[#Data],[타입]],0),1)*C40,
IF(E40="방어형",INDEX(몬스터계수[[#Data],[힘계수]],MATCH(E40, 몬스터계수[[#Data],[타입]],0),1)*C40,
IF(E40="회피형",INDEX(몬스터계수[[#Data],[힘계수]],MATCH(E40, 몬스터계수[[#Data],[타입]],0),1)*C40,
IF(E40="체력형",INDEX(몬스터계수[[#Data],[힘계수]],MATCH(E40, 몬스터계수[[#Data],[타입]],0),1)*C40,0))))</f>
        <v>466.25</v>
      </c>
      <c r="H40">
        <f>IF(E40="공격형",INDEX(몬스터계수[[#Data],[근력게수]],MATCH(E40,몬스터계수[[#Data],[타입]],0),1)*C40,
IF(E40="방어형",INDEX(몬스터계수[[#Data],[근력게수]],MATCH(E40,몬스터계수[[#Data],[타입]],0),1)*C40,
IF(E40="회피형",INDEX(몬스터계수[[#Data],[근력게수]],MATCH(E40,몬스터계수[[#Data],[타입]],0),1)*C40,
IF(E40="체력형",INDEX(몬스터계수[[#Data],[근력게수]],MATCH(E40,몬스터계수[[#Data],[타입]],0),1)*C40,0))))</f>
        <v>93.25</v>
      </c>
      <c r="I40">
        <f>IF(E40="공격형",INDEX(몬스터계수[[#Data],[숙련도계수]],MATCH(E40,몬스터계수[[#Data],[타입]],0),1)*C40,
IF(E40="방어형",INDEX(몬스터계수[[#Data],[숙련도계수]],MATCH(E40,몬스터계수[[#Data],[타입]],0),1)*C40,
IF(E40="회피형",INDEX(몬스터계수[[#Data],[숙련도계수]],MATCH(E40,몬스터계수[[#Data],[타입]],0),1)*C40,
IF(E40="체력형",INDEX(몬스터계수[[#Data],[숙련도계수]],MATCH(E40,몬스터계수[[#Data],[타입]],0),1)*C40,0))))</f>
        <v>279.75</v>
      </c>
      <c r="J40">
        <f>IF(E40="공격형",INDEX(몬스터계수[[#Data],[행운계수]],MATCH(E40, 몬스터계수[[#Data],[타입]],0),1)*C40,
IF(E40="방어형",INDEX(몬스터계수[[#Data],[행운계수]],MATCH(E40, 몬스터계수[[#Data],[타입]],0),1)*C40,
IF(E40="회피형",INDEX(몬스터계수[[#Data],[행운계수]],MATCH(E40, 몬스터계수[[#Data],[타입]],0),1)*C40,
IF(E40="체력형",INDEX(몬스터계수[[#Data],[행운계수]],MATCH(E40, 몬스터계수[[#Data],[타입]],0),1)*C40,0))))</f>
        <v>93.25</v>
      </c>
      <c r="K40" s="34">
        <f>ROUND(
(($F40)*참고!$D$5)
+(($G40)*참고!$D$6)
+(($H40)*참고!$D$7)
+(($I40)*참고!$D$8)
+(($J40))*참고!$D$9,0)</f>
        <v>14500</v>
      </c>
      <c r="L40" s="34">
        <f>ROUND(
(($F40)*참고!$E$5)
+(($G40)*참고!$E$6)
+(($H40)*참고!$E$7)
+(($I40)*참고!$E$8)
+(($J40))*참고!$E$9,0)</f>
        <v>8299</v>
      </c>
      <c r="M40" s="34">
        <f>ROUND(
(($F40)*참고!$F$5)
+(($G40)*참고!$F$6)
+(($H40)*참고!$F$7)
+(($I40)*참고!$F$8)
+(($J40))*참고!$F$9,0)</f>
        <v>2331</v>
      </c>
      <c r="N40" s="34">
        <f>ROUND(
(($F40)*참고!$G$5)
+(($G40)*참고!$G$6)
+(($H40)*참고!$G$7)
+(($I40)*참고!$G$8)
+(($J40))*참고!$G$9,0)</f>
        <v>65</v>
      </c>
      <c r="O40" s="34">
        <f>ROUND(
(($F40)*참고!$H$5)
+(($G40)*참고!$H$6)
+(($H40)*참고!$H$7)
+(($I40)*참고!$H$8)
+(($J40))*참고!$H$9,0)</f>
        <v>1539</v>
      </c>
      <c r="P40" s="34">
        <f>ROUND(
(($F40)*참고!$I$5)
+(($G40)*참고!$I$6)
+(($H40)*참고!$I$7)
+(($I40)*참고!$I$8)
+(($J40))*참고!$I$9,0)</f>
        <v>2704</v>
      </c>
      <c r="Q40" s="34">
        <f>ROUND(
(($F40)*참고!$J$5)
+(($G40)*참고!$J$6)
+(($H40)*참고!$J$7)
+(($I40)*참고!$J$8)
+(($J40))*참고!$J$9,0)</f>
        <v>1865</v>
      </c>
      <c r="R40" s="34">
        <f>IF(E40="공격형",(INDEX(몬스터계수[[#Data],[속도]],MATCH(E40, 몬스터계수[[#Data],[타입]],0),1)*속도핸들러_곱계수)*(INT(몬스터밸런스[[#This Row],[Lv]]/속도핸들러_합계수+1)),
IF(E40="방어형",(INDEX(몬스터계수[[#Data],[속도]],MATCH(E40, 몬스터계수[[#Data],[타입]],0),1)*속도핸들러_곱계수)*(INT(몬스터밸런스[[#This Row],[Lv]]/속도핸들러_합계수+1)),
IF(E40="회피형",(INDEX(몬스터계수[[#Data],[속도]],MATCH(E40, 몬스터계수[[#Data],[타입]],0),1)*속도핸들러_곱계수)*(INT(몬스터밸런스[[#This Row],[Lv]]/속도핸들러_합계수+1)),
IF(E40="기본형",(INDEX(몬스터계수[[#Data],[속도]],MATCH(E40, 몬스터계수[[#Data],[타입]],0),1)*속도핸들러_곱계수)*(INT(몬스터밸런스[[#This Row],[Lv]]/속도핸들러_합계수+1)),0))))</f>
        <v>0</v>
      </c>
      <c r="S40">
        <f t="shared" si="0"/>
        <v>497832</v>
      </c>
      <c r="U40">
        <v>3</v>
      </c>
      <c r="V40">
        <v>38</v>
      </c>
      <c r="W40">
        <f>$Z$1*몬스터밸런스9[[#This Row],[단계]]</f>
        <v>15</v>
      </c>
      <c r="X40" t="s">
        <v>55</v>
      </c>
      <c r="Y40">
        <v>2</v>
      </c>
      <c r="AE40" s="34"/>
      <c r="AF40" s="34"/>
      <c r="AG40" s="34"/>
      <c r="AH40" s="34"/>
      <c r="AI40" s="34">
        <f>몬스터밸런스[[#This Row],[CriticalDamage]]*0.4</f>
        <v>615.6</v>
      </c>
      <c r="AJ40" s="34"/>
      <c r="AK40" s="34">
        <f>몬스터밸런스[[#This Row],[DodgeRate]]*0.6</f>
        <v>1119</v>
      </c>
      <c r="AL40">
        <f t="shared" si="2"/>
        <v>25150.2</v>
      </c>
    </row>
    <row r="41" spans="1:38">
      <c r="A41">
        <v>380</v>
      </c>
      <c r="B41">
        <v>39</v>
      </c>
      <c r="C41">
        <f>$F$1*몬스터밸런스[[#This Row],[Lv]]+15</f>
        <v>1915</v>
      </c>
      <c r="E41" t="s">
        <v>479</v>
      </c>
      <c r="F41">
        <f>IF(E41="공격형",INDEX(몬스터계수[[#Data],[생명계수]],MATCH(E41,몬스터계수[[#Data],[타입]],0),1)*C41,
IF(E41="방어형",INDEX(몬스터계수[[#Data],[생명계수]],MATCH(E41,몬스터계수[[#Data],[타입]],0),1)*C41,
IF(E41="회피형",INDEX(몬스터계수[[#Data],[생명계수]],MATCH(E41,몬스터계수[[#Data],[타입]],0),1)*C41,
IF(E41="체력형",INDEX(몬스터계수[[#Data],[생명계수]],MATCH(E41,몬스터계수[[#Data],[타입]],0),1)*C41,0))))*IF(몬스터밸런스[[#This Row],[보스]]=TRUE,2,1)</f>
        <v>957.5</v>
      </c>
      <c r="G41">
        <f>IF(E41="공격형",INDEX(몬스터계수[[#Data],[힘계수]],MATCH(E41, 몬스터계수[[#Data],[타입]],0),1)*C41,
IF(E41="방어형",INDEX(몬스터계수[[#Data],[힘계수]],MATCH(E41, 몬스터계수[[#Data],[타입]],0),1)*C41,
IF(E41="회피형",INDEX(몬스터계수[[#Data],[힘계수]],MATCH(E41, 몬스터계수[[#Data],[타입]],0),1)*C41,
IF(E41="체력형",INDEX(몬스터계수[[#Data],[힘계수]],MATCH(E41, 몬스터계수[[#Data],[타입]],0),1)*C41,0))))</f>
        <v>478.75</v>
      </c>
      <c r="H41">
        <f>IF(E41="공격형",INDEX(몬스터계수[[#Data],[근력게수]],MATCH(E41,몬스터계수[[#Data],[타입]],0),1)*C41,
IF(E41="방어형",INDEX(몬스터계수[[#Data],[근력게수]],MATCH(E41,몬스터계수[[#Data],[타입]],0),1)*C41,
IF(E41="회피형",INDEX(몬스터계수[[#Data],[근력게수]],MATCH(E41,몬스터계수[[#Data],[타입]],0),1)*C41,
IF(E41="체력형",INDEX(몬스터계수[[#Data],[근력게수]],MATCH(E41,몬스터계수[[#Data],[타입]],0),1)*C41,0))))</f>
        <v>95.75</v>
      </c>
      <c r="I41">
        <f>IF(E41="공격형",INDEX(몬스터계수[[#Data],[숙련도계수]],MATCH(E41,몬스터계수[[#Data],[타입]],0),1)*C41,
IF(E41="방어형",INDEX(몬스터계수[[#Data],[숙련도계수]],MATCH(E41,몬스터계수[[#Data],[타입]],0),1)*C41,
IF(E41="회피형",INDEX(몬스터계수[[#Data],[숙련도계수]],MATCH(E41,몬스터계수[[#Data],[타입]],0),1)*C41,
IF(E41="체력형",INDEX(몬스터계수[[#Data],[숙련도계수]],MATCH(E41,몬스터계수[[#Data],[타입]],0),1)*C41,0))))</f>
        <v>287.25</v>
      </c>
      <c r="J41">
        <f>IF(E41="공격형",INDEX(몬스터계수[[#Data],[행운계수]],MATCH(E41, 몬스터계수[[#Data],[타입]],0),1)*C41,
IF(E41="방어형",INDEX(몬스터계수[[#Data],[행운계수]],MATCH(E41, 몬스터계수[[#Data],[타입]],0),1)*C41,
IF(E41="회피형",INDEX(몬스터계수[[#Data],[행운계수]],MATCH(E41, 몬스터계수[[#Data],[타입]],0),1)*C41,
IF(E41="체력형",INDEX(몬스터계수[[#Data],[행운계수]],MATCH(E41, 몬스터계수[[#Data],[타입]],0),1)*C41,0))))</f>
        <v>95.75</v>
      </c>
      <c r="K41" s="34">
        <f>ROUND(
(($F41)*참고!$D$5)
+(($G41)*참고!$D$6)
+(($H41)*참고!$D$7)
+(($I41)*참고!$D$8)
+(($J41))*참고!$D$9,0)</f>
        <v>14889</v>
      </c>
      <c r="L41" s="34">
        <f>ROUND(
(($F41)*참고!$E$5)
+(($G41)*참고!$E$6)
+(($H41)*참고!$E$7)
+(($I41)*참고!$E$8)
+(($J41))*참고!$E$9,0)</f>
        <v>8522</v>
      </c>
      <c r="M41" s="34">
        <f>ROUND(
(($F41)*참고!$F$5)
+(($G41)*참고!$F$6)
+(($H41)*참고!$F$7)
+(($I41)*참고!$F$8)
+(($J41))*참고!$F$9,0)</f>
        <v>2394</v>
      </c>
      <c r="N41" s="34">
        <f>ROUND(
(($F41)*참고!$G$5)
+(($G41)*참고!$G$6)
+(($H41)*참고!$G$7)
+(($I41)*참고!$G$8)
+(($J41))*참고!$G$9,0)</f>
        <v>67</v>
      </c>
      <c r="O41" s="34">
        <f>ROUND(
(($F41)*참고!$H$5)
+(($G41)*참고!$H$6)
+(($H41)*참고!$H$7)
+(($I41)*참고!$H$8)
+(($J41))*참고!$H$9,0)</f>
        <v>1580</v>
      </c>
      <c r="P41" s="34">
        <f>ROUND(
(($F41)*참고!$I$5)
+(($G41)*참고!$I$6)
+(($H41)*참고!$I$7)
+(($I41)*참고!$I$8)
+(($J41))*참고!$I$9,0)</f>
        <v>2777</v>
      </c>
      <c r="Q41" s="34">
        <f>ROUND(
(($F41)*참고!$J$5)
+(($G41)*참고!$J$6)
+(($H41)*참고!$J$7)
+(($I41)*참고!$J$8)
+(($J41))*참고!$J$9,0)</f>
        <v>1915</v>
      </c>
      <c r="R41" s="34">
        <f>IF(E41="공격형",(INDEX(몬스터계수[[#Data],[속도]],MATCH(E41, 몬스터계수[[#Data],[타입]],0),1)*속도핸들러_곱계수)*(INT(몬스터밸런스[[#This Row],[Lv]]/속도핸들러_합계수+1)),
IF(E41="방어형",(INDEX(몬스터계수[[#Data],[속도]],MATCH(E41, 몬스터계수[[#Data],[타입]],0),1)*속도핸들러_곱계수)*(INT(몬스터밸런스[[#This Row],[Lv]]/속도핸들러_합계수+1)),
IF(E41="회피형",(INDEX(몬스터계수[[#Data],[속도]],MATCH(E41, 몬스터계수[[#Data],[타입]],0),1)*속도핸들러_곱계수)*(INT(몬스터밸런스[[#This Row],[Lv]]/속도핸들러_합계수+1)),
IF(E41="기본형",(INDEX(몬스터계수[[#Data],[속도]],MATCH(E41, 몬스터계수[[#Data],[타입]],0),1)*속도핸들러_곱계수)*(INT(몬스터밸런스[[#This Row],[Lv]]/속도핸들러_합계수+1)),0))))</f>
        <v>0</v>
      </c>
      <c r="S41">
        <f t="shared" si="0"/>
        <v>511204</v>
      </c>
      <c r="U41">
        <v>3</v>
      </c>
      <c r="V41">
        <v>39</v>
      </c>
      <c r="W41">
        <f>$Z$1*몬스터밸런스9[[#This Row],[단계]]</f>
        <v>15</v>
      </c>
      <c r="X41" t="s">
        <v>55</v>
      </c>
      <c r="Y41">
        <v>3</v>
      </c>
      <c r="AE41" s="34"/>
      <c r="AF41" s="34"/>
      <c r="AG41" s="34"/>
      <c r="AH41" s="34"/>
      <c r="AI41" s="34">
        <f>몬스터밸런스[[#This Row],[CriticalDamage]]*0.4</f>
        <v>632</v>
      </c>
      <c r="AJ41" s="34"/>
      <c r="AK41" s="34">
        <f>몬스터밸런스[[#This Row],[DodgeRate]]*0.6</f>
        <v>1149</v>
      </c>
      <c r="AL41">
        <f t="shared" si="2"/>
        <v>25824</v>
      </c>
    </row>
    <row r="42" spans="1:38">
      <c r="A42">
        <v>390</v>
      </c>
      <c r="B42">
        <v>40</v>
      </c>
      <c r="C42">
        <f>$F$1*몬스터밸런스[[#This Row],[Lv]]+15</f>
        <v>1965</v>
      </c>
      <c r="E42" t="s">
        <v>479</v>
      </c>
      <c r="F42">
        <f>IF(E42="공격형",INDEX(몬스터계수[[#Data],[생명계수]],MATCH(E42,몬스터계수[[#Data],[타입]],0),1)*C42,
IF(E42="방어형",INDEX(몬스터계수[[#Data],[생명계수]],MATCH(E42,몬스터계수[[#Data],[타입]],0),1)*C42,
IF(E42="회피형",INDEX(몬스터계수[[#Data],[생명계수]],MATCH(E42,몬스터계수[[#Data],[타입]],0),1)*C42,
IF(E42="체력형",INDEX(몬스터계수[[#Data],[생명계수]],MATCH(E42,몬스터계수[[#Data],[타입]],0),1)*C42,0))))*IF(몬스터밸런스[[#This Row],[보스]]=TRUE,2,1)</f>
        <v>982.5</v>
      </c>
      <c r="G42">
        <f>IF(E42="공격형",INDEX(몬스터계수[[#Data],[힘계수]],MATCH(E42, 몬스터계수[[#Data],[타입]],0),1)*C42,
IF(E42="방어형",INDEX(몬스터계수[[#Data],[힘계수]],MATCH(E42, 몬스터계수[[#Data],[타입]],0),1)*C42,
IF(E42="회피형",INDEX(몬스터계수[[#Data],[힘계수]],MATCH(E42, 몬스터계수[[#Data],[타입]],0),1)*C42,
IF(E42="체력형",INDEX(몬스터계수[[#Data],[힘계수]],MATCH(E42, 몬스터계수[[#Data],[타입]],0),1)*C42,0))))</f>
        <v>491.25</v>
      </c>
      <c r="H42">
        <f>IF(E42="공격형",INDEX(몬스터계수[[#Data],[근력게수]],MATCH(E42,몬스터계수[[#Data],[타입]],0),1)*C42,
IF(E42="방어형",INDEX(몬스터계수[[#Data],[근력게수]],MATCH(E42,몬스터계수[[#Data],[타입]],0),1)*C42,
IF(E42="회피형",INDEX(몬스터계수[[#Data],[근력게수]],MATCH(E42,몬스터계수[[#Data],[타입]],0),1)*C42,
IF(E42="체력형",INDEX(몬스터계수[[#Data],[근력게수]],MATCH(E42,몬스터계수[[#Data],[타입]],0),1)*C42,0))))</f>
        <v>98.25</v>
      </c>
      <c r="I42">
        <f>IF(E42="공격형",INDEX(몬스터계수[[#Data],[숙련도계수]],MATCH(E42,몬스터계수[[#Data],[타입]],0),1)*C42,
IF(E42="방어형",INDEX(몬스터계수[[#Data],[숙련도계수]],MATCH(E42,몬스터계수[[#Data],[타입]],0),1)*C42,
IF(E42="회피형",INDEX(몬스터계수[[#Data],[숙련도계수]],MATCH(E42,몬스터계수[[#Data],[타입]],0),1)*C42,
IF(E42="체력형",INDEX(몬스터계수[[#Data],[숙련도계수]],MATCH(E42,몬스터계수[[#Data],[타입]],0),1)*C42,0))))</f>
        <v>294.75</v>
      </c>
      <c r="J42">
        <f>IF(E42="공격형",INDEX(몬스터계수[[#Data],[행운계수]],MATCH(E42, 몬스터계수[[#Data],[타입]],0),1)*C42,
IF(E42="방어형",INDEX(몬스터계수[[#Data],[행운계수]],MATCH(E42, 몬스터계수[[#Data],[타입]],0),1)*C42,
IF(E42="회피형",INDEX(몬스터계수[[#Data],[행운계수]],MATCH(E42, 몬스터계수[[#Data],[타입]],0),1)*C42,
IF(E42="체력형",INDEX(몬스터계수[[#Data],[행운계수]],MATCH(E42, 몬스터계수[[#Data],[타입]],0),1)*C42,0))))</f>
        <v>98.25</v>
      </c>
      <c r="K42" s="34">
        <f>ROUND(
(($F42)*참고!$D$5)
+(($G42)*참고!$D$6)
+(($H42)*참고!$D$7)
+(($I42)*참고!$D$8)
+(($J42))*참고!$D$9,0)</f>
        <v>15278</v>
      </c>
      <c r="L42" s="34">
        <f>ROUND(
(($F42)*참고!$E$5)
+(($G42)*참고!$E$6)
+(($H42)*참고!$E$7)
+(($I42)*참고!$E$8)
+(($J42))*참고!$E$9,0)</f>
        <v>8744</v>
      </c>
      <c r="M42" s="34">
        <f>ROUND(
(($F42)*참고!$F$5)
+(($G42)*참고!$F$6)
+(($H42)*참고!$F$7)
+(($I42)*참고!$F$8)
+(($J42))*참고!$F$9,0)</f>
        <v>2456</v>
      </c>
      <c r="N42" s="34">
        <f>ROUND(
(($F42)*참고!$G$5)
+(($G42)*참고!$G$6)
+(($H42)*참고!$G$7)
+(($I42)*참고!$G$8)
+(($J42))*참고!$G$9,0)</f>
        <v>69</v>
      </c>
      <c r="O42" s="34">
        <f>ROUND(
(($F42)*참고!$H$5)
+(($G42)*참고!$H$6)
+(($H42)*참고!$H$7)
+(($I42)*참고!$H$8)
+(($J42))*참고!$H$9,0)</f>
        <v>1621</v>
      </c>
      <c r="P42" s="34">
        <f>ROUND(
(($F42)*참고!$I$5)
+(($G42)*참고!$I$6)
+(($H42)*참고!$I$7)
+(($I42)*참고!$I$8)
+(($J42))*참고!$I$9,0)</f>
        <v>2849</v>
      </c>
      <c r="Q42" s="34">
        <f>ROUND(
(($F42)*참고!$J$5)
+(($G42)*참고!$J$6)
+(($H42)*참고!$J$7)
+(($I42)*참고!$J$8)
+(($J42))*참고!$J$9,0)</f>
        <v>1965</v>
      </c>
      <c r="R42" s="34">
        <f>IF(E42="공격형",(INDEX(몬스터계수[[#Data],[속도]],MATCH(E42, 몬스터계수[[#Data],[타입]],0),1)*속도핸들러_곱계수)*(INT(몬스터밸런스[[#This Row],[Lv]]/속도핸들러_합계수+1)),
IF(E42="방어형",(INDEX(몬스터계수[[#Data],[속도]],MATCH(E42, 몬스터계수[[#Data],[타입]],0),1)*속도핸들러_곱계수)*(INT(몬스터밸런스[[#This Row],[Lv]]/속도핸들러_합계수+1)),
IF(E42="회피형",(INDEX(몬스터계수[[#Data],[속도]],MATCH(E42, 몬스터계수[[#Data],[타입]],0),1)*속도핸들러_곱계수)*(INT(몬스터밸런스[[#This Row],[Lv]]/속도핸들러_합계수+1)),
IF(E42="기본형",(INDEX(몬스터계수[[#Data],[속도]],MATCH(E42, 몬스터계수[[#Data],[타입]],0),1)*속도핸들러_곱계수)*(INT(몬스터밸런스[[#This Row],[Lv]]/속도핸들러_합계수+1)),0))))</f>
        <v>0</v>
      </c>
      <c r="S42">
        <f t="shared" si="0"/>
        <v>524533</v>
      </c>
      <c r="U42">
        <v>3</v>
      </c>
      <c r="V42">
        <v>40</v>
      </c>
      <c r="W42">
        <f>$Z$1*몬스터밸런스9[[#This Row],[단계]]</f>
        <v>15</v>
      </c>
      <c r="X42" t="s">
        <v>55</v>
      </c>
      <c r="Y42">
        <v>4</v>
      </c>
      <c r="AE42" s="34"/>
      <c r="AF42" s="34"/>
      <c r="AG42" s="34"/>
      <c r="AH42" s="34"/>
      <c r="AI42" s="34">
        <f>몬스터밸런스[[#This Row],[CriticalDamage]]*0.4</f>
        <v>648.40000000000009</v>
      </c>
      <c r="AJ42" s="34"/>
      <c r="AK42" s="34">
        <f>몬스터밸런스[[#This Row],[DodgeRate]]*0.6</f>
        <v>1179</v>
      </c>
      <c r="AL42">
        <f t="shared" si="2"/>
        <v>26497.8</v>
      </c>
    </row>
    <row r="43" spans="1:38">
      <c r="A43">
        <v>400</v>
      </c>
      <c r="B43">
        <v>41</v>
      </c>
      <c r="C43">
        <f>$F$1*몬스터밸런스[[#This Row],[Lv]]+15</f>
        <v>2015</v>
      </c>
      <c r="E43" t="s">
        <v>479</v>
      </c>
      <c r="F43">
        <f>IF(E43="공격형",INDEX(몬스터계수[[#Data],[생명계수]],MATCH(E43,몬스터계수[[#Data],[타입]],0),1)*C43,
IF(E43="방어형",INDEX(몬스터계수[[#Data],[생명계수]],MATCH(E43,몬스터계수[[#Data],[타입]],0),1)*C43,
IF(E43="회피형",INDEX(몬스터계수[[#Data],[생명계수]],MATCH(E43,몬스터계수[[#Data],[타입]],0),1)*C43,
IF(E43="체력형",INDEX(몬스터계수[[#Data],[생명계수]],MATCH(E43,몬스터계수[[#Data],[타입]],0),1)*C43,0))))*IF(몬스터밸런스[[#This Row],[보스]]=TRUE,2,1)</f>
        <v>1007.5</v>
      </c>
      <c r="G43">
        <f>IF(E43="공격형",INDEX(몬스터계수[[#Data],[힘계수]],MATCH(E43, 몬스터계수[[#Data],[타입]],0),1)*C43,
IF(E43="방어형",INDEX(몬스터계수[[#Data],[힘계수]],MATCH(E43, 몬스터계수[[#Data],[타입]],0),1)*C43,
IF(E43="회피형",INDEX(몬스터계수[[#Data],[힘계수]],MATCH(E43, 몬스터계수[[#Data],[타입]],0),1)*C43,
IF(E43="체력형",INDEX(몬스터계수[[#Data],[힘계수]],MATCH(E43, 몬스터계수[[#Data],[타입]],0),1)*C43,0))))</f>
        <v>503.75</v>
      </c>
      <c r="H43">
        <f>IF(E43="공격형",INDEX(몬스터계수[[#Data],[근력게수]],MATCH(E43,몬스터계수[[#Data],[타입]],0),1)*C43,
IF(E43="방어형",INDEX(몬스터계수[[#Data],[근력게수]],MATCH(E43,몬스터계수[[#Data],[타입]],0),1)*C43,
IF(E43="회피형",INDEX(몬스터계수[[#Data],[근력게수]],MATCH(E43,몬스터계수[[#Data],[타입]],0),1)*C43,
IF(E43="체력형",INDEX(몬스터계수[[#Data],[근력게수]],MATCH(E43,몬스터계수[[#Data],[타입]],0),1)*C43,0))))</f>
        <v>100.75</v>
      </c>
      <c r="I43">
        <f>IF(E43="공격형",INDEX(몬스터계수[[#Data],[숙련도계수]],MATCH(E43,몬스터계수[[#Data],[타입]],0),1)*C43,
IF(E43="방어형",INDEX(몬스터계수[[#Data],[숙련도계수]],MATCH(E43,몬스터계수[[#Data],[타입]],0),1)*C43,
IF(E43="회피형",INDEX(몬스터계수[[#Data],[숙련도계수]],MATCH(E43,몬스터계수[[#Data],[타입]],0),1)*C43,
IF(E43="체력형",INDEX(몬스터계수[[#Data],[숙련도계수]],MATCH(E43,몬스터계수[[#Data],[타입]],0),1)*C43,0))))</f>
        <v>302.25</v>
      </c>
      <c r="J43">
        <f>IF(E43="공격형",INDEX(몬스터계수[[#Data],[행운계수]],MATCH(E43, 몬스터계수[[#Data],[타입]],0),1)*C43,
IF(E43="방어형",INDEX(몬스터계수[[#Data],[행운계수]],MATCH(E43, 몬스터계수[[#Data],[타입]],0),1)*C43,
IF(E43="회피형",INDEX(몬스터계수[[#Data],[행운계수]],MATCH(E43, 몬스터계수[[#Data],[타입]],0),1)*C43,
IF(E43="체력형",INDEX(몬스터계수[[#Data],[행운계수]],MATCH(E43, 몬스터계수[[#Data],[타입]],0),1)*C43,0))))</f>
        <v>100.75</v>
      </c>
      <c r="K43" s="34">
        <f>ROUND(
(($F43)*참고!$D$5)
+(($G43)*참고!$D$6)
+(($H43)*참고!$D$7)
+(($I43)*참고!$D$8)
+(($J43))*참고!$D$9,0)</f>
        <v>15667</v>
      </c>
      <c r="L43" s="34">
        <f>ROUND(
(($F43)*참고!$E$5)
+(($G43)*참고!$E$6)
+(($H43)*참고!$E$7)
+(($I43)*참고!$E$8)
+(($J43))*참고!$E$9,0)</f>
        <v>8967</v>
      </c>
      <c r="M43" s="34">
        <f>ROUND(
(($F43)*참고!$F$5)
+(($G43)*참고!$F$6)
+(($H43)*참고!$F$7)
+(($I43)*참고!$F$8)
+(($J43))*참고!$F$9,0)</f>
        <v>2519</v>
      </c>
      <c r="N43" s="34">
        <f>ROUND(
(($F43)*참고!$G$5)
+(($G43)*참고!$G$6)
+(($H43)*참고!$G$7)
+(($I43)*참고!$G$8)
+(($J43))*참고!$G$9,0)</f>
        <v>71</v>
      </c>
      <c r="O43" s="34">
        <f>ROUND(
(($F43)*참고!$H$5)
+(($G43)*참고!$H$6)
+(($H43)*참고!$H$7)
+(($I43)*참고!$H$8)
+(($J43))*참고!$H$9,0)</f>
        <v>1662</v>
      </c>
      <c r="P43" s="34">
        <f>ROUND(
(($F43)*참고!$I$5)
+(($G43)*참고!$I$6)
+(($H43)*참고!$I$7)
+(($I43)*참고!$I$8)
+(($J43))*참고!$I$9,0)</f>
        <v>2922</v>
      </c>
      <c r="Q43" s="34">
        <f>ROUND(
(($F43)*참고!$J$5)
+(($G43)*참고!$J$6)
+(($H43)*참고!$J$7)
+(($I43)*참고!$J$8)
+(($J43))*참고!$J$9,0)</f>
        <v>2015</v>
      </c>
      <c r="R43" s="34">
        <f>IF(E43="공격형",(INDEX(몬스터계수[[#Data],[속도]],MATCH(E43, 몬스터계수[[#Data],[타입]],0),1)*속도핸들러_곱계수)*(INT(몬스터밸런스[[#This Row],[Lv]]/속도핸들러_합계수+1)),
IF(E43="방어형",(INDEX(몬스터계수[[#Data],[속도]],MATCH(E43, 몬스터계수[[#Data],[타입]],0),1)*속도핸들러_곱계수)*(INT(몬스터밸런스[[#This Row],[Lv]]/속도핸들러_합계수+1)),
IF(E43="회피형",(INDEX(몬스터계수[[#Data],[속도]],MATCH(E43, 몬스터계수[[#Data],[타입]],0),1)*속도핸들러_곱계수)*(INT(몬스터밸런스[[#This Row],[Lv]]/속도핸들러_합계수+1)),
IF(E43="기본형",(INDEX(몬스터계수[[#Data],[속도]],MATCH(E43, 몬스터계수[[#Data],[타입]],0),1)*속도핸들러_곱계수)*(INT(몬스터밸런스[[#This Row],[Lv]]/속도핸들러_합계수+1)),0))))</f>
        <v>0</v>
      </c>
      <c r="S43">
        <f t="shared" si="0"/>
        <v>537905</v>
      </c>
      <c r="U43">
        <v>4</v>
      </c>
      <c r="V43">
        <v>41</v>
      </c>
      <c r="W43">
        <f>$Z$1*몬스터밸런스9[[#This Row],[단계]]</f>
        <v>20</v>
      </c>
      <c r="X43" t="s">
        <v>55</v>
      </c>
      <c r="Y43">
        <v>0</v>
      </c>
      <c r="AE43" s="34"/>
      <c r="AF43" s="34"/>
      <c r="AG43" s="34"/>
      <c r="AH43" s="34"/>
      <c r="AI43" s="34">
        <f>몬스터밸런스[[#This Row],[CriticalDamage]]*0.4</f>
        <v>664.80000000000007</v>
      </c>
      <c r="AJ43" s="34"/>
      <c r="AK43" s="34">
        <f>몬스터밸런스[[#This Row],[DodgeRate]]*0.6</f>
        <v>1209</v>
      </c>
    </row>
    <row r="44" spans="1:38">
      <c r="A44">
        <v>410</v>
      </c>
      <c r="B44">
        <v>42</v>
      </c>
      <c r="C44">
        <f>$F$1*몬스터밸런스[[#This Row],[Lv]]+15</f>
        <v>2065</v>
      </c>
      <c r="E44" t="s">
        <v>479</v>
      </c>
      <c r="F44">
        <f>IF(E44="공격형",INDEX(몬스터계수[[#Data],[생명계수]],MATCH(E44,몬스터계수[[#Data],[타입]],0),1)*C44,
IF(E44="방어형",INDEX(몬스터계수[[#Data],[생명계수]],MATCH(E44,몬스터계수[[#Data],[타입]],0),1)*C44,
IF(E44="회피형",INDEX(몬스터계수[[#Data],[생명계수]],MATCH(E44,몬스터계수[[#Data],[타입]],0),1)*C44,
IF(E44="체력형",INDEX(몬스터계수[[#Data],[생명계수]],MATCH(E44,몬스터계수[[#Data],[타입]],0),1)*C44,0))))*IF(몬스터밸런스[[#This Row],[보스]]=TRUE,2,1)</f>
        <v>1032.5</v>
      </c>
      <c r="G44">
        <f>IF(E44="공격형",INDEX(몬스터계수[[#Data],[힘계수]],MATCH(E44, 몬스터계수[[#Data],[타입]],0),1)*C44,
IF(E44="방어형",INDEX(몬스터계수[[#Data],[힘계수]],MATCH(E44, 몬스터계수[[#Data],[타입]],0),1)*C44,
IF(E44="회피형",INDEX(몬스터계수[[#Data],[힘계수]],MATCH(E44, 몬스터계수[[#Data],[타입]],0),1)*C44,
IF(E44="체력형",INDEX(몬스터계수[[#Data],[힘계수]],MATCH(E44, 몬스터계수[[#Data],[타입]],0),1)*C44,0))))</f>
        <v>516.25</v>
      </c>
      <c r="H44">
        <f>IF(E44="공격형",INDEX(몬스터계수[[#Data],[근력게수]],MATCH(E44,몬스터계수[[#Data],[타입]],0),1)*C44,
IF(E44="방어형",INDEX(몬스터계수[[#Data],[근력게수]],MATCH(E44,몬스터계수[[#Data],[타입]],0),1)*C44,
IF(E44="회피형",INDEX(몬스터계수[[#Data],[근력게수]],MATCH(E44,몬스터계수[[#Data],[타입]],0),1)*C44,
IF(E44="체력형",INDEX(몬스터계수[[#Data],[근력게수]],MATCH(E44,몬스터계수[[#Data],[타입]],0),1)*C44,0))))</f>
        <v>103.25</v>
      </c>
      <c r="I44">
        <f>IF(E44="공격형",INDEX(몬스터계수[[#Data],[숙련도계수]],MATCH(E44,몬스터계수[[#Data],[타입]],0),1)*C44,
IF(E44="방어형",INDEX(몬스터계수[[#Data],[숙련도계수]],MATCH(E44,몬스터계수[[#Data],[타입]],0),1)*C44,
IF(E44="회피형",INDEX(몬스터계수[[#Data],[숙련도계수]],MATCH(E44,몬스터계수[[#Data],[타입]],0),1)*C44,
IF(E44="체력형",INDEX(몬스터계수[[#Data],[숙련도계수]],MATCH(E44,몬스터계수[[#Data],[타입]],0),1)*C44,0))))</f>
        <v>309.75</v>
      </c>
      <c r="J44">
        <f>IF(E44="공격형",INDEX(몬스터계수[[#Data],[행운계수]],MATCH(E44, 몬스터계수[[#Data],[타입]],0),1)*C44,
IF(E44="방어형",INDEX(몬스터계수[[#Data],[행운계수]],MATCH(E44, 몬스터계수[[#Data],[타입]],0),1)*C44,
IF(E44="회피형",INDEX(몬스터계수[[#Data],[행운계수]],MATCH(E44, 몬스터계수[[#Data],[타입]],0),1)*C44,
IF(E44="체력형",INDEX(몬스터계수[[#Data],[행운계수]],MATCH(E44, 몬스터계수[[#Data],[타입]],0),1)*C44,0))))</f>
        <v>103.25</v>
      </c>
      <c r="K44" s="34">
        <f>ROUND(
(($F44)*참고!$D$5)
+(($G44)*참고!$D$6)
+(($H44)*참고!$D$7)
+(($I44)*참고!$D$8)
+(($J44))*참고!$D$9,0)</f>
        <v>16055</v>
      </c>
      <c r="L44" s="34">
        <f>ROUND(
(($F44)*참고!$E$5)
+(($G44)*참고!$E$6)
+(($H44)*참고!$E$7)
+(($I44)*참고!$E$8)
+(($J44))*참고!$E$9,0)</f>
        <v>9189</v>
      </c>
      <c r="M44" s="34">
        <f>ROUND(
(($F44)*참고!$F$5)
+(($G44)*참고!$F$6)
+(($H44)*참고!$F$7)
+(($I44)*참고!$F$8)
+(($J44))*참고!$F$9,0)</f>
        <v>2581</v>
      </c>
      <c r="N44" s="34">
        <f>ROUND(
(($F44)*참고!$G$5)
+(($G44)*참고!$G$6)
+(($H44)*참고!$G$7)
+(($I44)*참고!$G$8)
+(($J44))*참고!$G$9,0)</f>
        <v>72</v>
      </c>
      <c r="O44" s="34">
        <f>ROUND(
(($F44)*참고!$H$5)
+(($G44)*참고!$H$6)
+(($H44)*참고!$H$7)
+(($I44)*참고!$H$8)
+(($J44))*참고!$H$9,0)</f>
        <v>1704</v>
      </c>
      <c r="P44" s="34">
        <f>ROUND(
(($F44)*참고!$I$5)
+(($G44)*참고!$I$6)
+(($H44)*참고!$I$7)
+(($I44)*참고!$I$8)
+(($J44))*참고!$I$9,0)</f>
        <v>2994</v>
      </c>
      <c r="Q44" s="34">
        <f>ROUND(
(($F44)*참고!$J$5)
+(($G44)*참고!$J$6)
+(($H44)*참고!$J$7)
+(($I44)*참고!$J$8)
+(($J44))*참고!$J$9,0)</f>
        <v>2065</v>
      </c>
      <c r="R44" s="34">
        <f>IF(E44="공격형",(INDEX(몬스터계수[[#Data],[속도]],MATCH(E44, 몬스터계수[[#Data],[타입]],0),1)*속도핸들러_곱계수)*(INT(몬스터밸런스[[#This Row],[Lv]]/속도핸들러_합계수+1)),
IF(E44="방어형",(INDEX(몬스터계수[[#Data],[속도]],MATCH(E44, 몬스터계수[[#Data],[타입]],0),1)*속도핸들러_곱계수)*(INT(몬스터밸런스[[#This Row],[Lv]]/속도핸들러_합계수+1)),
IF(E44="회피형",(INDEX(몬스터계수[[#Data],[속도]],MATCH(E44, 몬스터계수[[#Data],[타입]],0),1)*속도핸들러_곱계수)*(INT(몬스터밸런스[[#This Row],[Lv]]/속도핸들러_합계수+1)),
IF(E44="기본형",(INDEX(몬스터계수[[#Data],[속도]],MATCH(E44, 몬스터계수[[#Data],[타입]],0),1)*속도핸들러_곱계수)*(INT(몬스터밸런스[[#This Row],[Lv]]/속도핸들러_합계수+1)),0))))</f>
        <v>0</v>
      </c>
      <c r="S44">
        <f t="shared" si="0"/>
        <v>551220.5</v>
      </c>
      <c r="U44">
        <v>4</v>
      </c>
      <c r="V44">
        <v>42</v>
      </c>
      <c r="W44">
        <f>$Z$1*몬스터밸런스9[[#This Row],[단계]]</f>
        <v>20</v>
      </c>
      <c r="X44" t="s">
        <v>55</v>
      </c>
      <c r="Y44">
        <v>1</v>
      </c>
      <c r="AE44" s="34"/>
      <c r="AF44" s="34"/>
      <c r="AG44" s="34"/>
      <c r="AH44" s="34"/>
      <c r="AI44" s="34">
        <f>몬스터밸런스[[#This Row],[CriticalDamage]]*0.4</f>
        <v>681.6</v>
      </c>
      <c r="AJ44" s="34"/>
      <c r="AK44" s="34">
        <f>몬스터밸런스[[#This Row],[DodgeRate]]*0.6</f>
        <v>1239</v>
      </c>
    </row>
    <row r="45" spans="1:38">
      <c r="A45">
        <v>420</v>
      </c>
      <c r="B45">
        <v>43</v>
      </c>
      <c r="C45">
        <f>$F$1*몬스터밸런스[[#This Row],[Lv]]+15</f>
        <v>2115</v>
      </c>
      <c r="E45" t="s">
        <v>479</v>
      </c>
      <c r="F45">
        <f>IF(E45="공격형",INDEX(몬스터계수[[#Data],[생명계수]],MATCH(E45,몬스터계수[[#Data],[타입]],0),1)*C45,
IF(E45="방어형",INDEX(몬스터계수[[#Data],[생명계수]],MATCH(E45,몬스터계수[[#Data],[타입]],0),1)*C45,
IF(E45="회피형",INDEX(몬스터계수[[#Data],[생명계수]],MATCH(E45,몬스터계수[[#Data],[타입]],0),1)*C45,
IF(E45="체력형",INDEX(몬스터계수[[#Data],[생명계수]],MATCH(E45,몬스터계수[[#Data],[타입]],0),1)*C45,0))))*IF(몬스터밸런스[[#This Row],[보스]]=TRUE,2,1)</f>
        <v>1057.5</v>
      </c>
      <c r="G45">
        <f>IF(E45="공격형",INDEX(몬스터계수[[#Data],[힘계수]],MATCH(E45, 몬스터계수[[#Data],[타입]],0),1)*C45,
IF(E45="방어형",INDEX(몬스터계수[[#Data],[힘계수]],MATCH(E45, 몬스터계수[[#Data],[타입]],0),1)*C45,
IF(E45="회피형",INDEX(몬스터계수[[#Data],[힘계수]],MATCH(E45, 몬스터계수[[#Data],[타입]],0),1)*C45,
IF(E45="체력형",INDEX(몬스터계수[[#Data],[힘계수]],MATCH(E45, 몬스터계수[[#Data],[타입]],0),1)*C45,0))))</f>
        <v>528.75</v>
      </c>
      <c r="H45">
        <f>IF(E45="공격형",INDEX(몬스터계수[[#Data],[근력게수]],MATCH(E45,몬스터계수[[#Data],[타입]],0),1)*C45,
IF(E45="방어형",INDEX(몬스터계수[[#Data],[근력게수]],MATCH(E45,몬스터계수[[#Data],[타입]],0),1)*C45,
IF(E45="회피형",INDEX(몬스터계수[[#Data],[근력게수]],MATCH(E45,몬스터계수[[#Data],[타입]],0),1)*C45,
IF(E45="체력형",INDEX(몬스터계수[[#Data],[근력게수]],MATCH(E45,몬스터계수[[#Data],[타입]],0),1)*C45,0))))</f>
        <v>105.75</v>
      </c>
      <c r="I45">
        <f>IF(E45="공격형",INDEX(몬스터계수[[#Data],[숙련도계수]],MATCH(E45,몬스터계수[[#Data],[타입]],0),1)*C45,
IF(E45="방어형",INDEX(몬스터계수[[#Data],[숙련도계수]],MATCH(E45,몬스터계수[[#Data],[타입]],0),1)*C45,
IF(E45="회피형",INDEX(몬스터계수[[#Data],[숙련도계수]],MATCH(E45,몬스터계수[[#Data],[타입]],0),1)*C45,
IF(E45="체력형",INDEX(몬스터계수[[#Data],[숙련도계수]],MATCH(E45,몬스터계수[[#Data],[타입]],0),1)*C45,0))))</f>
        <v>317.25</v>
      </c>
      <c r="J45">
        <f>IF(E45="공격형",INDEX(몬스터계수[[#Data],[행운계수]],MATCH(E45, 몬스터계수[[#Data],[타입]],0),1)*C45,
IF(E45="방어형",INDEX(몬스터계수[[#Data],[행운계수]],MATCH(E45, 몬스터계수[[#Data],[타입]],0),1)*C45,
IF(E45="회피형",INDEX(몬스터계수[[#Data],[행운계수]],MATCH(E45, 몬스터계수[[#Data],[타입]],0),1)*C45,
IF(E45="체력형",INDEX(몬스터계수[[#Data],[행운계수]],MATCH(E45, 몬스터계수[[#Data],[타입]],0),1)*C45,0))))</f>
        <v>105.75</v>
      </c>
      <c r="K45" s="34">
        <f>ROUND(
(($F45)*참고!$D$5)
+(($G45)*참고!$D$6)
+(($H45)*참고!$D$7)
+(($I45)*참고!$D$8)
+(($J45))*참고!$D$9,0)</f>
        <v>16444</v>
      </c>
      <c r="L45" s="34">
        <f>ROUND(
(($F45)*참고!$E$5)
+(($G45)*참고!$E$6)
+(($H45)*참고!$E$7)
+(($I45)*참고!$E$8)
+(($J45))*참고!$E$9,0)</f>
        <v>9412</v>
      </c>
      <c r="M45" s="34">
        <f>ROUND(
(($F45)*참고!$F$5)
+(($G45)*참고!$F$6)
+(($H45)*참고!$F$7)
+(($I45)*참고!$F$8)
+(($J45))*참고!$F$9,0)</f>
        <v>2644</v>
      </c>
      <c r="N45" s="34">
        <f>ROUND(
(($F45)*참고!$G$5)
+(($G45)*참고!$G$6)
+(($H45)*참고!$G$7)
+(($I45)*참고!$G$8)
+(($J45))*참고!$G$9,0)</f>
        <v>74</v>
      </c>
      <c r="O45" s="34">
        <f>ROUND(
(($F45)*참고!$H$5)
+(($G45)*참고!$H$6)
+(($H45)*참고!$H$7)
+(($I45)*참고!$H$8)
+(($J45))*참고!$H$9,0)</f>
        <v>1745</v>
      </c>
      <c r="P45" s="34">
        <f>ROUND(
(($F45)*참고!$I$5)
+(($G45)*참고!$I$6)
+(($H45)*참고!$I$7)
+(($I45)*참고!$I$8)
+(($J45))*참고!$I$9,0)</f>
        <v>3067</v>
      </c>
      <c r="Q45" s="34">
        <f>ROUND(
(($F45)*참고!$J$5)
+(($G45)*참고!$J$6)
+(($H45)*참고!$J$7)
+(($I45)*참고!$J$8)
+(($J45))*참고!$J$9,0)</f>
        <v>2115</v>
      </c>
      <c r="R45" s="34">
        <f>IF(E45="공격형",(INDEX(몬스터계수[[#Data],[속도]],MATCH(E45, 몬스터계수[[#Data],[타입]],0),1)*속도핸들러_곱계수)*(INT(몬스터밸런스[[#This Row],[Lv]]/속도핸들러_합계수+1)),
IF(E45="방어형",(INDEX(몬스터계수[[#Data],[속도]],MATCH(E45, 몬스터계수[[#Data],[타입]],0),1)*속도핸들러_곱계수)*(INT(몬스터밸런스[[#This Row],[Lv]]/속도핸들러_합계수+1)),
IF(E45="회피형",(INDEX(몬스터계수[[#Data],[속도]],MATCH(E45, 몬스터계수[[#Data],[타입]],0),1)*속도핸들러_곱계수)*(INT(몬스터밸런스[[#This Row],[Lv]]/속도핸들러_합계수+1)),
IF(E45="기본형",(INDEX(몬스터계수[[#Data],[속도]],MATCH(E45, 몬스터계수[[#Data],[타입]],0),1)*속도핸들러_곱계수)*(INT(몬스터밸런스[[#This Row],[Lv]]/속도핸들러_합계수+1)),0))))</f>
        <v>0</v>
      </c>
      <c r="S45">
        <f t="shared" si="0"/>
        <v>564592.5</v>
      </c>
      <c r="U45">
        <v>4</v>
      </c>
      <c r="V45">
        <v>43</v>
      </c>
      <c r="W45">
        <f>$Z$1*몬스터밸런스9[[#This Row],[단계]]</f>
        <v>20</v>
      </c>
      <c r="X45" t="s">
        <v>55</v>
      </c>
      <c r="Y45">
        <v>2</v>
      </c>
      <c r="AE45" s="34"/>
      <c r="AF45" s="34"/>
      <c r="AG45" s="34"/>
      <c r="AH45" s="34"/>
      <c r="AI45" s="34">
        <f>몬스터밸런스[[#This Row],[CriticalDamage]]*0.4</f>
        <v>698</v>
      </c>
      <c r="AJ45" s="34"/>
      <c r="AK45" s="34">
        <f>몬스터밸런스[[#This Row],[DodgeRate]]*0.6</f>
        <v>1269</v>
      </c>
    </row>
    <row r="46" spans="1:38">
      <c r="A46">
        <v>430</v>
      </c>
      <c r="B46">
        <v>44</v>
      </c>
      <c r="C46">
        <f>$F$1*몬스터밸런스[[#This Row],[Lv]]+15</f>
        <v>2165</v>
      </c>
      <c r="E46" t="s">
        <v>479</v>
      </c>
      <c r="F46">
        <f>IF(E46="공격형",INDEX(몬스터계수[[#Data],[생명계수]],MATCH(E46,몬스터계수[[#Data],[타입]],0),1)*C46,
IF(E46="방어형",INDEX(몬스터계수[[#Data],[생명계수]],MATCH(E46,몬스터계수[[#Data],[타입]],0),1)*C46,
IF(E46="회피형",INDEX(몬스터계수[[#Data],[생명계수]],MATCH(E46,몬스터계수[[#Data],[타입]],0),1)*C46,
IF(E46="체력형",INDEX(몬스터계수[[#Data],[생명계수]],MATCH(E46,몬스터계수[[#Data],[타입]],0),1)*C46,0))))*IF(몬스터밸런스[[#This Row],[보스]]=TRUE,2,1)</f>
        <v>1082.5</v>
      </c>
      <c r="G46">
        <f>IF(E46="공격형",INDEX(몬스터계수[[#Data],[힘계수]],MATCH(E46, 몬스터계수[[#Data],[타입]],0),1)*C46,
IF(E46="방어형",INDEX(몬스터계수[[#Data],[힘계수]],MATCH(E46, 몬스터계수[[#Data],[타입]],0),1)*C46,
IF(E46="회피형",INDEX(몬스터계수[[#Data],[힘계수]],MATCH(E46, 몬스터계수[[#Data],[타입]],0),1)*C46,
IF(E46="체력형",INDEX(몬스터계수[[#Data],[힘계수]],MATCH(E46, 몬스터계수[[#Data],[타입]],0),1)*C46,0))))</f>
        <v>541.25</v>
      </c>
      <c r="H46">
        <f>IF(E46="공격형",INDEX(몬스터계수[[#Data],[근력게수]],MATCH(E46,몬스터계수[[#Data],[타입]],0),1)*C46,
IF(E46="방어형",INDEX(몬스터계수[[#Data],[근력게수]],MATCH(E46,몬스터계수[[#Data],[타입]],0),1)*C46,
IF(E46="회피형",INDEX(몬스터계수[[#Data],[근력게수]],MATCH(E46,몬스터계수[[#Data],[타입]],0),1)*C46,
IF(E46="체력형",INDEX(몬스터계수[[#Data],[근력게수]],MATCH(E46,몬스터계수[[#Data],[타입]],0),1)*C46,0))))</f>
        <v>108.25</v>
      </c>
      <c r="I46">
        <f>IF(E46="공격형",INDEX(몬스터계수[[#Data],[숙련도계수]],MATCH(E46,몬스터계수[[#Data],[타입]],0),1)*C46,
IF(E46="방어형",INDEX(몬스터계수[[#Data],[숙련도계수]],MATCH(E46,몬스터계수[[#Data],[타입]],0),1)*C46,
IF(E46="회피형",INDEX(몬스터계수[[#Data],[숙련도계수]],MATCH(E46,몬스터계수[[#Data],[타입]],0),1)*C46,
IF(E46="체력형",INDEX(몬스터계수[[#Data],[숙련도계수]],MATCH(E46,몬스터계수[[#Data],[타입]],0),1)*C46,0))))</f>
        <v>324.75</v>
      </c>
      <c r="J46">
        <f>IF(E46="공격형",INDEX(몬스터계수[[#Data],[행운계수]],MATCH(E46, 몬스터계수[[#Data],[타입]],0),1)*C46,
IF(E46="방어형",INDEX(몬스터계수[[#Data],[행운계수]],MATCH(E46, 몬스터계수[[#Data],[타입]],0),1)*C46,
IF(E46="회피형",INDEX(몬스터계수[[#Data],[행운계수]],MATCH(E46, 몬스터계수[[#Data],[타입]],0),1)*C46,
IF(E46="체력형",INDEX(몬스터계수[[#Data],[행운계수]],MATCH(E46, 몬스터계수[[#Data],[타입]],0),1)*C46,0))))</f>
        <v>108.25</v>
      </c>
      <c r="K46" s="34">
        <f>ROUND(
(($F46)*참고!$D$5)
+(($G46)*참고!$D$6)
+(($H46)*참고!$D$7)
+(($I46)*참고!$D$8)
+(($J46))*참고!$D$9,0)</f>
        <v>16833</v>
      </c>
      <c r="L46" s="34">
        <f>ROUND(
(($F46)*참고!$E$5)
+(($G46)*참고!$E$6)
+(($H46)*참고!$E$7)
+(($I46)*참고!$E$8)
+(($J46))*참고!$E$9,0)</f>
        <v>9634</v>
      </c>
      <c r="M46" s="34">
        <f>ROUND(
(($F46)*참고!$F$5)
+(($G46)*참고!$F$6)
+(($H46)*참고!$F$7)
+(($I46)*참고!$F$8)
+(($J46))*참고!$F$9,0)</f>
        <v>2706</v>
      </c>
      <c r="N46" s="34">
        <f>ROUND(
(($F46)*참고!$G$5)
+(($G46)*참고!$G$6)
+(($H46)*참고!$G$7)
+(($I46)*참고!$G$8)
+(($J46))*참고!$G$9,0)</f>
        <v>76</v>
      </c>
      <c r="O46" s="34">
        <f>ROUND(
(($F46)*참고!$H$5)
+(($G46)*참고!$H$6)
+(($H46)*참고!$H$7)
+(($I46)*참고!$H$8)
+(($J46))*참고!$H$9,0)</f>
        <v>1786</v>
      </c>
      <c r="P46" s="34">
        <f>ROUND(
(($F46)*참고!$I$5)
+(($G46)*참고!$I$6)
+(($H46)*참고!$I$7)
+(($I46)*참고!$I$8)
+(($J46))*참고!$I$9,0)</f>
        <v>3139</v>
      </c>
      <c r="Q46" s="34">
        <f>ROUND(
(($F46)*참고!$J$5)
+(($G46)*참고!$J$6)
+(($H46)*참고!$J$7)
+(($I46)*참고!$J$8)
+(($J46))*참고!$J$9,0)</f>
        <v>2165</v>
      </c>
      <c r="R46" s="34">
        <f>IF(E46="공격형",(INDEX(몬스터계수[[#Data],[속도]],MATCH(E46, 몬스터계수[[#Data],[타입]],0),1)*속도핸들러_곱계수)*(INT(몬스터밸런스[[#This Row],[Lv]]/속도핸들러_합계수+1)),
IF(E46="방어형",(INDEX(몬스터계수[[#Data],[속도]],MATCH(E46, 몬스터계수[[#Data],[타입]],0),1)*속도핸들러_곱계수)*(INT(몬스터밸런스[[#This Row],[Lv]]/속도핸들러_합계수+1)),
IF(E46="회피형",(INDEX(몬스터계수[[#Data],[속도]],MATCH(E46, 몬스터계수[[#Data],[타입]],0),1)*속도핸들러_곱계수)*(INT(몬스터밸런스[[#This Row],[Lv]]/속도핸들러_합계수+1)),
IF(E46="기본형",(INDEX(몬스터계수[[#Data],[속도]],MATCH(E46, 몬스터계수[[#Data],[타입]],0),1)*속도핸들러_곱계수)*(INT(몬스터밸런스[[#This Row],[Lv]]/속도핸들러_합계수+1)),0))))</f>
        <v>0</v>
      </c>
      <c r="S46">
        <f t="shared" si="0"/>
        <v>577921.5</v>
      </c>
      <c r="U46">
        <v>4</v>
      </c>
      <c r="V46">
        <v>44</v>
      </c>
      <c r="W46">
        <f>$Z$1*몬스터밸런스9[[#This Row],[단계]]</f>
        <v>20</v>
      </c>
      <c r="X46" t="s">
        <v>55</v>
      </c>
      <c r="Y46">
        <v>3</v>
      </c>
      <c r="AE46" s="34"/>
      <c r="AF46" s="34"/>
      <c r="AG46" s="34"/>
      <c r="AH46" s="34"/>
      <c r="AI46" s="34">
        <f>몬스터밸런스[[#This Row],[CriticalDamage]]*0.4</f>
        <v>714.40000000000009</v>
      </c>
      <c r="AJ46" s="34"/>
      <c r="AK46" s="34">
        <f>몬스터밸런스[[#This Row],[DodgeRate]]*0.6</f>
        <v>1299</v>
      </c>
    </row>
    <row r="47" spans="1:38">
      <c r="A47">
        <v>440</v>
      </c>
      <c r="B47">
        <v>45</v>
      </c>
      <c r="C47">
        <f>$F$1*몬스터밸런스[[#This Row],[Lv]]+15</f>
        <v>2215</v>
      </c>
      <c r="E47" t="s">
        <v>479</v>
      </c>
      <c r="F47">
        <f>IF(E47="공격형",INDEX(몬스터계수[[#Data],[생명계수]],MATCH(E47,몬스터계수[[#Data],[타입]],0),1)*C47,
IF(E47="방어형",INDEX(몬스터계수[[#Data],[생명계수]],MATCH(E47,몬스터계수[[#Data],[타입]],0),1)*C47,
IF(E47="회피형",INDEX(몬스터계수[[#Data],[생명계수]],MATCH(E47,몬스터계수[[#Data],[타입]],0),1)*C47,
IF(E47="체력형",INDEX(몬스터계수[[#Data],[생명계수]],MATCH(E47,몬스터계수[[#Data],[타입]],0),1)*C47,0))))*IF(몬스터밸런스[[#This Row],[보스]]=TRUE,2,1)</f>
        <v>1107.5</v>
      </c>
      <c r="G47">
        <f>IF(E47="공격형",INDEX(몬스터계수[[#Data],[힘계수]],MATCH(E47, 몬스터계수[[#Data],[타입]],0),1)*C47,
IF(E47="방어형",INDEX(몬스터계수[[#Data],[힘계수]],MATCH(E47, 몬스터계수[[#Data],[타입]],0),1)*C47,
IF(E47="회피형",INDEX(몬스터계수[[#Data],[힘계수]],MATCH(E47, 몬스터계수[[#Data],[타입]],0),1)*C47,
IF(E47="체력형",INDEX(몬스터계수[[#Data],[힘계수]],MATCH(E47, 몬스터계수[[#Data],[타입]],0),1)*C47,0))))</f>
        <v>553.75</v>
      </c>
      <c r="H47">
        <f>IF(E47="공격형",INDEX(몬스터계수[[#Data],[근력게수]],MATCH(E47,몬스터계수[[#Data],[타입]],0),1)*C47,
IF(E47="방어형",INDEX(몬스터계수[[#Data],[근력게수]],MATCH(E47,몬스터계수[[#Data],[타입]],0),1)*C47,
IF(E47="회피형",INDEX(몬스터계수[[#Data],[근력게수]],MATCH(E47,몬스터계수[[#Data],[타입]],0),1)*C47,
IF(E47="체력형",INDEX(몬스터계수[[#Data],[근력게수]],MATCH(E47,몬스터계수[[#Data],[타입]],0),1)*C47,0))))</f>
        <v>110.75</v>
      </c>
      <c r="I47">
        <f>IF(E47="공격형",INDEX(몬스터계수[[#Data],[숙련도계수]],MATCH(E47,몬스터계수[[#Data],[타입]],0),1)*C47,
IF(E47="방어형",INDEX(몬스터계수[[#Data],[숙련도계수]],MATCH(E47,몬스터계수[[#Data],[타입]],0),1)*C47,
IF(E47="회피형",INDEX(몬스터계수[[#Data],[숙련도계수]],MATCH(E47,몬스터계수[[#Data],[타입]],0),1)*C47,
IF(E47="체력형",INDEX(몬스터계수[[#Data],[숙련도계수]],MATCH(E47,몬스터계수[[#Data],[타입]],0),1)*C47,0))))</f>
        <v>332.25</v>
      </c>
      <c r="J47">
        <f>IF(E47="공격형",INDEX(몬스터계수[[#Data],[행운계수]],MATCH(E47, 몬스터계수[[#Data],[타입]],0),1)*C47,
IF(E47="방어형",INDEX(몬스터계수[[#Data],[행운계수]],MATCH(E47, 몬스터계수[[#Data],[타입]],0),1)*C47,
IF(E47="회피형",INDEX(몬스터계수[[#Data],[행운계수]],MATCH(E47, 몬스터계수[[#Data],[타입]],0),1)*C47,
IF(E47="체력형",INDEX(몬스터계수[[#Data],[행운계수]],MATCH(E47, 몬스터계수[[#Data],[타입]],0),1)*C47,0))))</f>
        <v>110.75</v>
      </c>
      <c r="K47" s="34">
        <f>ROUND(
(($F47)*참고!$D$5)
+(($G47)*참고!$D$6)
+(($H47)*참고!$D$7)
+(($I47)*참고!$D$8)
+(($J47))*참고!$D$9,0)</f>
        <v>17222</v>
      </c>
      <c r="L47" s="34">
        <f>ROUND(
(($F47)*참고!$E$5)
+(($G47)*참고!$E$6)
+(($H47)*참고!$E$7)
+(($I47)*참고!$E$8)
+(($J47))*참고!$E$9,0)</f>
        <v>9857</v>
      </c>
      <c r="M47" s="34">
        <f>ROUND(
(($F47)*참고!$F$5)
+(($G47)*참고!$F$6)
+(($H47)*참고!$F$7)
+(($I47)*참고!$F$8)
+(($J47))*참고!$F$9,0)</f>
        <v>2769</v>
      </c>
      <c r="N47" s="34">
        <f>ROUND(
(($F47)*참고!$G$5)
+(($G47)*참고!$G$6)
+(($H47)*참고!$G$7)
+(($I47)*참고!$G$8)
+(($J47))*참고!$G$9,0)</f>
        <v>78</v>
      </c>
      <c r="O47" s="34">
        <f>ROUND(
(($F47)*참고!$H$5)
+(($G47)*참고!$H$6)
+(($H47)*참고!$H$7)
+(($I47)*참고!$H$8)
+(($J47))*참고!$H$9,0)</f>
        <v>1827</v>
      </c>
      <c r="P47" s="34">
        <f>ROUND(
(($F47)*참고!$I$5)
+(($G47)*참고!$I$6)
+(($H47)*참고!$I$7)
+(($I47)*참고!$I$8)
+(($J47))*참고!$I$9,0)</f>
        <v>3212</v>
      </c>
      <c r="Q47" s="34">
        <f>ROUND(
(($F47)*참고!$J$5)
+(($G47)*참고!$J$6)
+(($H47)*참고!$J$7)
+(($I47)*참고!$J$8)
+(($J47))*참고!$J$9,0)</f>
        <v>2215</v>
      </c>
      <c r="R47" s="34">
        <f>IF(E47="공격형",(INDEX(몬스터계수[[#Data],[속도]],MATCH(E47, 몬스터계수[[#Data],[타입]],0),1)*속도핸들러_곱계수)*(INT(몬스터밸런스[[#This Row],[Lv]]/속도핸들러_합계수+1)),
IF(E47="방어형",(INDEX(몬스터계수[[#Data],[속도]],MATCH(E47, 몬스터계수[[#Data],[타입]],0),1)*속도핸들러_곱계수)*(INT(몬스터밸런스[[#This Row],[Lv]]/속도핸들러_합계수+1)),
IF(E47="회피형",(INDEX(몬스터계수[[#Data],[속도]],MATCH(E47, 몬스터계수[[#Data],[타입]],0),1)*속도핸들러_곱계수)*(INT(몬스터밸런스[[#This Row],[Lv]]/속도핸들러_합계수+1)),
IF(E47="기본형",(INDEX(몬스터계수[[#Data],[속도]],MATCH(E47, 몬스터계수[[#Data],[타입]],0),1)*속도핸들러_곱계수)*(INT(몬스터밸런스[[#This Row],[Lv]]/속도핸들러_합계수+1)),0))))</f>
        <v>0</v>
      </c>
      <c r="S47">
        <f t="shared" si="0"/>
        <v>591293.5</v>
      </c>
      <c r="U47">
        <v>4</v>
      </c>
      <c r="V47">
        <v>45</v>
      </c>
      <c r="W47">
        <f>$Z$1*몬스터밸런스9[[#This Row],[단계]]</f>
        <v>20</v>
      </c>
      <c r="X47" t="s">
        <v>55</v>
      </c>
      <c r="Y47">
        <v>4</v>
      </c>
      <c r="AE47" s="34"/>
      <c r="AF47" s="34"/>
      <c r="AG47" s="34"/>
      <c r="AH47" s="34"/>
      <c r="AI47" s="34">
        <f>몬스터밸런스[[#This Row],[CriticalDamage]]*0.4</f>
        <v>730.80000000000007</v>
      </c>
      <c r="AJ47" s="34"/>
      <c r="AK47" s="34">
        <f>몬스터밸런스[[#This Row],[DodgeRate]]*0.6</f>
        <v>1329</v>
      </c>
    </row>
    <row r="48" spans="1:38">
      <c r="A48">
        <v>450</v>
      </c>
      <c r="B48">
        <v>46</v>
      </c>
      <c r="C48">
        <f>$F$1*몬스터밸런스[[#This Row],[Lv]]+15</f>
        <v>2265</v>
      </c>
      <c r="E48" t="s">
        <v>479</v>
      </c>
      <c r="F48">
        <f>IF(E48="공격형",INDEX(몬스터계수[[#Data],[생명계수]],MATCH(E48,몬스터계수[[#Data],[타입]],0),1)*C48,
IF(E48="방어형",INDEX(몬스터계수[[#Data],[생명계수]],MATCH(E48,몬스터계수[[#Data],[타입]],0),1)*C48,
IF(E48="회피형",INDEX(몬스터계수[[#Data],[생명계수]],MATCH(E48,몬스터계수[[#Data],[타입]],0),1)*C48,
IF(E48="체력형",INDEX(몬스터계수[[#Data],[생명계수]],MATCH(E48,몬스터계수[[#Data],[타입]],0),1)*C48,0))))*IF(몬스터밸런스[[#This Row],[보스]]=TRUE,2,1)</f>
        <v>1132.5</v>
      </c>
      <c r="G48">
        <f>IF(E48="공격형",INDEX(몬스터계수[[#Data],[힘계수]],MATCH(E48, 몬스터계수[[#Data],[타입]],0),1)*C48,
IF(E48="방어형",INDEX(몬스터계수[[#Data],[힘계수]],MATCH(E48, 몬스터계수[[#Data],[타입]],0),1)*C48,
IF(E48="회피형",INDEX(몬스터계수[[#Data],[힘계수]],MATCH(E48, 몬스터계수[[#Data],[타입]],0),1)*C48,
IF(E48="체력형",INDEX(몬스터계수[[#Data],[힘계수]],MATCH(E48, 몬스터계수[[#Data],[타입]],0),1)*C48,0))))</f>
        <v>566.25</v>
      </c>
      <c r="H48">
        <f>IF(E48="공격형",INDEX(몬스터계수[[#Data],[근력게수]],MATCH(E48,몬스터계수[[#Data],[타입]],0),1)*C48,
IF(E48="방어형",INDEX(몬스터계수[[#Data],[근력게수]],MATCH(E48,몬스터계수[[#Data],[타입]],0),1)*C48,
IF(E48="회피형",INDEX(몬스터계수[[#Data],[근력게수]],MATCH(E48,몬스터계수[[#Data],[타입]],0),1)*C48,
IF(E48="체력형",INDEX(몬스터계수[[#Data],[근력게수]],MATCH(E48,몬스터계수[[#Data],[타입]],0),1)*C48,0))))</f>
        <v>113.25</v>
      </c>
      <c r="I48">
        <f>IF(E48="공격형",INDEX(몬스터계수[[#Data],[숙련도계수]],MATCH(E48,몬스터계수[[#Data],[타입]],0),1)*C48,
IF(E48="방어형",INDEX(몬스터계수[[#Data],[숙련도계수]],MATCH(E48,몬스터계수[[#Data],[타입]],0),1)*C48,
IF(E48="회피형",INDEX(몬스터계수[[#Data],[숙련도계수]],MATCH(E48,몬스터계수[[#Data],[타입]],0),1)*C48,
IF(E48="체력형",INDEX(몬스터계수[[#Data],[숙련도계수]],MATCH(E48,몬스터계수[[#Data],[타입]],0),1)*C48,0))))</f>
        <v>339.75</v>
      </c>
      <c r="J48">
        <f>IF(E48="공격형",INDEX(몬스터계수[[#Data],[행운계수]],MATCH(E48, 몬스터계수[[#Data],[타입]],0),1)*C48,
IF(E48="방어형",INDEX(몬스터계수[[#Data],[행운계수]],MATCH(E48, 몬스터계수[[#Data],[타입]],0),1)*C48,
IF(E48="회피형",INDEX(몬스터계수[[#Data],[행운계수]],MATCH(E48, 몬스터계수[[#Data],[타입]],0),1)*C48,
IF(E48="체력형",INDEX(몬스터계수[[#Data],[행운계수]],MATCH(E48, 몬스터계수[[#Data],[타입]],0),1)*C48,0))))</f>
        <v>113.25</v>
      </c>
      <c r="K48" s="34">
        <f>ROUND(
(($F48)*참고!$D$5)
+(($G48)*참고!$D$6)
+(($H48)*참고!$D$7)
+(($I48)*참고!$D$8)
+(($J48))*참고!$D$9,0)</f>
        <v>17610</v>
      </c>
      <c r="L48" s="34">
        <f>ROUND(
(($F48)*참고!$E$5)
+(($G48)*참고!$E$6)
+(($H48)*참고!$E$7)
+(($I48)*참고!$E$8)
+(($J48))*참고!$E$9,0)</f>
        <v>10079</v>
      </c>
      <c r="M48" s="34">
        <f>ROUND(
(($F48)*참고!$F$5)
+(($G48)*참고!$F$6)
+(($H48)*참고!$F$7)
+(($I48)*참고!$F$8)
+(($J48))*참고!$F$9,0)</f>
        <v>2831</v>
      </c>
      <c r="N48" s="34">
        <f>ROUND(
(($F48)*참고!$G$5)
+(($G48)*참고!$G$6)
+(($H48)*참고!$G$7)
+(($I48)*참고!$G$8)
+(($J48))*참고!$G$9,0)</f>
        <v>79</v>
      </c>
      <c r="O48" s="34">
        <f>ROUND(
(($F48)*참고!$H$5)
+(($G48)*참고!$H$6)
+(($H48)*참고!$H$7)
+(($I48)*참고!$H$8)
+(($J48))*참고!$H$9,0)</f>
        <v>1869</v>
      </c>
      <c r="P48" s="34">
        <f>ROUND(
(($F48)*참고!$I$5)
+(($G48)*참고!$I$6)
+(($H48)*참고!$I$7)
+(($I48)*참고!$I$8)
+(($J48))*참고!$I$9,0)</f>
        <v>3284</v>
      </c>
      <c r="Q48" s="34">
        <f>ROUND(
(($F48)*참고!$J$5)
+(($G48)*참고!$J$6)
+(($H48)*참고!$J$7)
+(($I48)*참고!$J$8)
+(($J48))*참고!$J$9,0)</f>
        <v>2265</v>
      </c>
      <c r="R48" s="34">
        <f>IF(E48="공격형",(INDEX(몬스터계수[[#Data],[속도]],MATCH(E48, 몬스터계수[[#Data],[타입]],0),1)*속도핸들러_곱계수)*(INT(몬스터밸런스[[#This Row],[Lv]]/속도핸들러_합계수+1)),
IF(E48="방어형",(INDEX(몬스터계수[[#Data],[속도]],MATCH(E48, 몬스터계수[[#Data],[타입]],0),1)*속도핸들러_곱계수)*(INT(몬스터밸런스[[#This Row],[Lv]]/속도핸들러_합계수+1)),
IF(E48="회피형",(INDEX(몬스터계수[[#Data],[속도]],MATCH(E48, 몬스터계수[[#Data],[타입]],0),1)*속도핸들러_곱계수)*(INT(몬스터밸런스[[#This Row],[Lv]]/속도핸들러_합계수+1)),
IF(E48="기본형",(INDEX(몬스터계수[[#Data],[속도]],MATCH(E48, 몬스터계수[[#Data],[타입]],0),1)*속도핸들러_곱계수)*(INT(몬스터밸런스[[#This Row],[Lv]]/속도핸들러_합계수+1)),0))))</f>
        <v>0</v>
      </c>
      <c r="S48">
        <f t="shared" si="0"/>
        <v>604609</v>
      </c>
      <c r="U48">
        <v>5</v>
      </c>
      <c r="V48">
        <v>46</v>
      </c>
      <c r="W48">
        <f>$Z$1*몬스터밸런스9[[#This Row],[단계]]</f>
        <v>25</v>
      </c>
      <c r="X48" t="s">
        <v>55</v>
      </c>
      <c r="Y48">
        <v>0</v>
      </c>
      <c r="AE48" s="34"/>
      <c r="AF48" s="34"/>
      <c r="AG48" s="34"/>
      <c r="AH48" s="34"/>
      <c r="AI48" s="34">
        <f>몬스터밸런스[[#This Row],[CriticalDamage]]*0.4</f>
        <v>747.6</v>
      </c>
      <c r="AJ48" s="34"/>
      <c r="AK48" s="34">
        <f>몬스터밸런스[[#This Row],[DodgeRate]]*0.6</f>
        <v>1359</v>
      </c>
    </row>
    <row r="49" spans="1:38">
      <c r="A49">
        <v>460</v>
      </c>
      <c r="B49">
        <v>47</v>
      </c>
      <c r="C49">
        <f>$F$1*몬스터밸런스[[#This Row],[Lv]]+15</f>
        <v>2315</v>
      </c>
      <c r="E49" t="s">
        <v>479</v>
      </c>
      <c r="F49">
        <f>IF(E49="공격형",INDEX(몬스터계수[[#Data],[생명계수]],MATCH(E49,몬스터계수[[#Data],[타입]],0),1)*C49,
IF(E49="방어형",INDEX(몬스터계수[[#Data],[생명계수]],MATCH(E49,몬스터계수[[#Data],[타입]],0),1)*C49,
IF(E49="회피형",INDEX(몬스터계수[[#Data],[생명계수]],MATCH(E49,몬스터계수[[#Data],[타입]],0),1)*C49,
IF(E49="체력형",INDEX(몬스터계수[[#Data],[생명계수]],MATCH(E49,몬스터계수[[#Data],[타입]],0),1)*C49,0))))*IF(몬스터밸런스[[#This Row],[보스]]=TRUE,2,1)</f>
        <v>1157.5</v>
      </c>
      <c r="G49">
        <f>IF(E49="공격형",INDEX(몬스터계수[[#Data],[힘계수]],MATCH(E49, 몬스터계수[[#Data],[타입]],0),1)*C49,
IF(E49="방어형",INDEX(몬스터계수[[#Data],[힘계수]],MATCH(E49, 몬스터계수[[#Data],[타입]],0),1)*C49,
IF(E49="회피형",INDEX(몬스터계수[[#Data],[힘계수]],MATCH(E49, 몬스터계수[[#Data],[타입]],0),1)*C49,
IF(E49="체력형",INDEX(몬스터계수[[#Data],[힘계수]],MATCH(E49, 몬스터계수[[#Data],[타입]],0),1)*C49,0))))</f>
        <v>578.75</v>
      </c>
      <c r="H49">
        <f>IF(E49="공격형",INDEX(몬스터계수[[#Data],[근력게수]],MATCH(E49,몬스터계수[[#Data],[타입]],0),1)*C49,
IF(E49="방어형",INDEX(몬스터계수[[#Data],[근력게수]],MATCH(E49,몬스터계수[[#Data],[타입]],0),1)*C49,
IF(E49="회피형",INDEX(몬스터계수[[#Data],[근력게수]],MATCH(E49,몬스터계수[[#Data],[타입]],0),1)*C49,
IF(E49="체력형",INDEX(몬스터계수[[#Data],[근력게수]],MATCH(E49,몬스터계수[[#Data],[타입]],0),1)*C49,0))))</f>
        <v>115.75</v>
      </c>
      <c r="I49">
        <f>IF(E49="공격형",INDEX(몬스터계수[[#Data],[숙련도계수]],MATCH(E49,몬스터계수[[#Data],[타입]],0),1)*C49,
IF(E49="방어형",INDEX(몬스터계수[[#Data],[숙련도계수]],MATCH(E49,몬스터계수[[#Data],[타입]],0),1)*C49,
IF(E49="회피형",INDEX(몬스터계수[[#Data],[숙련도계수]],MATCH(E49,몬스터계수[[#Data],[타입]],0),1)*C49,
IF(E49="체력형",INDEX(몬스터계수[[#Data],[숙련도계수]],MATCH(E49,몬스터계수[[#Data],[타입]],0),1)*C49,0))))</f>
        <v>347.25</v>
      </c>
      <c r="J49">
        <f>IF(E49="공격형",INDEX(몬스터계수[[#Data],[행운계수]],MATCH(E49, 몬스터계수[[#Data],[타입]],0),1)*C49,
IF(E49="방어형",INDEX(몬스터계수[[#Data],[행운계수]],MATCH(E49, 몬스터계수[[#Data],[타입]],0),1)*C49,
IF(E49="회피형",INDEX(몬스터계수[[#Data],[행운계수]],MATCH(E49, 몬스터계수[[#Data],[타입]],0),1)*C49,
IF(E49="체력형",INDEX(몬스터계수[[#Data],[행운계수]],MATCH(E49, 몬스터계수[[#Data],[타입]],0),1)*C49,0))))</f>
        <v>115.75</v>
      </c>
      <c r="K49" s="34">
        <f>ROUND(
(($F49)*참고!$D$5)
+(($G49)*참고!$D$6)
+(($H49)*참고!$D$7)
+(($I49)*참고!$D$8)
+(($J49))*참고!$D$9,0)</f>
        <v>17999</v>
      </c>
      <c r="L49" s="34">
        <f>ROUND(
(($F49)*참고!$E$5)
+(($G49)*참고!$E$6)
+(($H49)*참고!$E$7)
+(($I49)*참고!$E$8)
+(($J49))*참고!$E$9,0)</f>
        <v>10302</v>
      </c>
      <c r="M49" s="34">
        <f>ROUND(
(($F49)*참고!$F$5)
+(($G49)*참고!$F$6)
+(($H49)*참고!$F$7)
+(($I49)*참고!$F$8)
+(($J49))*참고!$F$9,0)</f>
        <v>2894</v>
      </c>
      <c r="N49" s="34">
        <f>ROUND(
(($F49)*참고!$G$5)
+(($G49)*참고!$G$6)
+(($H49)*참고!$G$7)
+(($I49)*참고!$G$8)
+(($J49))*참고!$G$9,0)</f>
        <v>81</v>
      </c>
      <c r="O49" s="34">
        <f>ROUND(
(($F49)*참고!$H$5)
+(($G49)*참고!$H$6)
+(($H49)*참고!$H$7)
+(($I49)*참고!$H$8)
+(($J49))*참고!$H$9,0)</f>
        <v>1910</v>
      </c>
      <c r="P49" s="34">
        <f>ROUND(
(($F49)*참고!$I$5)
+(($G49)*참고!$I$6)
+(($H49)*참고!$I$7)
+(($I49)*참고!$I$8)
+(($J49))*참고!$I$9,0)</f>
        <v>3357</v>
      </c>
      <c r="Q49" s="34">
        <f>ROUND(
(($F49)*참고!$J$5)
+(($G49)*참고!$J$6)
+(($H49)*참고!$J$7)
+(($I49)*참고!$J$8)
+(($J49))*참고!$J$9,0)</f>
        <v>2315</v>
      </c>
      <c r="R49" s="34">
        <f>IF(E49="공격형",(INDEX(몬스터계수[[#Data],[속도]],MATCH(E49, 몬스터계수[[#Data],[타입]],0),1)*속도핸들러_곱계수)*(INT(몬스터밸런스[[#This Row],[Lv]]/속도핸들러_합계수+1)),
IF(E49="방어형",(INDEX(몬스터계수[[#Data],[속도]],MATCH(E49, 몬스터계수[[#Data],[타입]],0),1)*속도핸들러_곱계수)*(INT(몬스터밸런스[[#This Row],[Lv]]/속도핸들러_합계수+1)),
IF(E49="회피형",(INDEX(몬스터계수[[#Data],[속도]],MATCH(E49, 몬스터계수[[#Data],[타입]],0),1)*속도핸들러_곱계수)*(INT(몬스터밸런스[[#This Row],[Lv]]/속도핸들러_합계수+1)),
IF(E49="기본형",(INDEX(몬스터계수[[#Data],[속도]],MATCH(E49, 몬스터계수[[#Data],[타입]],0),1)*속도핸들러_곱계수)*(INT(몬스터밸런스[[#This Row],[Lv]]/속도핸들러_합계수+1)),0))))</f>
        <v>0</v>
      </c>
      <c r="S49">
        <f t="shared" si="0"/>
        <v>617981</v>
      </c>
      <c r="U49">
        <v>5</v>
      </c>
      <c r="V49">
        <v>47</v>
      </c>
      <c r="W49">
        <f>$Z$1*몬스터밸런스9[[#This Row],[단계]]</f>
        <v>25</v>
      </c>
      <c r="X49" t="s">
        <v>55</v>
      </c>
      <c r="Y49">
        <v>1</v>
      </c>
      <c r="AE49" s="34"/>
      <c r="AF49" s="34"/>
      <c r="AG49" s="34"/>
      <c r="AH49" s="34"/>
      <c r="AI49" s="34">
        <f>몬스터밸런스[[#This Row],[CriticalDamage]]*0.4</f>
        <v>764</v>
      </c>
      <c r="AJ49" s="34"/>
      <c r="AK49" s="34">
        <f>몬스터밸런스[[#This Row],[DodgeRate]]*0.6</f>
        <v>1389</v>
      </c>
    </row>
    <row r="50" spans="1:38">
      <c r="A50">
        <v>470</v>
      </c>
      <c r="B50">
        <v>48</v>
      </c>
      <c r="C50">
        <f>$F$1*몬스터밸런스[[#This Row],[Lv]]+15</f>
        <v>2365</v>
      </c>
      <c r="E50" t="s">
        <v>479</v>
      </c>
      <c r="F50">
        <f>IF(E50="공격형",INDEX(몬스터계수[[#Data],[생명계수]],MATCH(E50,몬스터계수[[#Data],[타입]],0),1)*C50,
IF(E50="방어형",INDEX(몬스터계수[[#Data],[생명계수]],MATCH(E50,몬스터계수[[#Data],[타입]],0),1)*C50,
IF(E50="회피형",INDEX(몬스터계수[[#Data],[생명계수]],MATCH(E50,몬스터계수[[#Data],[타입]],0),1)*C50,
IF(E50="체력형",INDEX(몬스터계수[[#Data],[생명계수]],MATCH(E50,몬스터계수[[#Data],[타입]],0),1)*C50,0))))*IF(몬스터밸런스[[#This Row],[보스]]=TRUE,2,1)</f>
        <v>1182.5</v>
      </c>
      <c r="G50">
        <f>IF(E50="공격형",INDEX(몬스터계수[[#Data],[힘계수]],MATCH(E50, 몬스터계수[[#Data],[타입]],0),1)*C50,
IF(E50="방어형",INDEX(몬스터계수[[#Data],[힘계수]],MATCH(E50, 몬스터계수[[#Data],[타입]],0),1)*C50,
IF(E50="회피형",INDEX(몬스터계수[[#Data],[힘계수]],MATCH(E50, 몬스터계수[[#Data],[타입]],0),1)*C50,
IF(E50="체력형",INDEX(몬스터계수[[#Data],[힘계수]],MATCH(E50, 몬스터계수[[#Data],[타입]],0),1)*C50,0))))</f>
        <v>591.25</v>
      </c>
      <c r="H50">
        <f>IF(E50="공격형",INDEX(몬스터계수[[#Data],[근력게수]],MATCH(E50,몬스터계수[[#Data],[타입]],0),1)*C50,
IF(E50="방어형",INDEX(몬스터계수[[#Data],[근력게수]],MATCH(E50,몬스터계수[[#Data],[타입]],0),1)*C50,
IF(E50="회피형",INDEX(몬스터계수[[#Data],[근력게수]],MATCH(E50,몬스터계수[[#Data],[타입]],0),1)*C50,
IF(E50="체력형",INDEX(몬스터계수[[#Data],[근력게수]],MATCH(E50,몬스터계수[[#Data],[타입]],0),1)*C50,0))))</f>
        <v>118.25</v>
      </c>
      <c r="I50">
        <f>IF(E50="공격형",INDEX(몬스터계수[[#Data],[숙련도계수]],MATCH(E50,몬스터계수[[#Data],[타입]],0),1)*C50,
IF(E50="방어형",INDEX(몬스터계수[[#Data],[숙련도계수]],MATCH(E50,몬스터계수[[#Data],[타입]],0),1)*C50,
IF(E50="회피형",INDEX(몬스터계수[[#Data],[숙련도계수]],MATCH(E50,몬스터계수[[#Data],[타입]],0),1)*C50,
IF(E50="체력형",INDEX(몬스터계수[[#Data],[숙련도계수]],MATCH(E50,몬스터계수[[#Data],[타입]],0),1)*C50,0))))</f>
        <v>354.75</v>
      </c>
      <c r="J50">
        <f>IF(E50="공격형",INDEX(몬스터계수[[#Data],[행운계수]],MATCH(E50, 몬스터계수[[#Data],[타입]],0),1)*C50,
IF(E50="방어형",INDEX(몬스터계수[[#Data],[행운계수]],MATCH(E50, 몬스터계수[[#Data],[타입]],0),1)*C50,
IF(E50="회피형",INDEX(몬스터계수[[#Data],[행운계수]],MATCH(E50, 몬스터계수[[#Data],[타입]],0),1)*C50,
IF(E50="체력형",INDEX(몬스터계수[[#Data],[행운계수]],MATCH(E50, 몬스터계수[[#Data],[타입]],0),1)*C50,0))))</f>
        <v>118.25</v>
      </c>
      <c r="K50" s="34">
        <f>ROUND(
(($F50)*참고!$D$5)
+(($G50)*참고!$D$6)
+(($H50)*참고!$D$7)
+(($I50)*참고!$D$8)
+(($J50))*참고!$D$9,0)</f>
        <v>18388</v>
      </c>
      <c r="L50" s="34">
        <f>ROUND(
(($F50)*참고!$E$5)
+(($G50)*참고!$E$6)
+(($H50)*참고!$E$7)
+(($I50)*참고!$E$8)
+(($J50))*참고!$E$9,0)</f>
        <v>10524</v>
      </c>
      <c r="M50" s="34">
        <f>ROUND(
(($F50)*참고!$F$5)
+(($G50)*참고!$F$6)
+(($H50)*참고!$F$7)
+(($I50)*참고!$F$8)
+(($J50))*참고!$F$9,0)</f>
        <v>2956</v>
      </c>
      <c r="N50" s="34">
        <f>ROUND(
(($F50)*참고!$G$5)
+(($G50)*참고!$G$6)
+(($H50)*참고!$G$7)
+(($I50)*참고!$G$8)
+(($J50))*참고!$G$9,0)</f>
        <v>83</v>
      </c>
      <c r="O50" s="34">
        <f>ROUND(
(($F50)*참고!$H$5)
+(($G50)*참고!$H$6)
+(($H50)*참고!$H$7)
+(($I50)*참고!$H$8)
+(($J50))*참고!$H$9,0)</f>
        <v>1951</v>
      </c>
      <c r="P50" s="34">
        <f>ROUND(
(($F50)*참고!$I$5)
+(($G50)*참고!$I$6)
+(($H50)*참고!$I$7)
+(($I50)*참고!$I$8)
+(($J50))*참고!$I$9,0)</f>
        <v>3429</v>
      </c>
      <c r="Q50" s="34">
        <f>ROUND(
(($F50)*참고!$J$5)
+(($G50)*참고!$J$6)
+(($H50)*참고!$J$7)
+(($I50)*참고!$J$8)
+(($J50))*참고!$J$9,0)</f>
        <v>2365</v>
      </c>
      <c r="R50" s="34">
        <f>IF(E50="공격형",(INDEX(몬스터계수[[#Data],[속도]],MATCH(E50, 몬스터계수[[#Data],[타입]],0),1)*속도핸들러_곱계수)*(INT(몬스터밸런스[[#This Row],[Lv]]/속도핸들러_합계수+1)),
IF(E50="방어형",(INDEX(몬스터계수[[#Data],[속도]],MATCH(E50, 몬스터계수[[#Data],[타입]],0),1)*속도핸들러_곱계수)*(INT(몬스터밸런스[[#This Row],[Lv]]/속도핸들러_합계수+1)),
IF(E50="회피형",(INDEX(몬스터계수[[#Data],[속도]],MATCH(E50, 몬스터계수[[#Data],[타입]],0),1)*속도핸들러_곱계수)*(INT(몬스터밸런스[[#This Row],[Lv]]/속도핸들러_합계수+1)),
IF(E50="기본형",(INDEX(몬스터계수[[#Data],[속도]],MATCH(E50, 몬스터계수[[#Data],[타입]],0),1)*속도핸들러_곱계수)*(INT(몬스터밸런스[[#This Row],[Lv]]/속도핸들러_합계수+1)),0))))</f>
        <v>0</v>
      </c>
      <c r="S50">
        <f t="shared" si="0"/>
        <v>631310</v>
      </c>
      <c r="U50">
        <v>5</v>
      </c>
      <c r="V50">
        <v>48</v>
      </c>
      <c r="W50">
        <f>$Z$1*몬스터밸런스9[[#This Row],[단계]]</f>
        <v>25</v>
      </c>
      <c r="X50" t="s">
        <v>55</v>
      </c>
      <c r="Y50">
        <v>2</v>
      </c>
      <c r="AE50" s="34"/>
      <c r="AF50" s="34"/>
      <c r="AG50" s="34"/>
      <c r="AH50" s="34"/>
      <c r="AI50" s="34">
        <f>몬스터밸런스[[#This Row],[CriticalDamage]]*0.4</f>
        <v>780.40000000000009</v>
      </c>
      <c r="AJ50" s="34"/>
      <c r="AK50" s="34">
        <f>몬스터밸런스[[#This Row],[DodgeRate]]*0.6</f>
        <v>1419</v>
      </c>
    </row>
    <row r="51" spans="1:38">
      <c r="A51">
        <v>480</v>
      </c>
      <c r="B51">
        <v>49</v>
      </c>
      <c r="C51">
        <f>$F$1*몬스터밸런스[[#This Row],[Lv]]+15</f>
        <v>2415</v>
      </c>
      <c r="E51" t="s">
        <v>479</v>
      </c>
      <c r="F51">
        <f>IF(E51="공격형",INDEX(몬스터계수[[#Data],[생명계수]],MATCH(E51,몬스터계수[[#Data],[타입]],0),1)*C51,
IF(E51="방어형",INDEX(몬스터계수[[#Data],[생명계수]],MATCH(E51,몬스터계수[[#Data],[타입]],0),1)*C51,
IF(E51="회피형",INDEX(몬스터계수[[#Data],[생명계수]],MATCH(E51,몬스터계수[[#Data],[타입]],0),1)*C51,
IF(E51="체력형",INDEX(몬스터계수[[#Data],[생명계수]],MATCH(E51,몬스터계수[[#Data],[타입]],0),1)*C51,0))))*IF(몬스터밸런스[[#This Row],[보스]]=TRUE,2,1)</f>
        <v>1207.5</v>
      </c>
      <c r="G51">
        <f>IF(E51="공격형",INDEX(몬스터계수[[#Data],[힘계수]],MATCH(E51, 몬스터계수[[#Data],[타입]],0),1)*C51,
IF(E51="방어형",INDEX(몬스터계수[[#Data],[힘계수]],MATCH(E51, 몬스터계수[[#Data],[타입]],0),1)*C51,
IF(E51="회피형",INDEX(몬스터계수[[#Data],[힘계수]],MATCH(E51, 몬스터계수[[#Data],[타입]],0),1)*C51,
IF(E51="체력형",INDEX(몬스터계수[[#Data],[힘계수]],MATCH(E51, 몬스터계수[[#Data],[타입]],0),1)*C51,0))))</f>
        <v>603.75</v>
      </c>
      <c r="H51">
        <f>IF(E51="공격형",INDEX(몬스터계수[[#Data],[근력게수]],MATCH(E51,몬스터계수[[#Data],[타입]],0),1)*C51,
IF(E51="방어형",INDEX(몬스터계수[[#Data],[근력게수]],MATCH(E51,몬스터계수[[#Data],[타입]],0),1)*C51,
IF(E51="회피형",INDEX(몬스터계수[[#Data],[근력게수]],MATCH(E51,몬스터계수[[#Data],[타입]],0),1)*C51,
IF(E51="체력형",INDEX(몬스터계수[[#Data],[근력게수]],MATCH(E51,몬스터계수[[#Data],[타입]],0),1)*C51,0))))</f>
        <v>120.75</v>
      </c>
      <c r="I51">
        <f>IF(E51="공격형",INDEX(몬스터계수[[#Data],[숙련도계수]],MATCH(E51,몬스터계수[[#Data],[타입]],0),1)*C51,
IF(E51="방어형",INDEX(몬스터계수[[#Data],[숙련도계수]],MATCH(E51,몬스터계수[[#Data],[타입]],0),1)*C51,
IF(E51="회피형",INDEX(몬스터계수[[#Data],[숙련도계수]],MATCH(E51,몬스터계수[[#Data],[타입]],0),1)*C51,
IF(E51="체력형",INDEX(몬스터계수[[#Data],[숙련도계수]],MATCH(E51,몬스터계수[[#Data],[타입]],0),1)*C51,0))))</f>
        <v>362.25</v>
      </c>
      <c r="J51">
        <f>IF(E51="공격형",INDEX(몬스터계수[[#Data],[행운계수]],MATCH(E51, 몬스터계수[[#Data],[타입]],0),1)*C51,
IF(E51="방어형",INDEX(몬스터계수[[#Data],[행운계수]],MATCH(E51, 몬스터계수[[#Data],[타입]],0),1)*C51,
IF(E51="회피형",INDEX(몬스터계수[[#Data],[행운계수]],MATCH(E51, 몬스터계수[[#Data],[타입]],0),1)*C51,
IF(E51="체력형",INDEX(몬스터계수[[#Data],[행운계수]],MATCH(E51, 몬스터계수[[#Data],[타입]],0),1)*C51,0))))</f>
        <v>120.75</v>
      </c>
      <c r="K51" s="34">
        <f>ROUND(
(($F51)*참고!$D$5)
+(($G51)*참고!$D$6)
+(($H51)*참고!$D$7)
+(($I51)*참고!$D$8)
+(($J51))*참고!$D$9,0)</f>
        <v>18777</v>
      </c>
      <c r="L51" s="34">
        <f>ROUND(
(($F51)*참고!$E$5)
+(($G51)*참고!$E$6)
+(($H51)*참고!$E$7)
+(($I51)*참고!$E$8)
+(($J51))*참고!$E$9,0)</f>
        <v>10747</v>
      </c>
      <c r="M51" s="34">
        <f>ROUND(
(($F51)*참고!$F$5)
+(($G51)*참고!$F$6)
+(($H51)*참고!$F$7)
+(($I51)*참고!$F$8)
+(($J51))*참고!$F$9,0)</f>
        <v>3019</v>
      </c>
      <c r="N51" s="34">
        <f>ROUND(
(($F51)*참고!$G$5)
+(($G51)*참고!$G$6)
+(($H51)*참고!$G$7)
+(($I51)*참고!$G$8)
+(($J51))*참고!$G$9,0)</f>
        <v>85</v>
      </c>
      <c r="O51" s="34">
        <f>ROUND(
(($F51)*참고!$H$5)
+(($G51)*참고!$H$6)
+(($H51)*참고!$H$7)
+(($I51)*참고!$H$8)
+(($J51))*참고!$H$9,0)</f>
        <v>1992</v>
      </c>
      <c r="P51" s="34">
        <f>ROUND(
(($F51)*참고!$I$5)
+(($G51)*참고!$I$6)
+(($H51)*참고!$I$7)
+(($I51)*참고!$I$8)
+(($J51))*참고!$I$9,0)</f>
        <v>3502</v>
      </c>
      <c r="Q51" s="34">
        <f>ROUND(
(($F51)*참고!$J$5)
+(($G51)*참고!$J$6)
+(($H51)*참고!$J$7)
+(($I51)*참고!$J$8)
+(($J51))*참고!$J$9,0)</f>
        <v>2415</v>
      </c>
      <c r="R51" s="34">
        <f>IF(E51="공격형",(INDEX(몬스터계수[[#Data],[속도]],MATCH(E51, 몬스터계수[[#Data],[타입]],0),1)*속도핸들러_곱계수)*(INT(몬스터밸런스[[#This Row],[Lv]]/속도핸들러_합계수+1)),
IF(E51="방어형",(INDEX(몬스터계수[[#Data],[속도]],MATCH(E51, 몬스터계수[[#Data],[타입]],0),1)*속도핸들러_곱계수)*(INT(몬스터밸런스[[#This Row],[Lv]]/속도핸들러_합계수+1)),
IF(E51="회피형",(INDEX(몬스터계수[[#Data],[속도]],MATCH(E51, 몬스터계수[[#Data],[타입]],0),1)*속도핸들러_곱계수)*(INT(몬스터밸런스[[#This Row],[Lv]]/속도핸들러_합계수+1)),
IF(E51="기본형",(INDEX(몬스터계수[[#Data],[속도]],MATCH(E51, 몬스터계수[[#Data],[타입]],0),1)*속도핸들러_곱계수)*(INT(몬스터밸런스[[#This Row],[Lv]]/속도핸들러_합계수+1)),0))))</f>
        <v>0</v>
      </c>
      <c r="S51">
        <f t="shared" si="0"/>
        <v>644682</v>
      </c>
      <c r="U51">
        <v>5</v>
      </c>
      <c r="V51">
        <v>49</v>
      </c>
      <c r="W51">
        <f>$Z$1*몬스터밸런스9[[#This Row],[단계]]</f>
        <v>25</v>
      </c>
      <c r="X51" t="s">
        <v>55</v>
      </c>
      <c r="Y51">
        <v>3</v>
      </c>
      <c r="AE51" s="34"/>
      <c r="AF51" s="34"/>
      <c r="AG51" s="34"/>
      <c r="AH51" s="34"/>
      <c r="AI51" s="34">
        <f>몬스터밸런스[[#This Row],[CriticalDamage]]*0.4</f>
        <v>796.80000000000007</v>
      </c>
      <c r="AJ51" s="34"/>
      <c r="AK51" s="34">
        <f>몬스터밸런스[[#This Row],[DodgeRate]]*0.6</f>
        <v>1449</v>
      </c>
    </row>
    <row r="52" spans="1:38">
      <c r="A52">
        <v>490</v>
      </c>
      <c r="B52">
        <v>50</v>
      </c>
      <c r="C52">
        <f>$F$1*몬스터밸런스[[#This Row],[Lv]]+15</f>
        <v>2465</v>
      </c>
      <c r="E52" t="s">
        <v>479</v>
      </c>
      <c r="F52">
        <f>IF(E52="공격형",INDEX(몬스터계수[[#Data],[생명계수]],MATCH(E52,몬스터계수[[#Data],[타입]],0),1)*C52,
IF(E52="방어형",INDEX(몬스터계수[[#Data],[생명계수]],MATCH(E52,몬스터계수[[#Data],[타입]],0),1)*C52,
IF(E52="회피형",INDEX(몬스터계수[[#Data],[생명계수]],MATCH(E52,몬스터계수[[#Data],[타입]],0),1)*C52,
IF(E52="체력형",INDEX(몬스터계수[[#Data],[생명계수]],MATCH(E52,몬스터계수[[#Data],[타입]],0),1)*C52,0))))*IF(몬스터밸런스[[#This Row],[보스]]=TRUE,2,1)</f>
        <v>1232.5</v>
      </c>
      <c r="G52">
        <f>IF(E52="공격형",INDEX(몬스터계수[[#Data],[힘계수]],MATCH(E52, 몬스터계수[[#Data],[타입]],0),1)*C52,
IF(E52="방어형",INDEX(몬스터계수[[#Data],[힘계수]],MATCH(E52, 몬스터계수[[#Data],[타입]],0),1)*C52,
IF(E52="회피형",INDEX(몬스터계수[[#Data],[힘계수]],MATCH(E52, 몬스터계수[[#Data],[타입]],0),1)*C52,
IF(E52="체력형",INDEX(몬스터계수[[#Data],[힘계수]],MATCH(E52, 몬스터계수[[#Data],[타입]],0),1)*C52,0))))</f>
        <v>616.25</v>
      </c>
      <c r="H52">
        <f>IF(E52="공격형",INDEX(몬스터계수[[#Data],[근력게수]],MATCH(E52,몬스터계수[[#Data],[타입]],0),1)*C52,
IF(E52="방어형",INDEX(몬스터계수[[#Data],[근력게수]],MATCH(E52,몬스터계수[[#Data],[타입]],0),1)*C52,
IF(E52="회피형",INDEX(몬스터계수[[#Data],[근력게수]],MATCH(E52,몬스터계수[[#Data],[타입]],0),1)*C52,
IF(E52="체력형",INDEX(몬스터계수[[#Data],[근력게수]],MATCH(E52,몬스터계수[[#Data],[타입]],0),1)*C52,0))))</f>
        <v>123.25</v>
      </c>
      <c r="I52">
        <f>IF(E52="공격형",INDEX(몬스터계수[[#Data],[숙련도계수]],MATCH(E52,몬스터계수[[#Data],[타입]],0),1)*C52,
IF(E52="방어형",INDEX(몬스터계수[[#Data],[숙련도계수]],MATCH(E52,몬스터계수[[#Data],[타입]],0),1)*C52,
IF(E52="회피형",INDEX(몬스터계수[[#Data],[숙련도계수]],MATCH(E52,몬스터계수[[#Data],[타입]],0),1)*C52,
IF(E52="체력형",INDEX(몬스터계수[[#Data],[숙련도계수]],MATCH(E52,몬스터계수[[#Data],[타입]],0),1)*C52,0))))</f>
        <v>369.75</v>
      </c>
      <c r="J52">
        <f>IF(E52="공격형",INDEX(몬스터계수[[#Data],[행운계수]],MATCH(E52, 몬스터계수[[#Data],[타입]],0),1)*C52,
IF(E52="방어형",INDEX(몬스터계수[[#Data],[행운계수]],MATCH(E52, 몬스터계수[[#Data],[타입]],0),1)*C52,
IF(E52="회피형",INDEX(몬스터계수[[#Data],[행운계수]],MATCH(E52, 몬스터계수[[#Data],[타입]],0),1)*C52,
IF(E52="체력형",INDEX(몬스터계수[[#Data],[행운계수]],MATCH(E52, 몬스터계수[[#Data],[타입]],0),1)*C52,0))))</f>
        <v>123.25</v>
      </c>
      <c r="K52" s="34">
        <f>ROUND(
(($F52)*참고!$D$5)
+(($G52)*참고!$D$6)
+(($H52)*참고!$D$7)
+(($I52)*참고!$D$8)
+(($J52))*참고!$D$9,0)</f>
        <v>19165</v>
      </c>
      <c r="L52" s="34">
        <f>ROUND(
(($F52)*참고!$E$5)
+(($G52)*참고!$E$6)
+(($H52)*참고!$E$7)
+(($I52)*참고!$E$8)
+(($J52))*참고!$E$9,0)</f>
        <v>10969</v>
      </c>
      <c r="M52" s="34">
        <f>ROUND(
(($F52)*참고!$F$5)
+(($G52)*참고!$F$6)
+(($H52)*참고!$F$7)
+(($I52)*참고!$F$8)
+(($J52))*참고!$F$9,0)</f>
        <v>3081</v>
      </c>
      <c r="N52" s="34">
        <f>ROUND(
(($F52)*참고!$G$5)
+(($G52)*참고!$G$6)
+(($H52)*참고!$G$7)
+(($I52)*참고!$G$8)
+(($J52))*참고!$G$9,0)</f>
        <v>86</v>
      </c>
      <c r="O52" s="34">
        <f>ROUND(
(($F52)*참고!$H$5)
+(($G52)*참고!$H$6)
+(($H52)*참고!$H$7)
+(($I52)*참고!$H$8)
+(($J52))*참고!$H$9,0)</f>
        <v>2034</v>
      </c>
      <c r="P52" s="34">
        <f>ROUND(
(($F52)*참고!$I$5)
+(($G52)*참고!$I$6)
+(($H52)*참고!$I$7)
+(($I52)*참고!$I$8)
+(($J52))*참고!$I$9,0)</f>
        <v>3574</v>
      </c>
      <c r="Q52" s="34">
        <f>ROUND(
(($F52)*참고!$J$5)
+(($G52)*참고!$J$6)
+(($H52)*참고!$J$7)
+(($I52)*참고!$J$8)
+(($J52))*참고!$J$9,0)</f>
        <v>2465</v>
      </c>
      <c r="R52" s="34">
        <f>IF(E52="공격형",(INDEX(몬스터계수[[#Data],[속도]],MATCH(E52, 몬스터계수[[#Data],[타입]],0),1)*속도핸들러_곱계수)*(INT(몬스터밸런스[[#This Row],[Lv]]/속도핸들러_합계수+1)),
IF(E52="방어형",(INDEX(몬스터계수[[#Data],[속도]],MATCH(E52, 몬스터계수[[#Data],[타입]],0),1)*속도핸들러_곱계수)*(INT(몬스터밸런스[[#This Row],[Lv]]/속도핸들러_합계수+1)),
IF(E52="회피형",(INDEX(몬스터계수[[#Data],[속도]],MATCH(E52, 몬스터계수[[#Data],[타입]],0),1)*속도핸들러_곱계수)*(INT(몬스터밸런스[[#This Row],[Lv]]/속도핸들러_합계수+1)),
IF(E52="기본형",(INDEX(몬스터계수[[#Data],[속도]],MATCH(E52, 몬스터계수[[#Data],[타입]],0),1)*속도핸들러_곱계수)*(INT(몬스터밸런스[[#This Row],[Lv]]/속도핸들러_합계수+1)),0))))</f>
        <v>0</v>
      </c>
      <c r="S52">
        <f t="shared" si="0"/>
        <v>657997.5</v>
      </c>
      <c r="U52">
        <v>5</v>
      </c>
      <c r="V52">
        <v>50</v>
      </c>
      <c r="W52">
        <f>$Z$1*몬스터밸런스9[[#This Row],[단계]]</f>
        <v>25</v>
      </c>
      <c r="X52" t="s">
        <v>55</v>
      </c>
      <c r="Y52">
        <v>4</v>
      </c>
      <c r="AE52" s="34"/>
      <c r="AF52" s="34"/>
      <c r="AG52" s="34"/>
      <c r="AH52" s="34"/>
      <c r="AI52" s="34">
        <f>몬스터밸런스[[#This Row],[CriticalDamage]]*0.4</f>
        <v>813.6</v>
      </c>
      <c r="AJ52" s="34"/>
      <c r="AK52" s="34">
        <f>몬스터밸런스[[#This Row],[DodgeRate]]*0.6</f>
        <v>1479</v>
      </c>
    </row>
    <row r="53" spans="1:38">
      <c r="A53">
        <v>500</v>
      </c>
      <c r="B53">
        <v>51</v>
      </c>
      <c r="C53">
        <f>$F$1*몬스터밸런스[[#This Row],[Lv]]+15</f>
        <v>2515</v>
      </c>
      <c r="D53" t="b">
        <v>1</v>
      </c>
      <c r="E53" t="s">
        <v>479</v>
      </c>
      <c r="F53">
        <f>IF(E53="공격형",INDEX(몬스터계수[[#Data],[생명계수]],MATCH(E53,몬스터계수[[#Data],[타입]],0),1)*C53,
IF(E53="방어형",INDEX(몬스터계수[[#Data],[생명계수]],MATCH(E53,몬스터계수[[#Data],[타입]],0),1)*C53,
IF(E53="회피형",INDEX(몬스터계수[[#Data],[생명계수]],MATCH(E53,몬스터계수[[#Data],[타입]],0),1)*C53,
IF(E53="체력형",INDEX(몬스터계수[[#Data],[생명계수]],MATCH(E53,몬스터계수[[#Data],[타입]],0),1)*C53,0))))*IF(몬스터밸런스[[#This Row],[보스]]=TRUE,2,1)</f>
        <v>2515</v>
      </c>
      <c r="G53">
        <f>IF(E53="공격형",INDEX(몬스터계수[[#Data],[힘계수]],MATCH(E53, 몬스터계수[[#Data],[타입]],0),1)*C53,
IF(E53="방어형",INDEX(몬스터계수[[#Data],[힘계수]],MATCH(E53, 몬스터계수[[#Data],[타입]],0),1)*C53,
IF(E53="회피형",INDEX(몬스터계수[[#Data],[힘계수]],MATCH(E53, 몬스터계수[[#Data],[타입]],0),1)*C53,
IF(E53="체력형",INDEX(몬스터계수[[#Data],[힘계수]],MATCH(E53, 몬스터계수[[#Data],[타입]],0),1)*C53,0))))</f>
        <v>628.75</v>
      </c>
      <c r="H53">
        <f>IF(E53="공격형",INDEX(몬스터계수[[#Data],[근력게수]],MATCH(E53,몬스터계수[[#Data],[타입]],0),1)*C53,
IF(E53="방어형",INDEX(몬스터계수[[#Data],[근력게수]],MATCH(E53,몬스터계수[[#Data],[타입]],0),1)*C53,
IF(E53="회피형",INDEX(몬스터계수[[#Data],[근력게수]],MATCH(E53,몬스터계수[[#Data],[타입]],0),1)*C53,
IF(E53="체력형",INDEX(몬스터계수[[#Data],[근력게수]],MATCH(E53,몬스터계수[[#Data],[타입]],0),1)*C53,0))))</f>
        <v>125.75</v>
      </c>
      <c r="I53">
        <f>IF(E53="공격형",INDEX(몬스터계수[[#Data],[숙련도계수]],MATCH(E53,몬스터계수[[#Data],[타입]],0),1)*C53,
IF(E53="방어형",INDEX(몬스터계수[[#Data],[숙련도계수]],MATCH(E53,몬스터계수[[#Data],[타입]],0),1)*C53,
IF(E53="회피형",INDEX(몬스터계수[[#Data],[숙련도계수]],MATCH(E53,몬스터계수[[#Data],[타입]],0),1)*C53,
IF(E53="체력형",INDEX(몬스터계수[[#Data],[숙련도계수]],MATCH(E53,몬스터계수[[#Data],[타입]],0),1)*C53,0))))</f>
        <v>377.25</v>
      </c>
      <c r="J53">
        <f>IF(E53="공격형",INDEX(몬스터계수[[#Data],[행운계수]],MATCH(E53, 몬스터계수[[#Data],[타입]],0),1)*C53,
IF(E53="방어형",INDEX(몬스터계수[[#Data],[행운계수]],MATCH(E53, 몬스터계수[[#Data],[타입]],0),1)*C53,
IF(E53="회피형",INDEX(몬스터계수[[#Data],[행운계수]],MATCH(E53, 몬스터계수[[#Data],[타입]],0),1)*C53,
IF(E53="체력형",INDEX(몬스터계수[[#Data],[행운계수]],MATCH(E53, 몬스터계수[[#Data],[타입]],0),1)*C53,0))))</f>
        <v>125.75</v>
      </c>
      <c r="K53" s="34">
        <f>ROUND(
(($F53)*참고!$D$5)
+(($G53)*참고!$D$6)
+(($H53)*참고!$D$7)
+(($I53)*참고!$D$8)
+(($J53))*참고!$D$9,0)</f>
        <v>38417</v>
      </c>
      <c r="L53" s="34">
        <f>ROUND(
(($F53)*참고!$E$5)
+(($G53)*참고!$E$6)
+(($H53)*참고!$E$7)
+(($I53)*참고!$E$8)
+(($J53))*참고!$E$9,0)</f>
        <v>14964</v>
      </c>
      <c r="M53" s="34">
        <f>ROUND(
(($F53)*참고!$F$5)
+(($G53)*참고!$F$6)
+(($H53)*참고!$F$7)
+(($I53)*참고!$F$8)
+(($J53))*참고!$F$9,0)</f>
        <v>4401</v>
      </c>
      <c r="N53" s="34">
        <f>ROUND(
(($F53)*참고!$G$5)
+(($G53)*참고!$G$6)
+(($H53)*참고!$G$7)
+(($I53)*참고!$G$8)
+(($J53))*참고!$G$9,0)</f>
        <v>88</v>
      </c>
      <c r="O53" s="34">
        <f>ROUND(
(($F53)*참고!$H$5)
+(($G53)*참고!$H$6)
+(($H53)*참고!$H$7)
+(($I53)*참고!$H$8)
+(($J53))*참고!$H$9,0)</f>
        <v>2075</v>
      </c>
      <c r="P53" s="34">
        <f>ROUND(
(($F53)*참고!$I$5)
+(($G53)*참고!$I$6)
+(($H53)*참고!$I$7)
+(($I53)*참고!$I$8)
+(($J53))*참고!$I$9,0)</f>
        <v>3647</v>
      </c>
      <c r="Q53" s="34">
        <f>ROUND(
(($F53)*참고!$J$5)
+(($G53)*참고!$J$6)
+(($H53)*참고!$J$7)
+(($I53)*참고!$J$8)
+(($J53))*참고!$J$9,0)</f>
        <v>2515</v>
      </c>
      <c r="R53" s="34">
        <f>IF(E53="공격형",(INDEX(몬스터계수[[#Data],[속도]],MATCH(E53, 몬스터계수[[#Data],[타입]],0),1)*속도핸들러_곱계수)*(INT(몬스터밸런스[[#This Row],[Lv]]/속도핸들러_합계수+1)),
IF(E53="방어형",(INDEX(몬스터계수[[#Data],[속도]],MATCH(E53, 몬스터계수[[#Data],[타입]],0),1)*속도핸들러_곱계수)*(INT(몬스터밸런스[[#This Row],[Lv]]/속도핸들러_합계수+1)),
IF(E53="회피형",(INDEX(몬스터계수[[#Data],[속도]],MATCH(E53, 몬스터계수[[#Data],[타입]],0),1)*속도핸들러_곱계수)*(INT(몬스터밸런스[[#This Row],[Lv]]/속도핸들러_합계수+1)),
IF(E53="기본형",(INDEX(몬스터계수[[#Data],[속도]],MATCH(E53, 몬스터계수[[#Data],[타입]],0),1)*속도핸들러_곱계수)*(INT(몬스터밸런스[[#This Row],[Lv]]/속도핸들러_합계수+1)),0))))</f>
        <v>0</v>
      </c>
      <c r="S53">
        <f t="shared" si="0"/>
        <v>1081936</v>
      </c>
      <c r="U53">
        <v>1</v>
      </c>
      <c r="V53">
        <v>51</v>
      </c>
      <c r="W53">
        <f>$Z$1*몬스터밸런스9[[#This Row],[단계]]</f>
        <v>5</v>
      </c>
      <c r="X53" t="s">
        <v>61</v>
      </c>
      <c r="AE53" s="34"/>
      <c r="AF53" s="34"/>
      <c r="AG53" s="34">
        <f>몬스터밸런스[[#This Row],[Defense]]</f>
        <v>4401</v>
      </c>
      <c r="AH53" s="34"/>
      <c r="AI53" s="34"/>
      <c r="AJ53" s="34"/>
      <c r="AK53" s="34"/>
      <c r="AL53">
        <f t="shared" ref="AL53:AL84" si="3">(AE53*HP계수) + (AF53*attack계수) + (AG53*Defense계수) + (AH53*CriticalRate계수) + (AI53*CriticalDamage계수) + (AJ53*Accuracy계수) + (AK53*DodgeRate계수)</f>
        <v>70416</v>
      </c>
    </row>
    <row r="54" spans="1:38">
      <c r="A54">
        <v>510</v>
      </c>
      <c r="B54">
        <v>52</v>
      </c>
      <c r="C54">
        <f>$F$1*몬스터밸런스[[#This Row],[Lv]]+15</f>
        <v>2565</v>
      </c>
      <c r="E54" t="s">
        <v>479</v>
      </c>
      <c r="F54">
        <f>IF(E54="공격형",INDEX(몬스터계수[[#Data],[생명계수]],MATCH(E54,몬스터계수[[#Data],[타입]],0),1)*C54,
IF(E54="방어형",INDEX(몬스터계수[[#Data],[생명계수]],MATCH(E54,몬스터계수[[#Data],[타입]],0),1)*C54,
IF(E54="회피형",INDEX(몬스터계수[[#Data],[생명계수]],MATCH(E54,몬스터계수[[#Data],[타입]],0),1)*C54,
IF(E54="체력형",INDEX(몬스터계수[[#Data],[생명계수]],MATCH(E54,몬스터계수[[#Data],[타입]],0),1)*C54,0))))*IF(몬스터밸런스[[#This Row],[보스]]=TRUE,2,1)</f>
        <v>1282.5</v>
      </c>
      <c r="G54">
        <f>IF(E54="공격형",INDEX(몬스터계수[[#Data],[힘계수]],MATCH(E54, 몬스터계수[[#Data],[타입]],0),1)*C54,
IF(E54="방어형",INDEX(몬스터계수[[#Data],[힘계수]],MATCH(E54, 몬스터계수[[#Data],[타입]],0),1)*C54,
IF(E54="회피형",INDEX(몬스터계수[[#Data],[힘계수]],MATCH(E54, 몬스터계수[[#Data],[타입]],0),1)*C54,
IF(E54="체력형",INDEX(몬스터계수[[#Data],[힘계수]],MATCH(E54, 몬스터계수[[#Data],[타입]],0),1)*C54,0))))</f>
        <v>641.25</v>
      </c>
      <c r="H54">
        <f>IF(E54="공격형",INDEX(몬스터계수[[#Data],[근력게수]],MATCH(E54,몬스터계수[[#Data],[타입]],0),1)*C54,
IF(E54="방어형",INDEX(몬스터계수[[#Data],[근력게수]],MATCH(E54,몬스터계수[[#Data],[타입]],0),1)*C54,
IF(E54="회피형",INDEX(몬스터계수[[#Data],[근력게수]],MATCH(E54,몬스터계수[[#Data],[타입]],0),1)*C54,
IF(E54="체력형",INDEX(몬스터계수[[#Data],[근력게수]],MATCH(E54,몬스터계수[[#Data],[타입]],0),1)*C54,0))))</f>
        <v>128.25</v>
      </c>
      <c r="I54">
        <f>IF(E54="공격형",INDEX(몬스터계수[[#Data],[숙련도계수]],MATCH(E54,몬스터계수[[#Data],[타입]],0),1)*C54,
IF(E54="방어형",INDEX(몬스터계수[[#Data],[숙련도계수]],MATCH(E54,몬스터계수[[#Data],[타입]],0),1)*C54,
IF(E54="회피형",INDEX(몬스터계수[[#Data],[숙련도계수]],MATCH(E54,몬스터계수[[#Data],[타입]],0),1)*C54,
IF(E54="체력형",INDEX(몬스터계수[[#Data],[숙련도계수]],MATCH(E54,몬스터계수[[#Data],[타입]],0),1)*C54,0))))</f>
        <v>384.75</v>
      </c>
      <c r="J54">
        <f>IF(E54="공격형",INDEX(몬스터계수[[#Data],[행운계수]],MATCH(E54, 몬스터계수[[#Data],[타입]],0),1)*C54,
IF(E54="방어형",INDEX(몬스터계수[[#Data],[행운계수]],MATCH(E54, 몬스터계수[[#Data],[타입]],0),1)*C54,
IF(E54="회피형",INDEX(몬스터계수[[#Data],[행운계수]],MATCH(E54, 몬스터계수[[#Data],[타입]],0),1)*C54,
IF(E54="체력형",INDEX(몬스터계수[[#Data],[행운계수]],MATCH(E54, 몬스터계수[[#Data],[타입]],0),1)*C54,0))))</f>
        <v>128.25</v>
      </c>
      <c r="K54" s="34">
        <f>ROUND(
(($F54)*참고!$D$5)
+(($G54)*참고!$D$6)
+(($H54)*참고!$D$7)
+(($I54)*참고!$D$8)
+(($J54))*참고!$D$9,0)</f>
        <v>19943</v>
      </c>
      <c r="L54" s="34">
        <f>ROUND(
(($F54)*참고!$E$5)
+(($G54)*참고!$E$6)
+(($H54)*참고!$E$7)
+(($I54)*참고!$E$8)
+(($J54))*참고!$E$9,0)</f>
        <v>11414</v>
      </c>
      <c r="M54" s="34">
        <f>ROUND(
(($F54)*참고!$F$5)
+(($G54)*참고!$F$6)
+(($H54)*참고!$F$7)
+(($I54)*참고!$F$8)
+(($J54))*참고!$F$9,0)</f>
        <v>3206</v>
      </c>
      <c r="N54" s="34">
        <f>ROUND(
(($F54)*참고!$G$5)
+(($G54)*참고!$G$6)
+(($H54)*참고!$G$7)
+(($I54)*참고!$G$8)
+(($J54))*참고!$G$9,0)</f>
        <v>90</v>
      </c>
      <c r="O54" s="34">
        <f>ROUND(
(($F54)*참고!$H$5)
+(($G54)*참고!$H$6)
+(($H54)*참고!$H$7)
+(($I54)*참고!$H$8)
+(($J54))*참고!$H$9,0)</f>
        <v>2116</v>
      </c>
      <c r="P54" s="34">
        <f>ROUND(
(($F54)*참고!$I$5)
+(($G54)*참고!$I$6)
+(($H54)*참고!$I$7)
+(($I54)*참고!$I$8)
+(($J54))*참고!$I$9,0)</f>
        <v>3719</v>
      </c>
      <c r="Q54" s="34">
        <f>ROUND(
(($F54)*참고!$J$5)
+(($G54)*참고!$J$6)
+(($H54)*참고!$J$7)
+(($I54)*참고!$J$8)
+(($J54))*참고!$J$9,0)</f>
        <v>2565</v>
      </c>
      <c r="R54" s="34">
        <f>IF(E54="공격형",(INDEX(몬스터계수[[#Data],[속도]],MATCH(E54, 몬스터계수[[#Data],[타입]],0),1)*속도핸들러_곱계수)*(INT(몬스터밸런스[[#This Row],[Lv]]/속도핸들러_합계수+1)),
IF(E54="방어형",(INDEX(몬스터계수[[#Data],[속도]],MATCH(E54, 몬스터계수[[#Data],[타입]],0),1)*속도핸들러_곱계수)*(INT(몬스터밸런스[[#This Row],[Lv]]/속도핸들러_합계수+1)),
IF(E54="회피형",(INDEX(몬스터계수[[#Data],[속도]],MATCH(E54, 몬스터계수[[#Data],[타입]],0),1)*속도핸들러_곱계수)*(INT(몬스터밸런스[[#This Row],[Lv]]/속도핸들러_합계수+1)),
IF(E54="기본형",(INDEX(몬스터계수[[#Data],[속도]],MATCH(E54, 몬스터계수[[#Data],[타입]],0),1)*속도핸들러_곱계수)*(INT(몬스터밸런스[[#This Row],[Lv]]/속도핸들러_합계수+1)),0))))</f>
        <v>0</v>
      </c>
      <c r="S54">
        <f t="shared" si="0"/>
        <v>684698.5</v>
      </c>
      <c r="U54">
        <v>1</v>
      </c>
      <c r="V54">
        <v>52</v>
      </c>
      <c r="W54">
        <f>$Z$1*몬스터밸런스9[[#This Row],[단계]]</f>
        <v>5</v>
      </c>
      <c r="X54" t="s">
        <v>61</v>
      </c>
      <c r="AE54" s="34"/>
      <c r="AF54" s="34"/>
      <c r="AG54" s="34">
        <f>몬스터밸런스[[#This Row],[Defense]]</f>
        <v>3206</v>
      </c>
      <c r="AH54" s="34"/>
      <c r="AI54" s="34"/>
      <c r="AJ54" s="34"/>
      <c r="AK54" s="34"/>
      <c r="AL54">
        <f t="shared" si="3"/>
        <v>51296</v>
      </c>
    </row>
    <row r="55" spans="1:38">
      <c r="A55">
        <v>520</v>
      </c>
      <c r="B55">
        <v>53</v>
      </c>
      <c r="C55">
        <f>$F$1*몬스터밸런스[[#This Row],[Lv]]+15</f>
        <v>2615</v>
      </c>
      <c r="E55" t="s">
        <v>479</v>
      </c>
      <c r="F55">
        <f>IF(E55="공격형",INDEX(몬스터계수[[#Data],[생명계수]],MATCH(E55,몬스터계수[[#Data],[타입]],0),1)*C55,
IF(E55="방어형",INDEX(몬스터계수[[#Data],[생명계수]],MATCH(E55,몬스터계수[[#Data],[타입]],0),1)*C55,
IF(E55="회피형",INDEX(몬스터계수[[#Data],[생명계수]],MATCH(E55,몬스터계수[[#Data],[타입]],0),1)*C55,
IF(E55="체력형",INDEX(몬스터계수[[#Data],[생명계수]],MATCH(E55,몬스터계수[[#Data],[타입]],0),1)*C55,0))))*IF(몬스터밸런스[[#This Row],[보스]]=TRUE,2,1)</f>
        <v>1307.5</v>
      </c>
      <c r="G55">
        <f>IF(E55="공격형",INDEX(몬스터계수[[#Data],[힘계수]],MATCH(E55, 몬스터계수[[#Data],[타입]],0),1)*C55,
IF(E55="방어형",INDEX(몬스터계수[[#Data],[힘계수]],MATCH(E55, 몬스터계수[[#Data],[타입]],0),1)*C55,
IF(E55="회피형",INDEX(몬스터계수[[#Data],[힘계수]],MATCH(E55, 몬스터계수[[#Data],[타입]],0),1)*C55,
IF(E55="체력형",INDEX(몬스터계수[[#Data],[힘계수]],MATCH(E55, 몬스터계수[[#Data],[타입]],0),1)*C55,0))))</f>
        <v>653.75</v>
      </c>
      <c r="H55">
        <f>IF(E55="공격형",INDEX(몬스터계수[[#Data],[근력게수]],MATCH(E55,몬스터계수[[#Data],[타입]],0),1)*C55,
IF(E55="방어형",INDEX(몬스터계수[[#Data],[근력게수]],MATCH(E55,몬스터계수[[#Data],[타입]],0),1)*C55,
IF(E55="회피형",INDEX(몬스터계수[[#Data],[근력게수]],MATCH(E55,몬스터계수[[#Data],[타입]],0),1)*C55,
IF(E55="체력형",INDEX(몬스터계수[[#Data],[근력게수]],MATCH(E55,몬스터계수[[#Data],[타입]],0),1)*C55,0))))</f>
        <v>130.75</v>
      </c>
      <c r="I55">
        <f>IF(E55="공격형",INDEX(몬스터계수[[#Data],[숙련도계수]],MATCH(E55,몬스터계수[[#Data],[타입]],0),1)*C55,
IF(E55="방어형",INDEX(몬스터계수[[#Data],[숙련도계수]],MATCH(E55,몬스터계수[[#Data],[타입]],0),1)*C55,
IF(E55="회피형",INDEX(몬스터계수[[#Data],[숙련도계수]],MATCH(E55,몬스터계수[[#Data],[타입]],0),1)*C55,
IF(E55="체력형",INDEX(몬스터계수[[#Data],[숙련도계수]],MATCH(E55,몬스터계수[[#Data],[타입]],0),1)*C55,0))))</f>
        <v>392.25</v>
      </c>
      <c r="J55">
        <f>IF(E55="공격형",INDEX(몬스터계수[[#Data],[행운계수]],MATCH(E55, 몬스터계수[[#Data],[타입]],0),1)*C55,
IF(E55="방어형",INDEX(몬스터계수[[#Data],[행운계수]],MATCH(E55, 몬스터계수[[#Data],[타입]],0),1)*C55,
IF(E55="회피형",INDEX(몬스터계수[[#Data],[행운계수]],MATCH(E55, 몬스터계수[[#Data],[타입]],0),1)*C55,
IF(E55="체력형",INDEX(몬스터계수[[#Data],[행운계수]],MATCH(E55, 몬스터계수[[#Data],[타입]],0),1)*C55,0))))</f>
        <v>130.75</v>
      </c>
      <c r="K55" s="34">
        <f>ROUND(
(($F55)*참고!$D$5)
+(($G55)*참고!$D$6)
+(($H55)*참고!$D$7)
+(($I55)*참고!$D$8)
+(($J55))*참고!$D$9,0)</f>
        <v>20332</v>
      </c>
      <c r="L55" s="34">
        <f>ROUND(
(($F55)*참고!$E$5)
+(($G55)*참고!$E$6)
+(($H55)*참고!$E$7)
+(($I55)*참고!$E$8)
+(($J55))*참고!$E$9,0)</f>
        <v>11637</v>
      </c>
      <c r="M55" s="34">
        <f>ROUND(
(($F55)*참고!$F$5)
+(($G55)*참고!$F$6)
+(($H55)*참고!$F$7)
+(($I55)*참고!$F$8)
+(($J55))*참고!$F$9,0)</f>
        <v>3269</v>
      </c>
      <c r="N55" s="34">
        <f>ROUND(
(($F55)*참고!$G$5)
+(($G55)*참고!$G$6)
+(($H55)*참고!$G$7)
+(($I55)*참고!$G$8)
+(($J55))*참고!$G$9,0)</f>
        <v>92</v>
      </c>
      <c r="O55" s="34">
        <f>ROUND(
(($F55)*참고!$H$5)
+(($G55)*참고!$H$6)
+(($H55)*참고!$H$7)
+(($I55)*참고!$H$8)
+(($J55))*참고!$H$9,0)</f>
        <v>2157</v>
      </c>
      <c r="P55" s="34">
        <f>ROUND(
(($F55)*참고!$I$5)
+(($G55)*참고!$I$6)
+(($H55)*참고!$I$7)
+(($I55)*참고!$I$8)
+(($J55))*참고!$I$9,0)</f>
        <v>3792</v>
      </c>
      <c r="Q55" s="34">
        <f>ROUND(
(($F55)*참고!$J$5)
+(($G55)*참고!$J$6)
+(($H55)*참고!$J$7)
+(($I55)*참고!$J$8)
+(($J55))*참고!$J$9,0)</f>
        <v>2615</v>
      </c>
      <c r="R55" s="34">
        <f>IF(E55="공격형",(INDEX(몬스터계수[[#Data],[속도]],MATCH(E55, 몬스터계수[[#Data],[타입]],0),1)*속도핸들러_곱계수)*(INT(몬스터밸런스[[#This Row],[Lv]]/속도핸들러_합계수+1)),
IF(E55="방어형",(INDEX(몬스터계수[[#Data],[속도]],MATCH(E55, 몬스터계수[[#Data],[타입]],0),1)*속도핸들러_곱계수)*(INT(몬스터밸런스[[#This Row],[Lv]]/속도핸들러_합계수+1)),
IF(E55="회피형",(INDEX(몬스터계수[[#Data],[속도]],MATCH(E55, 몬스터계수[[#Data],[타입]],0),1)*속도핸들러_곱계수)*(INT(몬스터밸런스[[#This Row],[Lv]]/속도핸들러_합계수+1)),
IF(E55="기본형",(INDEX(몬스터계수[[#Data],[속도]],MATCH(E55, 몬스터계수[[#Data],[타입]],0),1)*속도핸들러_곱계수)*(INT(몬스터밸런스[[#This Row],[Lv]]/속도핸들러_합계수+1)),0))))</f>
        <v>0</v>
      </c>
      <c r="S55">
        <f t="shared" si="0"/>
        <v>698070.5</v>
      </c>
      <c r="U55">
        <v>1</v>
      </c>
      <c r="V55">
        <v>53</v>
      </c>
      <c r="W55">
        <f>$Z$1*몬스터밸런스9[[#This Row],[단계]]</f>
        <v>5</v>
      </c>
      <c r="X55" t="s">
        <v>61</v>
      </c>
      <c r="AE55" s="34"/>
      <c r="AF55" s="34"/>
      <c r="AG55" s="34">
        <f>몬스터밸런스[[#This Row],[Defense]]</f>
        <v>3269</v>
      </c>
      <c r="AH55" s="34"/>
      <c r="AI55" s="34"/>
      <c r="AJ55" s="34"/>
      <c r="AK55" s="34"/>
      <c r="AL55">
        <f t="shared" si="3"/>
        <v>52304</v>
      </c>
    </row>
    <row r="56" spans="1:38">
      <c r="A56">
        <v>530</v>
      </c>
      <c r="B56">
        <v>54</v>
      </c>
      <c r="C56">
        <f>$F$1*몬스터밸런스[[#This Row],[Lv]]+15</f>
        <v>2665</v>
      </c>
      <c r="E56" t="s">
        <v>479</v>
      </c>
      <c r="F56">
        <f>IF(E56="공격형",INDEX(몬스터계수[[#Data],[생명계수]],MATCH(E56,몬스터계수[[#Data],[타입]],0),1)*C56,
IF(E56="방어형",INDEX(몬스터계수[[#Data],[생명계수]],MATCH(E56,몬스터계수[[#Data],[타입]],0),1)*C56,
IF(E56="회피형",INDEX(몬스터계수[[#Data],[생명계수]],MATCH(E56,몬스터계수[[#Data],[타입]],0),1)*C56,
IF(E56="체력형",INDEX(몬스터계수[[#Data],[생명계수]],MATCH(E56,몬스터계수[[#Data],[타입]],0),1)*C56,0))))*IF(몬스터밸런스[[#This Row],[보스]]=TRUE,2,1)</f>
        <v>1332.5</v>
      </c>
      <c r="G56">
        <f>IF(E56="공격형",INDEX(몬스터계수[[#Data],[힘계수]],MATCH(E56, 몬스터계수[[#Data],[타입]],0),1)*C56,
IF(E56="방어형",INDEX(몬스터계수[[#Data],[힘계수]],MATCH(E56, 몬스터계수[[#Data],[타입]],0),1)*C56,
IF(E56="회피형",INDEX(몬스터계수[[#Data],[힘계수]],MATCH(E56, 몬스터계수[[#Data],[타입]],0),1)*C56,
IF(E56="체력형",INDEX(몬스터계수[[#Data],[힘계수]],MATCH(E56, 몬스터계수[[#Data],[타입]],0),1)*C56,0))))</f>
        <v>666.25</v>
      </c>
      <c r="H56">
        <f>IF(E56="공격형",INDEX(몬스터계수[[#Data],[근력게수]],MATCH(E56,몬스터계수[[#Data],[타입]],0),1)*C56,
IF(E56="방어형",INDEX(몬스터계수[[#Data],[근력게수]],MATCH(E56,몬스터계수[[#Data],[타입]],0),1)*C56,
IF(E56="회피형",INDEX(몬스터계수[[#Data],[근력게수]],MATCH(E56,몬스터계수[[#Data],[타입]],0),1)*C56,
IF(E56="체력형",INDEX(몬스터계수[[#Data],[근력게수]],MATCH(E56,몬스터계수[[#Data],[타입]],0),1)*C56,0))))</f>
        <v>133.25</v>
      </c>
      <c r="I56">
        <f>IF(E56="공격형",INDEX(몬스터계수[[#Data],[숙련도계수]],MATCH(E56,몬스터계수[[#Data],[타입]],0),1)*C56,
IF(E56="방어형",INDEX(몬스터계수[[#Data],[숙련도계수]],MATCH(E56,몬스터계수[[#Data],[타입]],0),1)*C56,
IF(E56="회피형",INDEX(몬스터계수[[#Data],[숙련도계수]],MATCH(E56,몬스터계수[[#Data],[타입]],0),1)*C56,
IF(E56="체력형",INDEX(몬스터계수[[#Data],[숙련도계수]],MATCH(E56,몬스터계수[[#Data],[타입]],0),1)*C56,0))))</f>
        <v>399.75</v>
      </c>
      <c r="J56">
        <f>IF(E56="공격형",INDEX(몬스터계수[[#Data],[행운계수]],MATCH(E56, 몬스터계수[[#Data],[타입]],0),1)*C56,
IF(E56="방어형",INDEX(몬스터계수[[#Data],[행운계수]],MATCH(E56, 몬스터계수[[#Data],[타입]],0),1)*C56,
IF(E56="회피형",INDEX(몬스터계수[[#Data],[행운계수]],MATCH(E56, 몬스터계수[[#Data],[타입]],0),1)*C56,
IF(E56="체력형",INDEX(몬스터계수[[#Data],[행운계수]],MATCH(E56, 몬스터계수[[#Data],[타입]],0),1)*C56,0))))</f>
        <v>133.25</v>
      </c>
      <c r="K56" s="34">
        <f>ROUND(
(($F56)*참고!$D$5)
+(($G56)*참고!$D$6)
+(($H56)*참고!$D$7)
+(($I56)*참고!$D$8)
+(($J56))*참고!$D$9,0)</f>
        <v>20720</v>
      </c>
      <c r="L56" s="34">
        <f>ROUND(
(($F56)*참고!$E$5)
+(($G56)*참고!$E$6)
+(($H56)*참고!$E$7)
+(($I56)*참고!$E$8)
+(($J56))*참고!$E$9,0)</f>
        <v>11859</v>
      </c>
      <c r="M56" s="34">
        <f>ROUND(
(($F56)*참고!$F$5)
+(($G56)*참고!$F$6)
+(($H56)*참고!$F$7)
+(($I56)*참고!$F$8)
+(($J56))*참고!$F$9,0)</f>
        <v>3331</v>
      </c>
      <c r="N56" s="34">
        <f>ROUND(
(($F56)*참고!$G$5)
+(($G56)*참고!$G$6)
+(($H56)*참고!$G$7)
+(($I56)*참고!$G$8)
+(($J56))*참고!$G$9,0)</f>
        <v>93</v>
      </c>
      <c r="O56" s="34">
        <f>ROUND(
(($F56)*참고!$H$5)
+(($G56)*참고!$H$6)
+(($H56)*참고!$H$7)
+(($I56)*참고!$H$8)
+(($J56))*참고!$H$9,0)</f>
        <v>2199</v>
      </c>
      <c r="P56" s="34">
        <f>ROUND(
(($F56)*참고!$I$5)
+(($G56)*참고!$I$6)
+(($H56)*참고!$I$7)
+(($I56)*참고!$I$8)
+(($J56))*참고!$I$9,0)</f>
        <v>3864</v>
      </c>
      <c r="Q56" s="34">
        <f>ROUND(
(($F56)*참고!$J$5)
+(($G56)*참고!$J$6)
+(($H56)*참고!$J$7)
+(($I56)*참고!$J$8)
+(($J56))*참고!$J$9,0)</f>
        <v>2665</v>
      </c>
      <c r="R56" s="34">
        <f>IF(E56="공격형",(INDEX(몬스터계수[[#Data],[속도]],MATCH(E56, 몬스터계수[[#Data],[타입]],0),1)*속도핸들러_곱계수)*(INT(몬스터밸런스[[#This Row],[Lv]]/속도핸들러_합계수+1)),
IF(E56="방어형",(INDEX(몬스터계수[[#Data],[속도]],MATCH(E56, 몬스터계수[[#Data],[타입]],0),1)*속도핸들러_곱계수)*(INT(몬스터밸런스[[#This Row],[Lv]]/속도핸들러_합계수+1)),
IF(E56="회피형",(INDEX(몬스터계수[[#Data],[속도]],MATCH(E56, 몬스터계수[[#Data],[타입]],0),1)*속도핸들러_곱계수)*(INT(몬스터밸런스[[#This Row],[Lv]]/속도핸들러_합계수+1)),
IF(E56="기본형",(INDEX(몬스터계수[[#Data],[속도]],MATCH(E56, 몬스터계수[[#Data],[타입]],0),1)*속도핸들러_곱계수)*(INT(몬스터밸런스[[#This Row],[Lv]]/속도핸들러_합계수+1)),0))))</f>
        <v>0</v>
      </c>
      <c r="S56">
        <f t="shared" si="0"/>
        <v>711386</v>
      </c>
      <c r="U56">
        <v>1</v>
      </c>
      <c r="V56">
        <v>54</v>
      </c>
      <c r="W56">
        <f>$Z$1*몬스터밸런스9[[#This Row],[단계]]</f>
        <v>5</v>
      </c>
      <c r="X56" t="s">
        <v>61</v>
      </c>
      <c r="AE56" s="34"/>
      <c r="AF56" s="34"/>
      <c r="AG56" s="34">
        <f>몬스터밸런스[[#This Row],[Defense]]</f>
        <v>3331</v>
      </c>
      <c r="AH56" s="34"/>
      <c r="AI56" s="34"/>
      <c r="AJ56" s="34"/>
      <c r="AK56" s="34"/>
      <c r="AL56">
        <f t="shared" si="3"/>
        <v>53296</v>
      </c>
    </row>
    <row r="57" spans="1:38">
      <c r="A57">
        <v>540</v>
      </c>
      <c r="B57">
        <v>55</v>
      </c>
      <c r="C57">
        <f>$F$1*몬스터밸런스[[#This Row],[Lv]]+15</f>
        <v>2715</v>
      </c>
      <c r="E57" t="s">
        <v>479</v>
      </c>
      <c r="F57">
        <f>IF(E57="공격형",INDEX(몬스터계수[[#Data],[생명계수]],MATCH(E57,몬스터계수[[#Data],[타입]],0),1)*C57,
IF(E57="방어형",INDEX(몬스터계수[[#Data],[생명계수]],MATCH(E57,몬스터계수[[#Data],[타입]],0),1)*C57,
IF(E57="회피형",INDEX(몬스터계수[[#Data],[생명계수]],MATCH(E57,몬스터계수[[#Data],[타입]],0),1)*C57,
IF(E57="체력형",INDEX(몬스터계수[[#Data],[생명계수]],MATCH(E57,몬스터계수[[#Data],[타입]],0),1)*C57,0))))*IF(몬스터밸런스[[#This Row],[보스]]=TRUE,2,1)</f>
        <v>1357.5</v>
      </c>
      <c r="G57">
        <f>IF(E57="공격형",INDEX(몬스터계수[[#Data],[힘계수]],MATCH(E57, 몬스터계수[[#Data],[타입]],0),1)*C57,
IF(E57="방어형",INDEX(몬스터계수[[#Data],[힘계수]],MATCH(E57, 몬스터계수[[#Data],[타입]],0),1)*C57,
IF(E57="회피형",INDEX(몬스터계수[[#Data],[힘계수]],MATCH(E57, 몬스터계수[[#Data],[타입]],0),1)*C57,
IF(E57="체력형",INDEX(몬스터계수[[#Data],[힘계수]],MATCH(E57, 몬스터계수[[#Data],[타입]],0),1)*C57,0))))</f>
        <v>678.75</v>
      </c>
      <c r="H57">
        <f>IF(E57="공격형",INDEX(몬스터계수[[#Data],[근력게수]],MATCH(E57,몬스터계수[[#Data],[타입]],0),1)*C57,
IF(E57="방어형",INDEX(몬스터계수[[#Data],[근력게수]],MATCH(E57,몬스터계수[[#Data],[타입]],0),1)*C57,
IF(E57="회피형",INDEX(몬스터계수[[#Data],[근력게수]],MATCH(E57,몬스터계수[[#Data],[타입]],0),1)*C57,
IF(E57="체력형",INDEX(몬스터계수[[#Data],[근력게수]],MATCH(E57,몬스터계수[[#Data],[타입]],0),1)*C57,0))))</f>
        <v>135.75</v>
      </c>
      <c r="I57">
        <f>IF(E57="공격형",INDEX(몬스터계수[[#Data],[숙련도계수]],MATCH(E57,몬스터계수[[#Data],[타입]],0),1)*C57,
IF(E57="방어형",INDEX(몬스터계수[[#Data],[숙련도계수]],MATCH(E57,몬스터계수[[#Data],[타입]],0),1)*C57,
IF(E57="회피형",INDEX(몬스터계수[[#Data],[숙련도계수]],MATCH(E57,몬스터계수[[#Data],[타입]],0),1)*C57,
IF(E57="체력형",INDEX(몬스터계수[[#Data],[숙련도계수]],MATCH(E57,몬스터계수[[#Data],[타입]],0),1)*C57,0))))</f>
        <v>407.25</v>
      </c>
      <c r="J57">
        <f>IF(E57="공격형",INDEX(몬스터계수[[#Data],[행운계수]],MATCH(E57, 몬스터계수[[#Data],[타입]],0),1)*C57,
IF(E57="방어형",INDEX(몬스터계수[[#Data],[행운계수]],MATCH(E57, 몬스터계수[[#Data],[타입]],0),1)*C57,
IF(E57="회피형",INDEX(몬스터계수[[#Data],[행운계수]],MATCH(E57, 몬스터계수[[#Data],[타입]],0),1)*C57,
IF(E57="체력형",INDEX(몬스터계수[[#Data],[행운계수]],MATCH(E57, 몬스터계수[[#Data],[타입]],0),1)*C57,0))))</f>
        <v>135.75</v>
      </c>
      <c r="K57" s="34">
        <f>ROUND(
(($F57)*참고!$D$5)
+(($G57)*참고!$D$6)
+(($H57)*참고!$D$7)
+(($I57)*참고!$D$8)
+(($J57))*참고!$D$9,0)</f>
        <v>21109</v>
      </c>
      <c r="L57" s="34">
        <f>ROUND(
(($F57)*참고!$E$5)
+(($G57)*참고!$E$6)
+(($H57)*참고!$E$7)
+(($I57)*참고!$E$8)
+(($J57))*참고!$E$9,0)</f>
        <v>12082</v>
      </c>
      <c r="M57" s="34">
        <f>ROUND(
(($F57)*참고!$F$5)
+(($G57)*참고!$F$6)
+(($H57)*참고!$F$7)
+(($I57)*참고!$F$8)
+(($J57))*참고!$F$9,0)</f>
        <v>3394</v>
      </c>
      <c r="N57" s="34">
        <f>ROUND(
(($F57)*참고!$G$5)
+(($G57)*참고!$G$6)
+(($H57)*참고!$G$7)
+(($I57)*참고!$G$8)
+(($J57))*참고!$G$9,0)</f>
        <v>95</v>
      </c>
      <c r="O57" s="34">
        <f>ROUND(
(($F57)*참고!$H$5)
+(($G57)*참고!$H$6)
+(($H57)*참고!$H$7)
+(($I57)*참고!$H$8)
+(($J57))*참고!$H$9,0)</f>
        <v>2240</v>
      </c>
      <c r="P57" s="34">
        <f>ROUND(
(($F57)*참고!$I$5)
+(($G57)*참고!$I$6)
+(($H57)*참고!$I$7)
+(($I57)*참고!$I$8)
+(($J57))*참고!$I$9,0)</f>
        <v>3937</v>
      </c>
      <c r="Q57" s="34">
        <f>ROUND(
(($F57)*참고!$J$5)
+(($G57)*참고!$J$6)
+(($H57)*참고!$J$7)
+(($I57)*참고!$J$8)
+(($J57))*참고!$J$9,0)</f>
        <v>2715</v>
      </c>
      <c r="R57" s="34">
        <f>IF(E57="공격형",(INDEX(몬스터계수[[#Data],[속도]],MATCH(E57, 몬스터계수[[#Data],[타입]],0),1)*속도핸들러_곱계수)*(INT(몬스터밸런스[[#This Row],[Lv]]/속도핸들러_합계수+1)),
IF(E57="방어형",(INDEX(몬스터계수[[#Data],[속도]],MATCH(E57, 몬스터계수[[#Data],[타입]],0),1)*속도핸들러_곱계수)*(INT(몬스터밸런스[[#This Row],[Lv]]/속도핸들러_합계수+1)),
IF(E57="회피형",(INDEX(몬스터계수[[#Data],[속도]],MATCH(E57, 몬스터계수[[#Data],[타입]],0),1)*속도핸들러_곱계수)*(INT(몬스터밸런스[[#This Row],[Lv]]/속도핸들러_합계수+1)),
IF(E57="기본형",(INDEX(몬스터계수[[#Data],[속도]],MATCH(E57, 몬스터계수[[#Data],[타입]],0),1)*속도핸들러_곱계수)*(INT(몬스터밸런스[[#This Row],[Lv]]/속도핸들러_합계수+1)),0))))</f>
        <v>0</v>
      </c>
      <c r="S57">
        <f t="shared" si="0"/>
        <v>724758</v>
      </c>
      <c r="U57">
        <v>1</v>
      </c>
      <c r="V57">
        <v>55</v>
      </c>
      <c r="W57">
        <f>$Z$1*몬스터밸런스9[[#This Row],[단계]]</f>
        <v>5</v>
      </c>
      <c r="X57" t="s">
        <v>61</v>
      </c>
      <c r="AE57" s="34"/>
      <c r="AF57" s="34"/>
      <c r="AG57" s="34">
        <f>몬스터밸런스[[#This Row],[Defense]]</f>
        <v>3394</v>
      </c>
      <c r="AH57" s="34"/>
      <c r="AI57" s="34"/>
      <c r="AJ57" s="34"/>
      <c r="AK57" s="34"/>
      <c r="AL57">
        <f t="shared" si="3"/>
        <v>54304</v>
      </c>
    </row>
    <row r="58" spans="1:38">
      <c r="A58">
        <v>550</v>
      </c>
      <c r="B58">
        <v>56</v>
      </c>
      <c r="C58">
        <f>$F$1*몬스터밸런스[[#This Row],[Lv]]+15</f>
        <v>2765</v>
      </c>
      <c r="E58" t="s">
        <v>479</v>
      </c>
      <c r="F58">
        <f>IF(E58="공격형",INDEX(몬스터계수[[#Data],[생명계수]],MATCH(E58,몬스터계수[[#Data],[타입]],0),1)*C58,
IF(E58="방어형",INDEX(몬스터계수[[#Data],[생명계수]],MATCH(E58,몬스터계수[[#Data],[타입]],0),1)*C58,
IF(E58="회피형",INDEX(몬스터계수[[#Data],[생명계수]],MATCH(E58,몬스터계수[[#Data],[타입]],0),1)*C58,
IF(E58="체력형",INDEX(몬스터계수[[#Data],[생명계수]],MATCH(E58,몬스터계수[[#Data],[타입]],0),1)*C58,0))))*IF(몬스터밸런스[[#This Row],[보스]]=TRUE,2,1)</f>
        <v>1382.5</v>
      </c>
      <c r="G58">
        <f>IF(E58="공격형",INDEX(몬스터계수[[#Data],[힘계수]],MATCH(E58, 몬스터계수[[#Data],[타입]],0),1)*C58,
IF(E58="방어형",INDEX(몬스터계수[[#Data],[힘계수]],MATCH(E58, 몬스터계수[[#Data],[타입]],0),1)*C58,
IF(E58="회피형",INDEX(몬스터계수[[#Data],[힘계수]],MATCH(E58, 몬스터계수[[#Data],[타입]],0),1)*C58,
IF(E58="체력형",INDEX(몬스터계수[[#Data],[힘계수]],MATCH(E58, 몬스터계수[[#Data],[타입]],0),1)*C58,0))))</f>
        <v>691.25</v>
      </c>
      <c r="H58">
        <f>IF(E58="공격형",INDEX(몬스터계수[[#Data],[근력게수]],MATCH(E58,몬스터계수[[#Data],[타입]],0),1)*C58,
IF(E58="방어형",INDEX(몬스터계수[[#Data],[근력게수]],MATCH(E58,몬스터계수[[#Data],[타입]],0),1)*C58,
IF(E58="회피형",INDEX(몬스터계수[[#Data],[근력게수]],MATCH(E58,몬스터계수[[#Data],[타입]],0),1)*C58,
IF(E58="체력형",INDEX(몬스터계수[[#Data],[근력게수]],MATCH(E58,몬스터계수[[#Data],[타입]],0),1)*C58,0))))</f>
        <v>138.25</v>
      </c>
      <c r="I58">
        <f>IF(E58="공격형",INDEX(몬스터계수[[#Data],[숙련도계수]],MATCH(E58,몬스터계수[[#Data],[타입]],0),1)*C58,
IF(E58="방어형",INDEX(몬스터계수[[#Data],[숙련도계수]],MATCH(E58,몬스터계수[[#Data],[타입]],0),1)*C58,
IF(E58="회피형",INDEX(몬스터계수[[#Data],[숙련도계수]],MATCH(E58,몬스터계수[[#Data],[타입]],0),1)*C58,
IF(E58="체력형",INDEX(몬스터계수[[#Data],[숙련도계수]],MATCH(E58,몬스터계수[[#Data],[타입]],0),1)*C58,0))))</f>
        <v>414.75</v>
      </c>
      <c r="J58">
        <f>IF(E58="공격형",INDEX(몬스터계수[[#Data],[행운계수]],MATCH(E58, 몬스터계수[[#Data],[타입]],0),1)*C58,
IF(E58="방어형",INDEX(몬스터계수[[#Data],[행운계수]],MATCH(E58, 몬스터계수[[#Data],[타입]],0),1)*C58,
IF(E58="회피형",INDEX(몬스터계수[[#Data],[행운계수]],MATCH(E58, 몬스터계수[[#Data],[타입]],0),1)*C58,
IF(E58="체력형",INDEX(몬스터계수[[#Data],[행운계수]],MATCH(E58, 몬스터계수[[#Data],[타입]],0),1)*C58,0))))</f>
        <v>138.25</v>
      </c>
      <c r="K58" s="34">
        <f>ROUND(
(($F58)*참고!$D$5)
+(($G58)*참고!$D$6)
+(($H58)*참고!$D$7)
+(($I58)*참고!$D$8)
+(($J58))*참고!$D$9,0)</f>
        <v>21498</v>
      </c>
      <c r="L58" s="34">
        <f>ROUND(
(($F58)*참고!$E$5)
+(($G58)*참고!$E$6)
+(($H58)*참고!$E$7)
+(($I58)*참고!$E$8)
+(($J58))*참고!$E$9,0)</f>
        <v>12304</v>
      </c>
      <c r="M58" s="34">
        <f>ROUND(
(($F58)*참고!$F$5)
+(($G58)*참고!$F$6)
+(($H58)*참고!$F$7)
+(($I58)*참고!$F$8)
+(($J58))*참고!$F$9,0)</f>
        <v>3456</v>
      </c>
      <c r="N58" s="34">
        <f>ROUND(
(($F58)*참고!$G$5)
+(($G58)*참고!$G$6)
+(($H58)*참고!$G$7)
+(($I58)*참고!$G$8)
+(($J58))*참고!$G$9,0)</f>
        <v>97</v>
      </c>
      <c r="O58" s="34">
        <f>ROUND(
(($F58)*참고!$H$5)
+(($G58)*참고!$H$6)
+(($H58)*참고!$H$7)
+(($I58)*참고!$H$8)
+(($J58))*참고!$H$9,0)</f>
        <v>2281</v>
      </c>
      <c r="P58" s="34">
        <f>ROUND(
(($F58)*참고!$I$5)
+(($G58)*참고!$I$6)
+(($H58)*참고!$I$7)
+(($I58)*참고!$I$8)
+(($J58))*참고!$I$9,0)</f>
        <v>4009</v>
      </c>
      <c r="Q58" s="34">
        <f>ROUND(
(($F58)*참고!$J$5)
+(($G58)*참고!$J$6)
+(($H58)*참고!$J$7)
+(($I58)*참고!$J$8)
+(($J58))*참고!$J$9,0)</f>
        <v>2765</v>
      </c>
      <c r="R58" s="34">
        <f>IF(E58="공격형",(INDEX(몬스터계수[[#Data],[속도]],MATCH(E58, 몬스터계수[[#Data],[타입]],0),1)*속도핸들러_곱계수)*(INT(몬스터밸런스[[#This Row],[Lv]]/속도핸들러_합계수+1)),
IF(E58="방어형",(INDEX(몬스터계수[[#Data],[속도]],MATCH(E58, 몬스터계수[[#Data],[타입]],0),1)*속도핸들러_곱계수)*(INT(몬스터밸런스[[#This Row],[Lv]]/속도핸들러_합계수+1)),
IF(E58="회피형",(INDEX(몬스터계수[[#Data],[속도]],MATCH(E58, 몬스터계수[[#Data],[타입]],0),1)*속도핸들러_곱계수)*(INT(몬스터밸런스[[#This Row],[Lv]]/속도핸들러_합계수+1)),
IF(E58="기본형",(INDEX(몬스터계수[[#Data],[속도]],MATCH(E58, 몬스터계수[[#Data],[타입]],0),1)*속도핸들러_곱계수)*(INT(몬스터밸런스[[#This Row],[Lv]]/속도핸들러_합계수+1)),0))))</f>
        <v>0</v>
      </c>
      <c r="S58">
        <f t="shared" si="0"/>
        <v>738087</v>
      </c>
      <c r="U58">
        <v>2</v>
      </c>
      <c r="V58">
        <v>56</v>
      </c>
      <c r="W58">
        <f>$Z$1*몬스터밸런스9[[#This Row],[단계]]</f>
        <v>10</v>
      </c>
      <c r="X58" t="s">
        <v>61</v>
      </c>
      <c r="AE58" s="34"/>
      <c r="AF58" s="34"/>
      <c r="AG58" s="34">
        <f>몬스터밸런스[[#This Row],[Defense]]</f>
        <v>3456</v>
      </c>
      <c r="AH58" s="34"/>
      <c r="AI58" s="34"/>
      <c r="AJ58" s="34"/>
      <c r="AK58" s="34"/>
      <c r="AL58">
        <f t="shared" si="3"/>
        <v>55296</v>
      </c>
    </row>
    <row r="59" spans="1:38">
      <c r="A59">
        <v>560</v>
      </c>
      <c r="B59">
        <v>57</v>
      </c>
      <c r="C59">
        <f>$F$1*몬스터밸런스[[#This Row],[Lv]]+15</f>
        <v>2815</v>
      </c>
      <c r="E59" t="s">
        <v>479</v>
      </c>
      <c r="F59">
        <f>IF(E59="공격형",INDEX(몬스터계수[[#Data],[생명계수]],MATCH(E59,몬스터계수[[#Data],[타입]],0),1)*C59,
IF(E59="방어형",INDEX(몬스터계수[[#Data],[생명계수]],MATCH(E59,몬스터계수[[#Data],[타입]],0),1)*C59,
IF(E59="회피형",INDEX(몬스터계수[[#Data],[생명계수]],MATCH(E59,몬스터계수[[#Data],[타입]],0),1)*C59,
IF(E59="체력형",INDEX(몬스터계수[[#Data],[생명계수]],MATCH(E59,몬스터계수[[#Data],[타입]],0),1)*C59,0))))*IF(몬스터밸런스[[#This Row],[보스]]=TRUE,2,1)</f>
        <v>1407.5</v>
      </c>
      <c r="G59">
        <f>IF(E59="공격형",INDEX(몬스터계수[[#Data],[힘계수]],MATCH(E59, 몬스터계수[[#Data],[타입]],0),1)*C59,
IF(E59="방어형",INDEX(몬스터계수[[#Data],[힘계수]],MATCH(E59, 몬스터계수[[#Data],[타입]],0),1)*C59,
IF(E59="회피형",INDEX(몬스터계수[[#Data],[힘계수]],MATCH(E59, 몬스터계수[[#Data],[타입]],0),1)*C59,
IF(E59="체력형",INDEX(몬스터계수[[#Data],[힘계수]],MATCH(E59, 몬스터계수[[#Data],[타입]],0),1)*C59,0))))</f>
        <v>703.75</v>
      </c>
      <c r="H59">
        <f>IF(E59="공격형",INDEX(몬스터계수[[#Data],[근력게수]],MATCH(E59,몬스터계수[[#Data],[타입]],0),1)*C59,
IF(E59="방어형",INDEX(몬스터계수[[#Data],[근력게수]],MATCH(E59,몬스터계수[[#Data],[타입]],0),1)*C59,
IF(E59="회피형",INDEX(몬스터계수[[#Data],[근력게수]],MATCH(E59,몬스터계수[[#Data],[타입]],0),1)*C59,
IF(E59="체력형",INDEX(몬스터계수[[#Data],[근력게수]],MATCH(E59,몬스터계수[[#Data],[타입]],0),1)*C59,0))))</f>
        <v>140.75</v>
      </c>
      <c r="I59">
        <f>IF(E59="공격형",INDEX(몬스터계수[[#Data],[숙련도계수]],MATCH(E59,몬스터계수[[#Data],[타입]],0),1)*C59,
IF(E59="방어형",INDEX(몬스터계수[[#Data],[숙련도계수]],MATCH(E59,몬스터계수[[#Data],[타입]],0),1)*C59,
IF(E59="회피형",INDEX(몬스터계수[[#Data],[숙련도계수]],MATCH(E59,몬스터계수[[#Data],[타입]],0),1)*C59,
IF(E59="체력형",INDEX(몬스터계수[[#Data],[숙련도계수]],MATCH(E59,몬스터계수[[#Data],[타입]],0),1)*C59,0))))</f>
        <v>422.25</v>
      </c>
      <c r="J59">
        <f>IF(E59="공격형",INDEX(몬스터계수[[#Data],[행운계수]],MATCH(E59, 몬스터계수[[#Data],[타입]],0),1)*C59,
IF(E59="방어형",INDEX(몬스터계수[[#Data],[행운계수]],MATCH(E59, 몬스터계수[[#Data],[타입]],0),1)*C59,
IF(E59="회피형",INDEX(몬스터계수[[#Data],[행운계수]],MATCH(E59, 몬스터계수[[#Data],[타입]],0),1)*C59,
IF(E59="체력형",INDEX(몬스터계수[[#Data],[행운계수]],MATCH(E59, 몬스터계수[[#Data],[타입]],0),1)*C59,0))))</f>
        <v>140.75</v>
      </c>
      <c r="K59" s="34">
        <f>ROUND(
(($F59)*참고!$D$5)
+(($G59)*참고!$D$6)
+(($H59)*참고!$D$7)
+(($I59)*참고!$D$8)
+(($J59))*참고!$D$9,0)</f>
        <v>21887</v>
      </c>
      <c r="L59" s="34">
        <f>ROUND(
(($F59)*참고!$E$5)
+(($G59)*참고!$E$6)
+(($H59)*참고!$E$7)
+(($I59)*참고!$E$8)
+(($J59))*참고!$E$9,0)</f>
        <v>12527</v>
      </c>
      <c r="M59" s="34">
        <f>ROUND(
(($F59)*참고!$F$5)
+(($G59)*참고!$F$6)
+(($H59)*참고!$F$7)
+(($I59)*참고!$F$8)
+(($J59))*참고!$F$9,0)</f>
        <v>3519</v>
      </c>
      <c r="N59" s="34">
        <f>ROUND(
(($F59)*참고!$G$5)
+(($G59)*참고!$G$6)
+(($H59)*참고!$G$7)
+(($I59)*참고!$G$8)
+(($J59))*참고!$G$9,0)</f>
        <v>99</v>
      </c>
      <c r="O59" s="34">
        <f>ROUND(
(($F59)*참고!$H$5)
+(($G59)*참고!$H$6)
+(($H59)*참고!$H$7)
+(($I59)*참고!$H$8)
+(($J59))*참고!$H$9,0)</f>
        <v>2322</v>
      </c>
      <c r="P59" s="34">
        <f>ROUND(
(($F59)*참고!$I$5)
+(($G59)*참고!$I$6)
+(($H59)*참고!$I$7)
+(($I59)*참고!$I$8)
+(($J59))*참고!$I$9,0)</f>
        <v>4082</v>
      </c>
      <c r="Q59" s="34">
        <f>ROUND(
(($F59)*참고!$J$5)
+(($G59)*참고!$J$6)
+(($H59)*참고!$J$7)
+(($I59)*참고!$J$8)
+(($J59))*참고!$J$9,0)</f>
        <v>2815</v>
      </c>
      <c r="R59" s="34">
        <f>IF(E59="공격형",(INDEX(몬스터계수[[#Data],[속도]],MATCH(E59, 몬스터계수[[#Data],[타입]],0),1)*속도핸들러_곱계수)*(INT(몬스터밸런스[[#This Row],[Lv]]/속도핸들러_합계수+1)),
IF(E59="방어형",(INDEX(몬스터계수[[#Data],[속도]],MATCH(E59, 몬스터계수[[#Data],[타입]],0),1)*속도핸들러_곱계수)*(INT(몬스터밸런스[[#This Row],[Lv]]/속도핸들러_합계수+1)),
IF(E59="회피형",(INDEX(몬스터계수[[#Data],[속도]],MATCH(E59, 몬스터계수[[#Data],[타입]],0),1)*속도핸들러_곱계수)*(INT(몬스터밸런스[[#This Row],[Lv]]/속도핸들러_합계수+1)),
IF(E59="기본형",(INDEX(몬스터계수[[#Data],[속도]],MATCH(E59, 몬스터계수[[#Data],[타입]],0),1)*속도핸들러_곱계수)*(INT(몬스터밸런스[[#This Row],[Lv]]/속도핸들러_합계수+1)),0))))</f>
        <v>0</v>
      </c>
      <c r="S59">
        <f t="shared" si="0"/>
        <v>751459</v>
      </c>
      <c r="U59">
        <v>2</v>
      </c>
      <c r="V59">
        <v>57</v>
      </c>
      <c r="W59">
        <f>$Z$1*몬스터밸런스9[[#This Row],[단계]]</f>
        <v>10</v>
      </c>
      <c r="X59" t="s">
        <v>61</v>
      </c>
      <c r="AE59" s="34"/>
      <c r="AF59" s="34"/>
      <c r="AG59" s="34">
        <f>몬스터밸런스[[#This Row],[Defense]]</f>
        <v>3519</v>
      </c>
      <c r="AH59" s="34"/>
      <c r="AI59" s="34"/>
      <c r="AJ59" s="34"/>
      <c r="AK59" s="34"/>
      <c r="AL59">
        <f t="shared" si="3"/>
        <v>56304</v>
      </c>
    </row>
    <row r="60" spans="1:38">
      <c r="A60">
        <v>570</v>
      </c>
      <c r="B60">
        <v>58</v>
      </c>
      <c r="C60">
        <f>$F$1*몬스터밸런스[[#This Row],[Lv]]+15</f>
        <v>2865</v>
      </c>
      <c r="E60" t="s">
        <v>479</v>
      </c>
      <c r="F60">
        <f>IF(E60="공격형",INDEX(몬스터계수[[#Data],[생명계수]],MATCH(E60,몬스터계수[[#Data],[타입]],0),1)*C60,
IF(E60="방어형",INDEX(몬스터계수[[#Data],[생명계수]],MATCH(E60,몬스터계수[[#Data],[타입]],0),1)*C60,
IF(E60="회피형",INDEX(몬스터계수[[#Data],[생명계수]],MATCH(E60,몬스터계수[[#Data],[타입]],0),1)*C60,
IF(E60="체력형",INDEX(몬스터계수[[#Data],[생명계수]],MATCH(E60,몬스터계수[[#Data],[타입]],0),1)*C60,0))))*IF(몬스터밸런스[[#This Row],[보스]]=TRUE,2,1)</f>
        <v>1432.5</v>
      </c>
      <c r="G60">
        <f>IF(E60="공격형",INDEX(몬스터계수[[#Data],[힘계수]],MATCH(E60, 몬스터계수[[#Data],[타입]],0),1)*C60,
IF(E60="방어형",INDEX(몬스터계수[[#Data],[힘계수]],MATCH(E60, 몬스터계수[[#Data],[타입]],0),1)*C60,
IF(E60="회피형",INDEX(몬스터계수[[#Data],[힘계수]],MATCH(E60, 몬스터계수[[#Data],[타입]],0),1)*C60,
IF(E60="체력형",INDEX(몬스터계수[[#Data],[힘계수]],MATCH(E60, 몬스터계수[[#Data],[타입]],0),1)*C60,0))))</f>
        <v>716.25</v>
      </c>
      <c r="H60">
        <f>IF(E60="공격형",INDEX(몬스터계수[[#Data],[근력게수]],MATCH(E60,몬스터계수[[#Data],[타입]],0),1)*C60,
IF(E60="방어형",INDEX(몬스터계수[[#Data],[근력게수]],MATCH(E60,몬스터계수[[#Data],[타입]],0),1)*C60,
IF(E60="회피형",INDEX(몬스터계수[[#Data],[근력게수]],MATCH(E60,몬스터계수[[#Data],[타입]],0),1)*C60,
IF(E60="체력형",INDEX(몬스터계수[[#Data],[근력게수]],MATCH(E60,몬스터계수[[#Data],[타입]],0),1)*C60,0))))</f>
        <v>143.25</v>
      </c>
      <c r="I60">
        <f>IF(E60="공격형",INDEX(몬스터계수[[#Data],[숙련도계수]],MATCH(E60,몬스터계수[[#Data],[타입]],0),1)*C60,
IF(E60="방어형",INDEX(몬스터계수[[#Data],[숙련도계수]],MATCH(E60,몬스터계수[[#Data],[타입]],0),1)*C60,
IF(E60="회피형",INDEX(몬스터계수[[#Data],[숙련도계수]],MATCH(E60,몬스터계수[[#Data],[타입]],0),1)*C60,
IF(E60="체력형",INDEX(몬스터계수[[#Data],[숙련도계수]],MATCH(E60,몬스터계수[[#Data],[타입]],0),1)*C60,0))))</f>
        <v>429.75</v>
      </c>
      <c r="J60">
        <f>IF(E60="공격형",INDEX(몬스터계수[[#Data],[행운계수]],MATCH(E60, 몬스터계수[[#Data],[타입]],0),1)*C60,
IF(E60="방어형",INDEX(몬스터계수[[#Data],[행운계수]],MATCH(E60, 몬스터계수[[#Data],[타입]],0),1)*C60,
IF(E60="회피형",INDEX(몬스터계수[[#Data],[행운계수]],MATCH(E60, 몬스터계수[[#Data],[타입]],0),1)*C60,
IF(E60="체력형",INDEX(몬스터계수[[#Data],[행운계수]],MATCH(E60, 몬스터계수[[#Data],[타입]],0),1)*C60,0))))</f>
        <v>143.25</v>
      </c>
      <c r="K60" s="34">
        <f>ROUND(
(($F60)*참고!$D$5)
+(($G60)*참고!$D$6)
+(($H60)*참고!$D$7)
+(($I60)*참고!$D$8)
+(($J60))*참고!$D$9,0)</f>
        <v>22275</v>
      </c>
      <c r="L60" s="34">
        <f>ROUND(
(($F60)*참고!$E$5)
+(($G60)*참고!$E$6)
+(($H60)*참고!$E$7)
+(($I60)*참고!$E$8)
+(($J60))*참고!$E$9,0)</f>
        <v>12749</v>
      </c>
      <c r="M60" s="34">
        <f>ROUND(
(($F60)*참고!$F$5)
+(($G60)*참고!$F$6)
+(($H60)*참고!$F$7)
+(($I60)*참고!$F$8)
+(($J60))*참고!$F$9,0)</f>
        <v>3581</v>
      </c>
      <c r="N60" s="34">
        <f>ROUND(
(($F60)*참고!$G$5)
+(($G60)*참고!$G$6)
+(($H60)*참고!$G$7)
+(($I60)*참고!$G$8)
+(($J60))*참고!$G$9,0)</f>
        <v>100</v>
      </c>
      <c r="O60" s="34">
        <f>ROUND(
(($F60)*참고!$H$5)
+(($G60)*참고!$H$6)
+(($H60)*참고!$H$7)
+(($I60)*참고!$H$8)
+(($J60))*참고!$H$9,0)</f>
        <v>2364</v>
      </c>
      <c r="P60" s="34">
        <f>ROUND(
(($F60)*참고!$I$5)
+(($G60)*참고!$I$6)
+(($H60)*참고!$I$7)
+(($I60)*참고!$I$8)
+(($J60))*참고!$I$9,0)</f>
        <v>4154</v>
      </c>
      <c r="Q60" s="34">
        <f>ROUND(
(($F60)*참고!$J$5)
+(($G60)*참고!$J$6)
+(($H60)*참고!$J$7)
+(($I60)*참고!$J$8)
+(($J60))*참고!$J$9,0)</f>
        <v>2865</v>
      </c>
      <c r="R60" s="34">
        <f>IF(E60="공격형",(INDEX(몬스터계수[[#Data],[속도]],MATCH(E60, 몬스터계수[[#Data],[타입]],0),1)*속도핸들러_곱계수)*(INT(몬스터밸런스[[#This Row],[Lv]]/속도핸들러_합계수+1)),
IF(E60="방어형",(INDEX(몬스터계수[[#Data],[속도]],MATCH(E60, 몬스터계수[[#Data],[타입]],0),1)*속도핸들러_곱계수)*(INT(몬스터밸런스[[#This Row],[Lv]]/속도핸들러_합계수+1)),
IF(E60="회피형",(INDEX(몬스터계수[[#Data],[속도]],MATCH(E60, 몬스터계수[[#Data],[타입]],0),1)*속도핸들러_곱계수)*(INT(몬스터밸런스[[#This Row],[Lv]]/속도핸들러_합계수+1)),
IF(E60="기본형",(INDEX(몬스터계수[[#Data],[속도]],MATCH(E60, 몬스터계수[[#Data],[타입]],0),1)*속도핸들러_곱계수)*(INT(몬스터밸런스[[#This Row],[Lv]]/속도핸들러_합계수+1)),0))))</f>
        <v>0</v>
      </c>
      <c r="S60">
        <f t="shared" si="0"/>
        <v>764774.5</v>
      </c>
      <c r="U60">
        <v>2</v>
      </c>
      <c r="V60">
        <v>58</v>
      </c>
      <c r="W60">
        <f>$Z$1*몬스터밸런스9[[#This Row],[단계]]</f>
        <v>10</v>
      </c>
      <c r="X60" t="s">
        <v>61</v>
      </c>
      <c r="AE60" s="34"/>
      <c r="AF60" s="34"/>
      <c r="AG60" s="34">
        <f>몬스터밸런스[[#This Row],[Defense]]</f>
        <v>3581</v>
      </c>
      <c r="AH60" s="34"/>
      <c r="AI60" s="34"/>
      <c r="AJ60" s="34"/>
      <c r="AK60" s="34"/>
      <c r="AL60">
        <f t="shared" si="3"/>
        <v>57296</v>
      </c>
    </row>
    <row r="61" spans="1:38">
      <c r="A61">
        <v>580</v>
      </c>
      <c r="B61">
        <v>59</v>
      </c>
      <c r="C61">
        <f>$F$1*몬스터밸런스[[#This Row],[Lv]]+15</f>
        <v>2915</v>
      </c>
      <c r="E61" t="s">
        <v>479</v>
      </c>
      <c r="F61">
        <f>IF(E61="공격형",INDEX(몬스터계수[[#Data],[생명계수]],MATCH(E61,몬스터계수[[#Data],[타입]],0),1)*C61,
IF(E61="방어형",INDEX(몬스터계수[[#Data],[생명계수]],MATCH(E61,몬스터계수[[#Data],[타입]],0),1)*C61,
IF(E61="회피형",INDEX(몬스터계수[[#Data],[생명계수]],MATCH(E61,몬스터계수[[#Data],[타입]],0),1)*C61,
IF(E61="체력형",INDEX(몬스터계수[[#Data],[생명계수]],MATCH(E61,몬스터계수[[#Data],[타입]],0),1)*C61,0))))*IF(몬스터밸런스[[#This Row],[보스]]=TRUE,2,1)</f>
        <v>1457.5</v>
      </c>
      <c r="G61">
        <f>IF(E61="공격형",INDEX(몬스터계수[[#Data],[힘계수]],MATCH(E61, 몬스터계수[[#Data],[타입]],0),1)*C61,
IF(E61="방어형",INDEX(몬스터계수[[#Data],[힘계수]],MATCH(E61, 몬스터계수[[#Data],[타입]],0),1)*C61,
IF(E61="회피형",INDEX(몬스터계수[[#Data],[힘계수]],MATCH(E61, 몬스터계수[[#Data],[타입]],0),1)*C61,
IF(E61="체력형",INDEX(몬스터계수[[#Data],[힘계수]],MATCH(E61, 몬스터계수[[#Data],[타입]],0),1)*C61,0))))</f>
        <v>728.75</v>
      </c>
      <c r="H61">
        <f>IF(E61="공격형",INDEX(몬스터계수[[#Data],[근력게수]],MATCH(E61,몬스터계수[[#Data],[타입]],0),1)*C61,
IF(E61="방어형",INDEX(몬스터계수[[#Data],[근력게수]],MATCH(E61,몬스터계수[[#Data],[타입]],0),1)*C61,
IF(E61="회피형",INDEX(몬스터계수[[#Data],[근력게수]],MATCH(E61,몬스터계수[[#Data],[타입]],0),1)*C61,
IF(E61="체력형",INDEX(몬스터계수[[#Data],[근력게수]],MATCH(E61,몬스터계수[[#Data],[타입]],0),1)*C61,0))))</f>
        <v>145.75</v>
      </c>
      <c r="I61">
        <f>IF(E61="공격형",INDEX(몬스터계수[[#Data],[숙련도계수]],MATCH(E61,몬스터계수[[#Data],[타입]],0),1)*C61,
IF(E61="방어형",INDEX(몬스터계수[[#Data],[숙련도계수]],MATCH(E61,몬스터계수[[#Data],[타입]],0),1)*C61,
IF(E61="회피형",INDEX(몬스터계수[[#Data],[숙련도계수]],MATCH(E61,몬스터계수[[#Data],[타입]],0),1)*C61,
IF(E61="체력형",INDEX(몬스터계수[[#Data],[숙련도계수]],MATCH(E61,몬스터계수[[#Data],[타입]],0),1)*C61,0))))</f>
        <v>437.25</v>
      </c>
      <c r="J61">
        <f>IF(E61="공격형",INDEX(몬스터계수[[#Data],[행운계수]],MATCH(E61, 몬스터계수[[#Data],[타입]],0),1)*C61,
IF(E61="방어형",INDEX(몬스터계수[[#Data],[행운계수]],MATCH(E61, 몬스터계수[[#Data],[타입]],0),1)*C61,
IF(E61="회피형",INDEX(몬스터계수[[#Data],[행운계수]],MATCH(E61, 몬스터계수[[#Data],[타입]],0),1)*C61,
IF(E61="체력형",INDEX(몬스터계수[[#Data],[행운계수]],MATCH(E61, 몬스터계수[[#Data],[타입]],0),1)*C61,0))))</f>
        <v>145.75</v>
      </c>
      <c r="K61" s="34">
        <f>ROUND(
(($F61)*참고!$D$5)
+(($G61)*참고!$D$6)
+(($H61)*참고!$D$7)
+(($I61)*참고!$D$8)
+(($J61))*참고!$D$9,0)</f>
        <v>22664</v>
      </c>
      <c r="L61" s="34">
        <f>ROUND(
(($F61)*참고!$E$5)
+(($G61)*참고!$E$6)
+(($H61)*참고!$E$7)
+(($I61)*참고!$E$8)
+(($J61))*참고!$E$9,0)</f>
        <v>12972</v>
      </c>
      <c r="M61" s="34">
        <f>ROUND(
(($F61)*참고!$F$5)
+(($G61)*참고!$F$6)
+(($H61)*참고!$F$7)
+(($I61)*참고!$F$8)
+(($J61))*참고!$F$9,0)</f>
        <v>3644</v>
      </c>
      <c r="N61" s="34">
        <f>ROUND(
(($F61)*참고!$G$5)
+(($G61)*참고!$G$6)
+(($H61)*참고!$G$7)
+(($I61)*참고!$G$8)
+(($J61))*참고!$G$9,0)</f>
        <v>102</v>
      </c>
      <c r="O61" s="34">
        <f>ROUND(
(($F61)*참고!$H$5)
+(($G61)*참고!$H$6)
+(($H61)*참고!$H$7)
+(($I61)*참고!$H$8)
+(($J61))*참고!$H$9,0)</f>
        <v>2405</v>
      </c>
      <c r="P61" s="34">
        <f>ROUND(
(($F61)*참고!$I$5)
+(($G61)*참고!$I$6)
+(($H61)*참고!$I$7)
+(($I61)*참고!$I$8)
+(($J61))*참고!$I$9,0)</f>
        <v>4227</v>
      </c>
      <c r="Q61" s="34">
        <f>ROUND(
(($F61)*참고!$J$5)
+(($G61)*참고!$J$6)
+(($H61)*참고!$J$7)
+(($I61)*참고!$J$8)
+(($J61))*참고!$J$9,0)</f>
        <v>2915</v>
      </c>
      <c r="R61" s="34">
        <f>IF(E61="공격형",(INDEX(몬스터계수[[#Data],[속도]],MATCH(E61, 몬스터계수[[#Data],[타입]],0),1)*속도핸들러_곱계수)*(INT(몬스터밸런스[[#This Row],[Lv]]/속도핸들러_합계수+1)),
IF(E61="방어형",(INDEX(몬스터계수[[#Data],[속도]],MATCH(E61, 몬스터계수[[#Data],[타입]],0),1)*속도핸들러_곱계수)*(INT(몬스터밸런스[[#This Row],[Lv]]/속도핸들러_합계수+1)),
IF(E61="회피형",(INDEX(몬스터계수[[#Data],[속도]],MATCH(E61, 몬스터계수[[#Data],[타입]],0),1)*속도핸들러_곱계수)*(INT(몬스터밸런스[[#This Row],[Lv]]/속도핸들러_합계수+1)),
IF(E61="기본형",(INDEX(몬스터계수[[#Data],[속도]],MATCH(E61, 몬스터계수[[#Data],[타입]],0),1)*속도핸들러_곱계수)*(INT(몬스터밸런스[[#This Row],[Lv]]/속도핸들러_합계수+1)),0))))</f>
        <v>0</v>
      </c>
      <c r="S61">
        <f t="shared" si="0"/>
        <v>778146.5</v>
      </c>
      <c r="U61">
        <v>2</v>
      </c>
      <c r="V61">
        <v>59</v>
      </c>
      <c r="W61">
        <f>$Z$1*몬스터밸런스9[[#This Row],[단계]]</f>
        <v>10</v>
      </c>
      <c r="X61" t="s">
        <v>61</v>
      </c>
      <c r="AE61" s="34"/>
      <c r="AF61" s="34"/>
      <c r="AG61" s="34">
        <f>몬스터밸런스[[#This Row],[Defense]]</f>
        <v>3644</v>
      </c>
      <c r="AH61" s="34"/>
      <c r="AI61" s="34"/>
      <c r="AJ61" s="34"/>
      <c r="AK61" s="34"/>
      <c r="AL61">
        <f t="shared" si="3"/>
        <v>58304</v>
      </c>
    </row>
    <row r="62" spans="1:38">
      <c r="A62">
        <v>590</v>
      </c>
      <c r="B62">
        <v>60</v>
      </c>
      <c r="C62">
        <f>$F$1*몬스터밸런스[[#This Row],[Lv]]+15</f>
        <v>2965</v>
      </c>
      <c r="E62" t="s">
        <v>479</v>
      </c>
      <c r="F62">
        <f>IF(E62="공격형",INDEX(몬스터계수[[#Data],[생명계수]],MATCH(E62,몬스터계수[[#Data],[타입]],0),1)*C62,
IF(E62="방어형",INDEX(몬스터계수[[#Data],[생명계수]],MATCH(E62,몬스터계수[[#Data],[타입]],0),1)*C62,
IF(E62="회피형",INDEX(몬스터계수[[#Data],[생명계수]],MATCH(E62,몬스터계수[[#Data],[타입]],0),1)*C62,
IF(E62="체력형",INDEX(몬스터계수[[#Data],[생명계수]],MATCH(E62,몬스터계수[[#Data],[타입]],0),1)*C62,0))))*IF(몬스터밸런스[[#This Row],[보스]]=TRUE,2,1)</f>
        <v>1482.5</v>
      </c>
      <c r="G62">
        <f>IF(E62="공격형",INDEX(몬스터계수[[#Data],[힘계수]],MATCH(E62, 몬스터계수[[#Data],[타입]],0),1)*C62,
IF(E62="방어형",INDEX(몬스터계수[[#Data],[힘계수]],MATCH(E62, 몬스터계수[[#Data],[타입]],0),1)*C62,
IF(E62="회피형",INDEX(몬스터계수[[#Data],[힘계수]],MATCH(E62, 몬스터계수[[#Data],[타입]],0),1)*C62,
IF(E62="체력형",INDEX(몬스터계수[[#Data],[힘계수]],MATCH(E62, 몬스터계수[[#Data],[타입]],0),1)*C62,0))))</f>
        <v>741.25</v>
      </c>
      <c r="H62">
        <f>IF(E62="공격형",INDEX(몬스터계수[[#Data],[근력게수]],MATCH(E62,몬스터계수[[#Data],[타입]],0),1)*C62,
IF(E62="방어형",INDEX(몬스터계수[[#Data],[근력게수]],MATCH(E62,몬스터계수[[#Data],[타입]],0),1)*C62,
IF(E62="회피형",INDEX(몬스터계수[[#Data],[근력게수]],MATCH(E62,몬스터계수[[#Data],[타입]],0),1)*C62,
IF(E62="체력형",INDEX(몬스터계수[[#Data],[근력게수]],MATCH(E62,몬스터계수[[#Data],[타입]],0),1)*C62,0))))</f>
        <v>148.25</v>
      </c>
      <c r="I62">
        <f>IF(E62="공격형",INDEX(몬스터계수[[#Data],[숙련도계수]],MATCH(E62,몬스터계수[[#Data],[타입]],0),1)*C62,
IF(E62="방어형",INDEX(몬스터계수[[#Data],[숙련도계수]],MATCH(E62,몬스터계수[[#Data],[타입]],0),1)*C62,
IF(E62="회피형",INDEX(몬스터계수[[#Data],[숙련도계수]],MATCH(E62,몬스터계수[[#Data],[타입]],0),1)*C62,
IF(E62="체력형",INDEX(몬스터계수[[#Data],[숙련도계수]],MATCH(E62,몬스터계수[[#Data],[타입]],0),1)*C62,0))))</f>
        <v>444.75</v>
      </c>
      <c r="J62">
        <f>IF(E62="공격형",INDEX(몬스터계수[[#Data],[행운계수]],MATCH(E62, 몬스터계수[[#Data],[타입]],0),1)*C62,
IF(E62="방어형",INDEX(몬스터계수[[#Data],[행운계수]],MATCH(E62, 몬스터계수[[#Data],[타입]],0),1)*C62,
IF(E62="회피형",INDEX(몬스터계수[[#Data],[행운계수]],MATCH(E62, 몬스터계수[[#Data],[타입]],0),1)*C62,
IF(E62="체력형",INDEX(몬스터계수[[#Data],[행운계수]],MATCH(E62, 몬스터계수[[#Data],[타입]],0),1)*C62,0))))</f>
        <v>148.25</v>
      </c>
      <c r="K62" s="34">
        <f>ROUND(
(($F62)*참고!$D$5)
+(($G62)*참고!$D$6)
+(($H62)*참고!$D$7)
+(($I62)*참고!$D$8)
+(($J62))*참고!$D$9,0)</f>
        <v>23053</v>
      </c>
      <c r="L62" s="34">
        <f>ROUND(
(($F62)*참고!$E$5)
+(($G62)*참고!$E$6)
+(($H62)*참고!$E$7)
+(($I62)*참고!$E$8)
+(($J62))*참고!$E$9,0)</f>
        <v>13194</v>
      </c>
      <c r="M62" s="34">
        <f>ROUND(
(($F62)*참고!$F$5)
+(($G62)*참고!$F$6)
+(($H62)*참고!$F$7)
+(($I62)*참고!$F$8)
+(($J62))*참고!$F$9,0)</f>
        <v>3706</v>
      </c>
      <c r="N62" s="34">
        <f>ROUND(
(($F62)*참고!$G$5)
+(($G62)*참고!$G$6)
+(($H62)*참고!$G$7)
+(($I62)*참고!$G$8)
+(($J62))*참고!$G$9,0)</f>
        <v>104</v>
      </c>
      <c r="O62" s="34">
        <f>ROUND(
(($F62)*참고!$H$5)
+(($G62)*참고!$H$6)
+(($H62)*참고!$H$7)
+(($I62)*참고!$H$8)
+(($J62))*참고!$H$9,0)</f>
        <v>2446</v>
      </c>
      <c r="P62" s="34">
        <f>ROUND(
(($F62)*참고!$I$5)
+(($G62)*참고!$I$6)
+(($H62)*참고!$I$7)
+(($I62)*참고!$I$8)
+(($J62))*참고!$I$9,0)</f>
        <v>4299</v>
      </c>
      <c r="Q62" s="34">
        <f>ROUND(
(($F62)*참고!$J$5)
+(($G62)*참고!$J$6)
+(($H62)*참고!$J$7)
+(($I62)*참고!$J$8)
+(($J62))*참고!$J$9,0)</f>
        <v>2965</v>
      </c>
      <c r="R62" s="34">
        <f>IF(E62="공격형",(INDEX(몬스터계수[[#Data],[속도]],MATCH(E62, 몬스터계수[[#Data],[타입]],0),1)*속도핸들러_곱계수)*(INT(몬스터밸런스[[#This Row],[Lv]]/속도핸들러_합계수+1)),
IF(E62="방어형",(INDEX(몬스터계수[[#Data],[속도]],MATCH(E62, 몬스터계수[[#Data],[타입]],0),1)*속도핸들러_곱계수)*(INT(몬스터밸런스[[#This Row],[Lv]]/속도핸들러_합계수+1)),
IF(E62="회피형",(INDEX(몬스터계수[[#Data],[속도]],MATCH(E62, 몬스터계수[[#Data],[타입]],0),1)*속도핸들러_곱계수)*(INT(몬스터밸런스[[#This Row],[Lv]]/속도핸들러_합계수+1)),
IF(E62="기본형",(INDEX(몬스터계수[[#Data],[속도]],MATCH(E62, 몬스터계수[[#Data],[타입]],0),1)*속도핸들러_곱계수)*(INT(몬스터밸런스[[#This Row],[Lv]]/속도핸들러_합계수+1)),0))))</f>
        <v>0</v>
      </c>
      <c r="S62">
        <f t="shared" si="0"/>
        <v>791475.5</v>
      </c>
      <c r="U62">
        <v>2</v>
      </c>
      <c r="V62">
        <v>60</v>
      </c>
      <c r="W62">
        <f>$Z$1*몬스터밸런스9[[#This Row],[단계]]</f>
        <v>10</v>
      </c>
      <c r="X62" t="s">
        <v>61</v>
      </c>
      <c r="AE62" s="34"/>
      <c r="AF62" s="34"/>
      <c r="AG62" s="34">
        <f>몬스터밸런스[[#This Row],[Defense]]</f>
        <v>3706</v>
      </c>
      <c r="AH62" s="34"/>
      <c r="AI62" s="34"/>
      <c r="AJ62" s="34"/>
      <c r="AK62" s="34"/>
      <c r="AL62">
        <f t="shared" si="3"/>
        <v>59296</v>
      </c>
    </row>
    <row r="63" spans="1:38">
      <c r="A63">
        <v>600</v>
      </c>
      <c r="B63">
        <v>61</v>
      </c>
      <c r="C63">
        <f>$F$1*몬스터밸런스[[#This Row],[Lv]]+15</f>
        <v>3015</v>
      </c>
      <c r="E63" t="s">
        <v>479</v>
      </c>
      <c r="F63">
        <f>IF(E63="공격형",INDEX(몬스터계수[[#Data],[생명계수]],MATCH(E63,몬스터계수[[#Data],[타입]],0),1)*C63,
IF(E63="방어형",INDEX(몬스터계수[[#Data],[생명계수]],MATCH(E63,몬스터계수[[#Data],[타입]],0),1)*C63,
IF(E63="회피형",INDEX(몬스터계수[[#Data],[생명계수]],MATCH(E63,몬스터계수[[#Data],[타입]],0),1)*C63,
IF(E63="체력형",INDEX(몬스터계수[[#Data],[생명계수]],MATCH(E63,몬스터계수[[#Data],[타입]],0),1)*C63,0))))*IF(몬스터밸런스[[#This Row],[보스]]=TRUE,2,1)</f>
        <v>1507.5</v>
      </c>
      <c r="G63">
        <f>IF(E63="공격형",INDEX(몬스터계수[[#Data],[힘계수]],MATCH(E63, 몬스터계수[[#Data],[타입]],0),1)*C63,
IF(E63="방어형",INDEX(몬스터계수[[#Data],[힘계수]],MATCH(E63, 몬스터계수[[#Data],[타입]],0),1)*C63,
IF(E63="회피형",INDEX(몬스터계수[[#Data],[힘계수]],MATCH(E63, 몬스터계수[[#Data],[타입]],0),1)*C63,
IF(E63="체력형",INDEX(몬스터계수[[#Data],[힘계수]],MATCH(E63, 몬스터계수[[#Data],[타입]],0),1)*C63,0))))</f>
        <v>753.75</v>
      </c>
      <c r="H63">
        <f>IF(E63="공격형",INDEX(몬스터계수[[#Data],[근력게수]],MATCH(E63,몬스터계수[[#Data],[타입]],0),1)*C63,
IF(E63="방어형",INDEX(몬스터계수[[#Data],[근력게수]],MATCH(E63,몬스터계수[[#Data],[타입]],0),1)*C63,
IF(E63="회피형",INDEX(몬스터계수[[#Data],[근력게수]],MATCH(E63,몬스터계수[[#Data],[타입]],0),1)*C63,
IF(E63="체력형",INDEX(몬스터계수[[#Data],[근력게수]],MATCH(E63,몬스터계수[[#Data],[타입]],0),1)*C63,0))))</f>
        <v>150.75</v>
      </c>
      <c r="I63">
        <f>IF(E63="공격형",INDEX(몬스터계수[[#Data],[숙련도계수]],MATCH(E63,몬스터계수[[#Data],[타입]],0),1)*C63,
IF(E63="방어형",INDEX(몬스터계수[[#Data],[숙련도계수]],MATCH(E63,몬스터계수[[#Data],[타입]],0),1)*C63,
IF(E63="회피형",INDEX(몬스터계수[[#Data],[숙련도계수]],MATCH(E63,몬스터계수[[#Data],[타입]],0),1)*C63,
IF(E63="체력형",INDEX(몬스터계수[[#Data],[숙련도계수]],MATCH(E63,몬스터계수[[#Data],[타입]],0),1)*C63,0))))</f>
        <v>452.25</v>
      </c>
      <c r="J63">
        <f>IF(E63="공격형",INDEX(몬스터계수[[#Data],[행운계수]],MATCH(E63, 몬스터계수[[#Data],[타입]],0),1)*C63,
IF(E63="방어형",INDEX(몬스터계수[[#Data],[행운계수]],MATCH(E63, 몬스터계수[[#Data],[타입]],0),1)*C63,
IF(E63="회피형",INDEX(몬스터계수[[#Data],[행운계수]],MATCH(E63, 몬스터계수[[#Data],[타입]],0),1)*C63,
IF(E63="체력형",INDEX(몬스터계수[[#Data],[행운계수]],MATCH(E63, 몬스터계수[[#Data],[타입]],0),1)*C63,0))))</f>
        <v>150.75</v>
      </c>
      <c r="K63" s="34">
        <f>ROUND(
(($F63)*참고!$D$5)
+(($G63)*참고!$D$6)
+(($H63)*참고!$D$7)
+(($I63)*참고!$D$8)
+(($J63))*참고!$D$9,0)</f>
        <v>23442</v>
      </c>
      <c r="L63" s="34">
        <f>ROUND(
(($F63)*참고!$E$5)
+(($G63)*참고!$E$6)
+(($H63)*참고!$E$7)
+(($I63)*참고!$E$8)
+(($J63))*참고!$E$9,0)</f>
        <v>13417</v>
      </c>
      <c r="M63" s="34">
        <f>ROUND(
(($F63)*참고!$F$5)
+(($G63)*참고!$F$6)
+(($H63)*참고!$F$7)
+(($I63)*참고!$F$8)
+(($J63))*참고!$F$9,0)</f>
        <v>3769</v>
      </c>
      <c r="N63" s="34">
        <f>ROUND(
(($F63)*참고!$G$5)
+(($G63)*참고!$G$6)
+(($H63)*참고!$G$7)
+(($I63)*참고!$G$8)
+(($J63))*참고!$G$9,0)</f>
        <v>106</v>
      </c>
      <c r="O63" s="34">
        <f>ROUND(
(($F63)*참고!$H$5)
+(($G63)*참고!$H$6)
+(($H63)*참고!$H$7)
+(($I63)*참고!$H$8)
+(($J63))*참고!$H$9,0)</f>
        <v>2487</v>
      </c>
      <c r="P63" s="34">
        <f>ROUND(
(($F63)*참고!$I$5)
+(($G63)*참고!$I$6)
+(($H63)*참고!$I$7)
+(($I63)*참고!$I$8)
+(($J63))*참고!$I$9,0)</f>
        <v>4372</v>
      </c>
      <c r="Q63" s="34">
        <f>ROUND(
(($F63)*참고!$J$5)
+(($G63)*참고!$J$6)
+(($H63)*참고!$J$7)
+(($I63)*참고!$J$8)
+(($J63))*참고!$J$9,0)</f>
        <v>3015</v>
      </c>
      <c r="R63" s="34">
        <f>IF(E63="공격형",(INDEX(몬스터계수[[#Data],[속도]],MATCH(E63, 몬스터계수[[#Data],[타입]],0),1)*속도핸들러_곱계수)*(INT(몬스터밸런스[[#This Row],[Lv]]/속도핸들러_합계수+1)),
IF(E63="방어형",(INDEX(몬스터계수[[#Data],[속도]],MATCH(E63, 몬스터계수[[#Data],[타입]],0),1)*속도핸들러_곱계수)*(INT(몬스터밸런스[[#This Row],[Lv]]/속도핸들러_합계수+1)),
IF(E63="회피형",(INDEX(몬스터계수[[#Data],[속도]],MATCH(E63, 몬스터계수[[#Data],[타입]],0),1)*속도핸들러_곱계수)*(INT(몬스터밸런스[[#This Row],[Lv]]/속도핸들러_합계수+1)),
IF(E63="기본형",(INDEX(몬스터계수[[#Data],[속도]],MATCH(E63, 몬스터계수[[#Data],[타입]],0),1)*속도핸들러_곱계수)*(INT(몬스터밸런스[[#This Row],[Lv]]/속도핸들러_합계수+1)),0))))</f>
        <v>0</v>
      </c>
      <c r="S63">
        <f t="shared" si="0"/>
        <v>804847.5</v>
      </c>
      <c r="U63">
        <v>3</v>
      </c>
      <c r="V63">
        <v>61</v>
      </c>
      <c r="W63">
        <f>$Z$1*몬스터밸런스9[[#This Row],[단계]]</f>
        <v>15</v>
      </c>
      <c r="X63" t="s">
        <v>61</v>
      </c>
      <c r="AE63" s="34"/>
      <c r="AF63" s="34"/>
      <c r="AG63" s="34">
        <f>몬스터밸런스[[#This Row],[Defense]]</f>
        <v>3769</v>
      </c>
      <c r="AH63" s="34"/>
      <c r="AI63" s="34"/>
      <c r="AJ63" s="34"/>
      <c r="AK63" s="34"/>
      <c r="AL63">
        <f t="shared" si="3"/>
        <v>60304</v>
      </c>
    </row>
    <row r="64" spans="1:38">
      <c r="A64">
        <v>610</v>
      </c>
      <c r="B64">
        <v>62</v>
      </c>
      <c r="C64">
        <f>$F$1*몬스터밸런스[[#This Row],[Lv]]+15</f>
        <v>3065</v>
      </c>
      <c r="E64" t="s">
        <v>479</v>
      </c>
      <c r="F64">
        <f>IF(E64="공격형",INDEX(몬스터계수[[#Data],[생명계수]],MATCH(E64,몬스터계수[[#Data],[타입]],0),1)*C64,
IF(E64="방어형",INDEX(몬스터계수[[#Data],[생명계수]],MATCH(E64,몬스터계수[[#Data],[타입]],0),1)*C64,
IF(E64="회피형",INDEX(몬스터계수[[#Data],[생명계수]],MATCH(E64,몬스터계수[[#Data],[타입]],0),1)*C64,
IF(E64="체력형",INDEX(몬스터계수[[#Data],[생명계수]],MATCH(E64,몬스터계수[[#Data],[타입]],0),1)*C64,0))))*IF(몬스터밸런스[[#This Row],[보스]]=TRUE,2,1)</f>
        <v>1532.5</v>
      </c>
      <c r="G64">
        <f>IF(E64="공격형",INDEX(몬스터계수[[#Data],[힘계수]],MATCH(E64, 몬스터계수[[#Data],[타입]],0),1)*C64,
IF(E64="방어형",INDEX(몬스터계수[[#Data],[힘계수]],MATCH(E64, 몬스터계수[[#Data],[타입]],0),1)*C64,
IF(E64="회피형",INDEX(몬스터계수[[#Data],[힘계수]],MATCH(E64, 몬스터계수[[#Data],[타입]],0),1)*C64,
IF(E64="체력형",INDEX(몬스터계수[[#Data],[힘계수]],MATCH(E64, 몬스터계수[[#Data],[타입]],0),1)*C64,0))))</f>
        <v>766.25</v>
      </c>
      <c r="H64">
        <f>IF(E64="공격형",INDEX(몬스터계수[[#Data],[근력게수]],MATCH(E64,몬스터계수[[#Data],[타입]],0),1)*C64,
IF(E64="방어형",INDEX(몬스터계수[[#Data],[근력게수]],MATCH(E64,몬스터계수[[#Data],[타입]],0),1)*C64,
IF(E64="회피형",INDEX(몬스터계수[[#Data],[근력게수]],MATCH(E64,몬스터계수[[#Data],[타입]],0),1)*C64,
IF(E64="체력형",INDEX(몬스터계수[[#Data],[근력게수]],MATCH(E64,몬스터계수[[#Data],[타입]],0),1)*C64,0))))</f>
        <v>153.25</v>
      </c>
      <c r="I64">
        <f>IF(E64="공격형",INDEX(몬스터계수[[#Data],[숙련도계수]],MATCH(E64,몬스터계수[[#Data],[타입]],0),1)*C64,
IF(E64="방어형",INDEX(몬스터계수[[#Data],[숙련도계수]],MATCH(E64,몬스터계수[[#Data],[타입]],0),1)*C64,
IF(E64="회피형",INDEX(몬스터계수[[#Data],[숙련도계수]],MATCH(E64,몬스터계수[[#Data],[타입]],0),1)*C64,
IF(E64="체력형",INDEX(몬스터계수[[#Data],[숙련도계수]],MATCH(E64,몬스터계수[[#Data],[타입]],0),1)*C64,0))))</f>
        <v>459.75</v>
      </c>
      <c r="J64">
        <f>IF(E64="공격형",INDEX(몬스터계수[[#Data],[행운계수]],MATCH(E64, 몬스터계수[[#Data],[타입]],0),1)*C64,
IF(E64="방어형",INDEX(몬스터계수[[#Data],[행운계수]],MATCH(E64, 몬스터계수[[#Data],[타입]],0),1)*C64,
IF(E64="회피형",INDEX(몬스터계수[[#Data],[행운계수]],MATCH(E64, 몬스터계수[[#Data],[타입]],0),1)*C64,
IF(E64="체력형",INDEX(몬스터계수[[#Data],[행운계수]],MATCH(E64, 몬스터계수[[#Data],[타입]],0),1)*C64,0))))</f>
        <v>153.25</v>
      </c>
      <c r="K64" s="34">
        <f>ROUND(
(($F64)*참고!$D$5)
+(($G64)*참고!$D$6)
+(($H64)*참고!$D$7)
+(($I64)*참고!$D$8)
+(($J64))*참고!$D$9,0)</f>
        <v>23830</v>
      </c>
      <c r="L64" s="34">
        <f>ROUND(
(($F64)*참고!$E$5)
+(($G64)*참고!$E$6)
+(($H64)*참고!$E$7)
+(($I64)*참고!$E$8)
+(($J64))*참고!$E$9,0)</f>
        <v>13639</v>
      </c>
      <c r="M64" s="34">
        <f>ROUND(
(($F64)*참고!$F$5)
+(($G64)*참고!$F$6)
+(($H64)*참고!$F$7)
+(($I64)*참고!$F$8)
+(($J64))*참고!$F$9,0)</f>
        <v>3831</v>
      </c>
      <c r="N64" s="34">
        <f>ROUND(
(($F64)*참고!$G$5)
+(($G64)*참고!$G$6)
+(($H64)*참고!$G$7)
+(($I64)*참고!$G$8)
+(($J64))*참고!$G$9,0)</f>
        <v>107</v>
      </c>
      <c r="O64" s="34">
        <f>ROUND(
(($F64)*참고!$H$5)
+(($G64)*참고!$H$6)
+(($H64)*참고!$H$7)
+(($I64)*참고!$H$8)
+(($J64))*참고!$H$9,0)</f>
        <v>2529</v>
      </c>
      <c r="P64" s="34">
        <f>ROUND(
(($F64)*참고!$I$5)
+(($G64)*참고!$I$6)
+(($H64)*참고!$I$7)
+(($I64)*참고!$I$8)
+(($J64))*참고!$I$9,0)</f>
        <v>4444</v>
      </c>
      <c r="Q64" s="34">
        <f>ROUND(
(($F64)*참고!$J$5)
+(($G64)*참고!$J$6)
+(($H64)*참고!$J$7)
+(($I64)*참고!$J$8)
+(($J64))*참고!$J$9,0)</f>
        <v>3065</v>
      </c>
      <c r="R64" s="34">
        <f>IF(E64="공격형",(INDEX(몬스터계수[[#Data],[속도]],MATCH(E64, 몬스터계수[[#Data],[타입]],0),1)*속도핸들러_곱계수)*(INT(몬스터밸런스[[#This Row],[Lv]]/속도핸들러_합계수+1)),
IF(E64="방어형",(INDEX(몬스터계수[[#Data],[속도]],MATCH(E64, 몬스터계수[[#Data],[타입]],0),1)*속도핸들러_곱계수)*(INT(몬스터밸런스[[#This Row],[Lv]]/속도핸들러_합계수+1)),
IF(E64="회피형",(INDEX(몬스터계수[[#Data],[속도]],MATCH(E64, 몬스터계수[[#Data],[타입]],0),1)*속도핸들러_곱계수)*(INT(몬스터밸런스[[#This Row],[Lv]]/속도핸들러_합계수+1)),
IF(E64="기본형",(INDEX(몬스터계수[[#Data],[속도]],MATCH(E64, 몬스터계수[[#Data],[타입]],0),1)*속도핸들러_곱계수)*(INT(몬스터밸런스[[#This Row],[Lv]]/속도핸들러_합계수+1)),0))))</f>
        <v>0</v>
      </c>
      <c r="S64">
        <f t="shared" si="0"/>
        <v>818163</v>
      </c>
      <c r="U64">
        <v>3</v>
      </c>
      <c r="V64">
        <v>62</v>
      </c>
      <c r="W64">
        <f>$Z$1*몬스터밸런스9[[#This Row],[단계]]</f>
        <v>15</v>
      </c>
      <c r="X64" t="s">
        <v>61</v>
      </c>
      <c r="AE64" s="34"/>
      <c r="AF64" s="34"/>
      <c r="AG64" s="34">
        <f>몬스터밸런스[[#This Row],[Defense]]</f>
        <v>3831</v>
      </c>
      <c r="AH64" s="34"/>
      <c r="AI64" s="34"/>
      <c r="AJ64" s="34"/>
      <c r="AK64" s="34"/>
      <c r="AL64">
        <f t="shared" si="3"/>
        <v>61296</v>
      </c>
    </row>
    <row r="65" spans="1:38">
      <c r="A65">
        <v>620</v>
      </c>
      <c r="B65">
        <v>63</v>
      </c>
      <c r="C65">
        <f>$F$1*몬스터밸런스[[#This Row],[Lv]]+15</f>
        <v>3115</v>
      </c>
      <c r="E65" t="s">
        <v>479</v>
      </c>
      <c r="F65">
        <f>IF(E65="공격형",INDEX(몬스터계수[[#Data],[생명계수]],MATCH(E65,몬스터계수[[#Data],[타입]],0),1)*C65,
IF(E65="방어형",INDEX(몬스터계수[[#Data],[생명계수]],MATCH(E65,몬스터계수[[#Data],[타입]],0),1)*C65,
IF(E65="회피형",INDEX(몬스터계수[[#Data],[생명계수]],MATCH(E65,몬스터계수[[#Data],[타입]],0),1)*C65,
IF(E65="체력형",INDEX(몬스터계수[[#Data],[생명계수]],MATCH(E65,몬스터계수[[#Data],[타입]],0),1)*C65,0))))*IF(몬스터밸런스[[#This Row],[보스]]=TRUE,2,1)</f>
        <v>1557.5</v>
      </c>
      <c r="G65">
        <f>IF(E65="공격형",INDEX(몬스터계수[[#Data],[힘계수]],MATCH(E65, 몬스터계수[[#Data],[타입]],0),1)*C65,
IF(E65="방어형",INDEX(몬스터계수[[#Data],[힘계수]],MATCH(E65, 몬스터계수[[#Data],[타입]],0),1)*C65,
IF(E65="회피형",INDEX(몬스터계수[[#Data],[힘계수]],MATCH(E65, 몬스터계수[[#Data],[타입]],0),1)*C65,
IF(E65="체력형",INDEX(몬스터계수[[#Data],[힘계수]],MATCH(E65, 몬스터계수[[#Data],[타입]],0),1)*C65,0))))</f>
        <v>778.75</v>
      </c>
      <c r="H65">
        <f>IF(E65="공격형",INDEX(몬스터계수[[#Data],[근력게수]],MATCH(E65,몬스터계수[[#Data],[타입]],0),1)*C65,
IF(E65="방어형",INDEX(몬스터계수[[#Data],[근력게수]],MATCH(E65,몬스터계수[[#Data],[타입]],0),1)*C65,
IF(E65="회피형",INDEX(몬스터계수[[#Data],[근력게수]],MATCH(E65,몬스터계수[[#Data],[타입]],0),1)*C65,
IF(E65="체력형",INDEX(몬스터계수[[#Data],[근력게수]],MATCH(E65,몬스터계수[[#Data],[타입]],0),1)*C65,0))))</f>
        <v>155.75</v>
      </c>
      <c r="I65">
        <f>IF(E65="공격형",INDEX(몬스터계수[[#Data],[숙련도계수]],MATCH(E65,몬스터계수[[#Data],[타입]],0),1)*C65,
IF(E65="방어형",INDEX(몬스터계수[[#Data],[숙련도계수]],MATCH(E65,몬스터계수[[#Data],[타입]],0),1)*C65,
IF(E65="회피형",INDEX(몬스터계수[[#Data],[숙련도계수]],MATCH(E65,몬스터계수[[#Data],[타입]],0),1)*C65,
IF(E65="체력형",INDEX(몬스터계수[[#Data],[숙련도계수]],MATCH(E65,몬스터계수[[#Data],[타입]],0),1)*C65,0))))</f>
        <v>467.25</v>
      </c>
      <c r="J65">
        <f>IF(E65="공격형",INDEX(몬스터계수[[#Data],[행운계수]],MATCH(E65, 몬스터계수[[#Data],[타입]],0),1)*C65,
IF(E65="방어형",INDEX(몬스터계수[[#Data],[행운계수]],MATCH(E65, 몬스터계수[[#Data],[타입]],0),1)*C65,
IF(E65="회피형",INDEX(몬스터계수[[#Data],[행운계수]],MATCH(E65, 몬스터계수[[#Data],[타입]],0),1)*C65,
IF(E65="체력형",INDEX(몬스터계수[[#Data],[행운계수]],MATCH(E65, 몬스터계수[[#Data],[타입]],0),1)*C65,0))))</f>
        <v>155.75</v>
      </c>
      <c r="K65" s="34">
        <f>ROUND(
(($F65)*참고!$D$5)
+(($G65)*참고!$D$6)
+(($H65)*참고!$D$7)
+(($I65)*참고!$D$8)
+(($J65))*참고!$D$9,0)</f>
        <v>24219</v>
      </c>
      <c r="L65" s="34">
        <f>ROUND(
(($F65)*참고!$E$5)
+(($G65)*참고!$E$6)
+(($H65)*참고!$E$7)
+(($I65)*참고!$E$8)
+(($J65))*참고!$E$9,0)</f>
        <v>13862</v>
      </c>
      <c r="M65" s="34">
        <f>ROUND(
(($F65)*참고!$F$5)
+(($G65)*참고!$F$6)
+(($H65)*참고!$F$7)
+(($I65)*참고!$F$8)
+(($J65))*참고!$F$9,0)</f>
        <v>3894</v>
      </c>
      <c r="N65" s="34">
        <f>ROUND(
(($F65)*참고!$G$5)
+(($G65)*참고!$G$6)
+(($H65)*참고!$G$7)
+(($I65)*참고!$G$8)
+(($J65))*참고!$G$9,0)</f>
        <v>109</v>
      </c>
      <c r="O65" s="34">
        <f>ROUND(
(($F65)*참고!$H$5)
+(($G65)*참고!$H$6)
+(($H65)*참고!$H$7)
+(($I65)*참고!$H$8)
+(($J65))*참고!$H$9,0)</f>
        <v>2570</v>
      </c>
      <c r="P65" s="34">
        <f>ROUND(
(($F65)*참고!$I$5)
+(($G65)*참고!$I$6)
+(($H65)*참고!$I$7)
+(($I65)*참고!$I$8)
+(($J65))*참고!$I$9,0)</f>
        <v>4517</v>
      </c>
      <c r="Q65" s="34">
        <f>ROUND(
(($F65)*참고!$J$5)
+(($G65)*참고!$J$6)
+(($H65)*참고!$J$7)
+(($I65)*참고!$J$8)
+(($J65))*참고!$J$9,0)</f>
        <v>3115</v>
      </c>
      <c r="R65" s="34">
        <f>IF(E65="공격형",(INDEX(몬스터계수[[#Data],[속도]],MATCH(E65, 몬스터계수[[#Data],[타입]],0),1)*속도핸들러_곱계수)*(INT(몬스터밸런스[[#This Row],[Lv]]/속도핸들러_합계수+1)),
IF(E65="방어형",(INDEX(몬스터계수[[#Data],[속도]],MATCH(E65, 몬스터계수[[#Data],[타입]],0),1)*속도핸들러_곱계수)*(INT(몬스터밸런스[[#This Row],[Lv]]/속도핸들러_합계수+1)),
IF(E65="회피형",(INDEX(몬스터계수[[#Data],[속도]],MATCH(E65, 몬스터계수[[#Data],[타입]],0),1)*속도핸들러_곱계수)*(INT(몬스터밸런스[[#This Row],[Lv]]/속도핸들러_합계수+1)),
IF(E65="기본형",(INDEX(몬스터계수[[#Data],[속도]],MATCH(E65, 몬스터계수[[#Data],[타입]],0),1)*속도핸들러_곱계수)*(INT(몬스터밸런스[[#This Row],[Lv]]/속도핸들러_합계수+1)),0))))</f>
        <v>0</v>
      </c>
      <c r="S65">
        <f t="shared" si="0"/>
        <v>831535</v>
      </c>
      <c r="U65">
        <v>3</v>
      </c>
      <c r="V65">
        <v>63</v>
      </c>
      <c r="W65">
        <f>$Z$1*몬스터밸런스9[[#This Row],[단계]]</f>
        <v>15</v>
      </c>
      <c r="X65" t="s">
        <v>61</v>
      </c>
      <c r="AE65" s="34"/>
      <c r="AF65" s="34"/>
      <c r="AG65" s="34">
        <f>몬스터밸런스[[#This Row],[Defense]]</f>
        <v>3894</v>
      </c>
      <c r="AH65" s="34"/>
      <c r="AI65" s="34"/>
      <c r="AJ65" s="34"/>
      <c r="AK65" s="34"/>
      <c r="AL65">
        <f t="shared" si="3"/>
        <v>62304</v>
      </c>
    </row>
    <row r="66" spans="1:38">
      <c r="A66">
        <v>630</v>
      </c>
      <c r="B66">
        <v>64</v>
      </c>
      <c r="C66">
        <f>$F$1*몬스터밸런스[[#This Row],[Lv]]+15</f>
        <v>3165</v>
      </c>
      <c r="E66" t="s">
        <v>479</v>
      </c>
      <c r="F66">
        <f>IF(E66="공격형",INDEX(몬스터계수[[#Data],[생명계수]],MATCH(E66,몬스터계수[[#Data],[타입]],0),1)*C66,
IF(E66="방어형",INDEX(몬스터계수[[#Data],[생명계수]],MATCH(E66,몬스터계수[[#Data],[타입]],0),1)*C66,
IF(E66="회피형",INDEX(몬스터계수[[#Data],[생명계수]],MATCH(E66,몬스터계수[[#Data],[타입]],0),1)*C66,
IF(E66="체력형",INDEX(몬스터계수[[#Data],[생명계수]],MATCH(E66,몬스터계수[[#Data],[타입]],0),1)*C66,0))))*IF(몬스터밸런스[[#This Row],[보스]]=TRUE,2,1)</f>
        <v>1582.5</v>
      </c>
      <c r="G66">
        <f>IF(E66="공격형",INDEX(몬스터계수[[#Data],[힘계수]],MATCH(E66, 몬스터계수[[#Data],[타입]],0),1)*C66,
IF(E66="방어형",INDEX(몬스터계수[[#Data],[힘계수]],MATCH(E66, 몬스터계수[[#Data],[타입]],0),1)*C66,
IF(E66="회피형",INDEX(몬스터계수[[#Data],[힘계수]],MATCH(E66, 몬스터계수[[#Data],[타입]],0),1)*C66,
IF(E66="체력형",INDEX(몬스터계수[[#Data],[힘계수]],MATCH(E66, 몬스터계수[[#Data],[타입]],0),1)*C66,0))))</f>
        <v>791.25</v>
      </c>
      <c r="H66">
        <f>IF(E66="공격형",INDEX(몬스터계수[[#Data],[근력게수]],MATCH(E66,몬스터계수[[#Data],[타입]],0),1)*C66,
IF(E66="방어형",INDEX(몬스터계수[[#Data],[근력게수]],MATCH(E66,몬스터계수[[#Data],[타입]],0),1)*C66,
IF(E66="회피형",INDEX(몬스터계수[[#Data],[근력게수]],MATCH(E66,몬스터계수[[#Data],[타입]],0),1)*C66,
IF(E66="체력형",INDEX(몬스터계수[[#Data],[근력게수]],MATCH(E66,몬스터계수[[#Data],[타입]],0),1)*C66,0))))</f>
        <v>158.25</v>
      </c>
      <c r="I66">
        <f>IF(E66="공격형",INDEX(몬스터계수[[#Data],[숙련도계수]],MATCH(E66,몬스터계수[[#Data],[타입]],0),1)*C66,
IF(E66="방어형",INDEX(몬스터계수[[#Data],[숙련도계수]],MATCH(E66,몬스터계수[[#Data],[타입]],0),1)*C66,
IF(E66="회피형",INDEX(몬스터계수[[#Data],[숙련도계수]],MATCH(E66,몬스터계수[[#Data],[타입]],0),1)*C66,
IF(E66="체력형",INDEX(몬스터계수[[#Data],[숙련도계수]],MATCH(E66,몬스터계수[[#Data],[타입]],0),1)*C66,0))))</f>
        <v>474.75</v>
      </c>
      <c r="J66">
        <f>IF(E66="공격형",INDEX(몬스터계수[[#Data],[행운계수]],MATCH(E66, 몬스터계수[[#Data],[타입]],0),1)*C66,
IF(E66="방어형",INDEX(몬스터계수[[#Data],[행운계수]],MATCH(E66, 몬스터계수[[#Data],[타입]],0),1)*C66,
IF(E66="회피형",INDEX(몬스터계수[[#Data],[행운계수]],MATCH(E66, 몬스터계수[[#Data],[타입]],0),1)*C66,
IF(E66="체력형",INDEX(몬스터계수[[#Data],[행운계수]],MATCH(E66, 몬스터계수[[#Data],[타입]],0),1)*C66,0))))</f>
        <v>158.25</v>
      </c>
      <c r="K66" s="34">
        <f>ROUND(
(($F66)*참고!$D$5)
+(($G66)*참고!$D$6)
+(($H66)*참고!$D$7)
+(($I66)*참고!$D$8)
+(($J66))*참고!$D$9,0)</f>
        <v>24608</v>
      </c>
      <c r="L66" s="34">
        <f>ROUND(
(($F66)*참고!$E$5)
+(($G66)*참고!$E$6)
+(($H66)*참고!$E$7)
+(($I66)*참고!$E$8)
+(($J66))*참고!$E$9,0)</f>
        <v>14084</v>
      </c>
      <c r="M66" s="34">
        <f>ROUND(
(($F66)*참고!$F$5)
+(($G66)*참고!$F$6)
+(($H66)*참고!$F$7)
+(($I66)*참고!$F$8)
+(($J66))*참고!$F$9,0)</f>
        <v>3956</v>
      </c>
      <c r="N66" s="34">
        <f>ROUND(
(($F66)*참고!$G$5)
+(($G66)*참고!$G$6)
+(($H66)*참고!$G$7)
+(($I66)*참고!$G$8)
+(($J66))*참고!$G$9,0)</f>
        <v>111</v>
      </c>
      <c r="O66" s="34">
        <f>ROUND(
(($F66)*참고!$H$5)
+(($G66)*참고!$H$6)
+(($H66)*참고!$H$7)
+(($I66)*참고!$H$8)
+(($J66))*참고!$H$9,0)</f>
        <v>2611</v>
      </c>
      <c r="P66" s="34">
        <f>ROUND(
(($F66)*참고!$I$5)
+(($G66)*참고!$I$6)
+(($H66)*참고!$I$7)
+(($I66)*참고!$I$8)
+(($J66))*참고!$I$9,0)</f>
        <v>4589</v>
      </c>
      <c r="Q66" s="34">
        <f>ROUND(
(($F66)*참고!$J$5)
+(($G66)*참고!$J$6)
+(($H66)*참고!$J$7)
+(($I66)*참고!$J$8)
+(($J66))*참고!$J$9,0)</f>
        <v>3165</v>
      </c>
      <c r="R66" s="34">
        <f>IF(E66="공격형",(INDEX(몬스터계수[[#Data],[속도]],MATCH(E66, 몬스터계수[[#Data],[타입]],0),1)*속도핸들러_곱계수)*(INT(몬스터밸런스[[#This Row],[Lv]]/속도핸들러_합계수+1)),
IF(E66="방어형",(INDEX(몬스터계수[[#Data],[속도]],MATCH(E66, 몬스터계수[[#Data],[타입]],0),1)*속도핸들러_곱계수)*(INT(몬스터밸런스[[#This Row],[Lv]]/속도핸들러_합계수+1)),
IF(E66="회피형",(INDEX(몬스터계수[[#Data],[속도]],MATCH(E66, 몬스터계수[[#Data],[타입]],0),1)*속도핸들러_곱계수)*(INT(몬스터밸런스[[#This Row],[Lv]]/속도핸들러_합계수+1)),
IF(E66="기본형",(INDEX(몬스터계수[[#Data],[속도]],MATCH(E66, 몬스터계수[[#Data],[타입]],0),1)*속도핸들러_곱계수)*(INT(몬스터밸런스[[#This Row],[Lv]]/속도핸들러_합계수+1)),0))))</f>
        <v>0</v>
      </c>
      <c r="S66">
        <f t="shared" si="0"/>
        <v>844864</v>
      </c>
      <c r="U66">
        <v>3</v>
      </c>
      <c r="V66">
        <v>64</v>
      </c>
      <c r="W66">
        <f>$Z$1*몬스터밸런스9[[#This Row],[단계]]</f>
        <v>15</v>
      </c>
      <c r="X66" t="s">
        <v>61</v>
      </c>
      <c r="AE66" s="34"/>
      <c r="AF66" s="34"/>
      <c r="AG66" s="34">
        <f>몬스터밸런스[[#This Row],[Defense]]</f>
        <v>3956</v>
      </c>
      <c r="AH66" s="34"/>
      <c r="AI66" s="34"/>
      <c r="AJ66" s="34"/>
      <c r="AK66" s="34"/>
      <c r="AL66">
        <f t="shared" si="3"/>
        <v>63296</v>
      </c>
    </row>
    <row r="67" spans="1:38">
      <c r="A67">
        <v>640</v>
      </c>
      <c r="B67">
        <v>65</v>
      </c>
      <c r="C67">
        <f>$F$1*몬스터밸런스[[#This Row],[Lv]]+15</f>
        <v>3215</v>
      </c>
      <c r="E67" t="s">
        <v>479</v>
      </c>
      <c r="F67">
        <f>IF(E67="공격형",INDEX(몬스터계수[[#Data],[생명계수]],MATCH(E67,몬스터계수[[#Data],[타입]],0),1)*C67,
IF(E67="방어형",INDEX(몬스터계수[[#Data],[생명계수]],MATCH(E67,몬스터계수[[#Data],[타입]],0),1)*C67,
IF(E67="회피형",INDEX(몬스터계수[[#Data],[생명계수]],MATCH(E67,몬스터계수[[#Data],[타입]],0),1)*C67,
IF(E67="체력형",INDEX(몬스터계수[[#Data],[생명계수]],MATCH(E67,몬스터계수[[#Data],[타입]],0),1)*C67,0))))*IF(몬스터밸런스[[#This Row],[보스]]=TRUE,2,1)</f>
        <v>1607.5</v>
      </c>
      <c r="G67">
        <f>IF(E67="공격형",INDEX(몬스터계수[[#Data],[힘계수]],MATCH(E67, 몬스터계수[[#Data],[타입]],0),1)*C67,
IF(E67="방어형",INDEX(몬스터계수[[#Data],[힘계수]],MATCH(E67, 몬스터계수[[#Data],[타입]],0),1)*C67,
IF(E67="회피형",INDEX(몬스터계수[[#Data],[힘계수]],MATCH(E67, 몬스터계수[[#Data],[타입]],0),1)*C67,
IF(E67="체력형",INDEX(몬스터계수[[#Data],[힘계수]],MATCH(E67, 몬스터계수[[#Data],[타입]],0),1)*C67,0))))</f>
        <v>803.75</v>
      </c>
      <c r="H67">
        <f>IF(E67="공격형",INDEX(몬스터계수[[#Data],[근력게수]],MATCH(E67,몬스터계수[[#Data],[타입]],0),1)*C67,
IF(E67="방어형",INDEX(몬스터계수[[#Data],[근력게수]],MATCH(E67,몬스터계수[[#Data],[타입]],0),1)*C67,
IF(E67="회피형",INDEX(몬스터계수[[#Data],[근력게수]],MATCH(E67,몬스터계수[[#Data],[타입]],0),1)*C67,
IF(E67="체력형",INDEX(몬스터계수[[#Data],[근력게수]],MATCH(E67,몬스터계수[[#Data],[타입]],0),1)*C67,0))))</f>
        <v>160.75</v>
      </c>
      <c r="I67">
        <f>IF(E67="공격형",INDEX(몬스터계수[[#Data],[숙련도계수]],MATCH(E67,몬스터계수[[#Data],[타입]],0),1)*C67,
IF(E67="방어형",INDEX(몬스터계수[[#Data],[숙련도계수]],MATCH(E67,몬스터계수[[#Data],[타입]],0),1)*C67,
IF(E67="회피형",INDEX(몬스터계수[[#Data],[숙련도계수]],MATCH(E67,몬스터계수[[#Data],[타입]],0),1)*C67,
IF(E67="체력형",INDEX(몬스터계수[[#Data],[숙련도계수]],MATCH(E67,몬스터계수[[#Data],[타입]],0),1)*C67,0))))</f>
        <v>482.25</v>
      </c>
      <c r="J67">
        <f>IF(E67="공격형",INDEX(몬스터계수[[#Data],[행운계수]],MATCH(E67, 몬스터계수[[#Data],[타입]],0),1)*C67,
IF(E67="방어형",INDEX(몬스터계수[[#Data],[행운계수]],MATCH(E67, 몬스터계수[[#Data],[타입]],0),1)*C67,
IF(E67="회피형",INDEX(몬스터계수[[#Data],[행운계수]],MATCH(E67, 몬스터계수[[#Data],[타입]],0),1)*C67,
IF(E67="체력형",INDEX(몬스터계수[[#Data],[행운계수]],MATCH(E67, 몬스터계수[[#Data],[타입]],0),1)*C67,0))))</f>
        <v>160.75</v>
      </c>
      <c r="K67" s="34">
        <f>ROUND(
(($F67)*참고!$D$5)
+(($G67)*참고!$D$6)
+(($H67)*참고!$D$7)
+(($I67)*참고!$D$8)
+(($J67))*참고!$D$9,0)</f>
        <v>24997</v>
      </c>
      <c r="L67" s="34">
        <f>ROUND(
(($F67)*참고!$E$5)
+(($G67)*참고!$E$6)
+(($H67)*참고!$E$7)
+(($I67)*참고!$E$8)
+(($J67))*참고!$E$9,0)</f>
        <v>14307</v>
      </c>
      <c r="M67" s="34">
        <f>ROUND(
(($F67)*참고!$F$5)
+(($G67)*참고!$F$6)
+(($H67)*참고!$F$7)
+(($I67)*참고!$F$8)
+(($J67))*참고!$F$9,0)</f>
        <v>4019</v>
      </c>
      <c r="N67" s="34">
        <f>ROUND(
(($F67)*참고!$G$5)
+(($G67)*참고!$G$6)
+(($H67)*참고!$G$7)
+(($I67)*참고!$G$8)
+(($J67))*참고!$G$9,0)</f>
        <v>113</v>
      </c>
      <c r="O67" s="34">
        <f>ROUND(
(($F67)*참고!$H$5)
+(($G67)*참고!$H$6)
+(($H67)*참고!$H$7)
+(($I67)*참고!$H$8)
+(($J67))*참고!$H$9,0)</f>
        <v>2652</v>
      </c>
      <c r="P67" s="34">
        <f>ROUND(
(($F67)*참고!$I$5)
+(($G67)*참고!$I$6)
+(($H67)*참고!$I$7)
+(($I67)*참고!$I$8)
+(($J67))*참고!$I$9,0)</f>
        <v>4662</v>
      </c>
      <c r="Q67" s="34">
        <f>ROUND(
(($F67)*참고!$J$5)
+(($G67)*참고!$J$6)
+(($H67)*참고!$J$7)
+(($I67)*참고!$J$8)
+(($J67))*참고!$J$9,0)</f>
        <v>3215</v>
      </c>
      <c r="R67" s="34">
        <f>IF(E67="공격형",(INDEX(몬스터계수[[#Data],[속도]],MATCH(E67, 몬스터계수[[#Data],[타입]],0),1)*속도핸들러_곱계수)*(INT(몬스터밸런스[[#This Row],[Lv]]/속도핸들러_합계수+1)),
IF(E67="방어형",(INDEX(몬스터계수[[#Data],[속도]],MATCH(E67, 몬스터계수[[#Data],[타입]],0),1)*속도핸들러_곱계수)*(INT(몬스터밸런스[[#This Row],[Lv]]/속도핸들러_합계수+1)),
IF(E67="회피형",(INDEX(몬스터계수[[#Data],[속도]],MATCH(E67, 몬스터계수[[#Data],[타입]],0),1)*속도핸들러_곱계수)*(INT(몬스터밸런스[[#This Row],[Lv]]/속도핸들러_합계수+1)),
IF(E67="기본형",(INDEX(몬스터계수[[#Data],[속도]],MATCH(E67, 몬스터계수[[#Data],[타입]],0),1)*속도핸들러_곱계수)*(INT(몬스터밸런스[[#This Row],[Lv]]/속도핸들러_합계수+1)),0))))</f>
        <v>0</v>
      </c>
      <c r="S67">
        <f t="shared" ref="S67:S130" si="4">(K67*HP계수) + (L67*attack계수) + (M67*Defense계수) + (N67*CriticalRate계수) + (O67*CriticalDamage계수) + (P67*Accuracy계수) + (Q67*DodgeRate계수)</f>
        <v>858236</v>
      </c>
      <c r="U67">
        <v>3</v>
      </c>
      <c r="V67">
        <v>65</v>
      </c>
      <c r="W67">
        <f>$Z$1*몬스터밸런스9[[#This Row],[단계]]</f>
        <v>15</v>
      </c>
      <c r="X67" t="s">
        <v>61</v>
      </c>
      <c r="AE67" s="34"/>
      <c r="AF67" s="34"/>
      <c r="AG67" s="34">
        <f>몬스터밸런스[[#This Row],[Defense]]</f>
        <v>4019</v>
      </c>
      <c r="AH67" s="34"/>
      <c r="AI67" s="34"/>
      <c r="AJ67" s="34"/>
      <c r="AK67" s="34"/>
      <c r="AL67">
        <f t="shared" si="3"/>
        <v>64304</v>
      </c>
    </row>
    <row r="68" spans="1:38">
      <c r="A68">
        <v>650</v>
      </c>
      <c r="B68">
        <v>66</v>
      </c>
      <c r="C68">
        <f>$F$1*몬스터밸런스[[#This Row],[Lv]]+15</f>
        <v>3265</v>
      </c>
      <c r="E68" t="s">
        <v>479</v>
      </c>
      <c r="F68">
        <f>IF(E68="공격형",INDEX(몬스터계수[[#Data],[생명계수]],MATCH(E68,몬스터계수[[#Data],[타입]],0),1)*C68,
IF(E68="방어형",INDEX(몬스터계수[[#Data],[생명계수]],MATCH(E68,몬스터계수[[#Data],[타입]],0),1)*C68,
IF(E68="회피형",INDEX(몬스터계수[[#Data],[생명계수]],MATCH(E68,몬스터계수[[#Data],[타입]],0),1)*C68,
IF(E68="체력형",INDEX(몬스터계수[[#Data],[생명계수]],MATCH(E68,몬스터계수[[#Data],[타입]],0),1)*C68,0))))*IF(몬스터밸런스[[#This Row],[보스]]=TRUE,2,1)</f>
        <v>1632.5</v>
      </c>
      <c r="G68">
        <f>IF(E68="공격형",INDEX(몬스터계수[[#Data],[힘계수]],MATCH(E68, 몬스터계수[[#Data],[타입]],0),1)*C68,
IF(E68="방어형",INDEX(몬스터계수[[#Data],[힘계수]],MATCH(E68, 몬스터계수[[#Data],[타입]],0),1)*C68,
IF(E68="회피형",INDEX(몬스터계수[[#Data],[힘계수]],MATCH(E68, 몬스터계수[[#Data],[타입]],0),1)*C68,
IF(E68="체력형",INDEX(몬스터계수[[#Data],[힘계수]],MATCH(E68, 몬스터계수[[#Data],[타입]],0),1)*C68,0))))</f>
        <v>816.25</v>
      </c>
      <c r="H68">
        <f>IF(E68="공격형",INDEX(몬스터계수[[#Data],[근력게수]],MATCH(E68,몬스터계수[[#Data],[타입]],0),1)*C68,
IF(E68="방어형",INDEX(몬스터계수[[#Data],[근력게수]],MATCH(E68,몬스터계수[[#Data],[타입]],0),1)*C68,
IF(E68="회피형",INDEX(몬스터계수[[#Data],[근력게수]],MATCH(E68,몬스터계수[[#Data],[타입]],0),1)*C68,
IF(E68="체력형",INDEX(몬스터계수[[#Data],[근력게수]],MATCH(E68,몬스터계수[[#Data],[타입]],0),1)*C68,0))))</f>
        <v>163.25</v>
      </c>
      <c r="I68">
        <f>IF(E68="공격형",INDEX(몬스터계수[[#Data],[숙련도계수]],MATCH(E68,몬스터계수[[#Data],[타입]],0),1)*C68,
IF(E68="방어형",INDEX(몬스터계수[[#Data],[숙련도계수]],MATCH(E68,몬스터계수[[#Data],[타입]],0),1)*C68,
IF(E68="회피형",INDEX(몬스터계수[[#Data],[숙련도계수]],MATCH(E68,몬스터계수[[#Data],[타입]],0),1)*C68,
IF(E68="체력형",INDEX(몬스터계수[[#Data],[숙련도계수]],MATCH(E68,몬스터계수[[#Data],[타입]],0),1)*C68,0))))</f>
        <v>489.75</v>
      </c>
      <c r="J68">
        <f>IF(E68="공격형",INDEX(몬스터계수[[#Data],[행운계수]],MATCH(E68, 몬스터계수[[#Data],[타입]],0),1)*C68,
IF(E68="방어형",INDEX(몬스터계수[[#Data],[행운계수]],MATCH(E68, 몬스터계수[[#Data],[타입]],0),1)*C68,
IF(E68="회피형",INDEX(몬스터계수[[#Data],[행운계수]],MATCH(E68, 몬스터계수[[#Data],[타입]],0),1)*C68,
IF(E68="체력형",INDEX(몬스터계수[[#Data],[행운계수]],MATCH(E68, 몬스터계수[[#Data],[타입]],0),1)*C68,0))))</f>
        <v>163.25</v>
      </c>
      <c r="K68" s="34">
        <f>ROUND(
(($F68)*참고!$D$5)
+(($G68)*참고!$D$6)
+(($H68)*참고!$D$7)
+(($I68)*참고!$D$8)
+(($J68))*참고!$D$9,0)</f>
        <v>25385</v>
      </c>
      <c r="L68" s="34">
        <f>ROUND(
(($F68)*참고!$E$5)
+(($G68)*참고!$E$6)
+(($H68)*참고!$E$7)
+(($I68)*참고!$E$8)
+(($J68))*참고!$E$9,0)</f>
        <v>14529</v>
      </c>
      <c r="M68" s="34">
        <f>ROUND(
(($F68)*참고!$F$5)
+(($G68)*참고!$F$6)
+(($H68)*참고!$F$7)
+(($I68)*참고!$F$8)
+(($J68))*참고!$F$9,0)</f>
        <v>4081</v>
      </c>
      <c r="N68" s="34">
        <f>ROUND(
(($F68)*참고!$G$5)
+(($G68)*참고!$G$6)
+(($H68)*참고!$G$7)
+(($I68)*참고!$G$8)
+(($J68))*참고!$G$9,0)</f>
        <v>114</v>
      </c>
      <c r="O68" s="34">
        <f>ROUND(
(($F68)*참고!$H$5)
+(($G68)*참고!$H$6)
+(($H68)*참고!$H$7)
+(($I68)*참고!$H$8)
+(($J68))*참고!$H$9,0)</f>
        <v>2694</v>
      </c>
      <c r="P68" s="34">
        <f>ROUND(
(($F68)*참고!$I$5)
+(($G68)*참고!$I$6)
+(($H68)*참고!$I$7)
+(($I68)*참고!$I$8)
+(($J68))*참고!$I$9,0)</f>
        <v>4734</v>
      </c>
      <c r="Q68" s="34">
        <f>ROUND(
(($F68)*참고!$J$5)
+(($G68)*참고!$J$6)
+(($H68)*참고!$J$7)
+(($I68)*참고!$J$8)
+(($J68))*참고!$J$9,0)</f>
        <v>3265</v>
      </c>
      <c r="R68" s="34">
        <f>IF(E68="공격형",(INDEX(몬스터계수[[#Data],[속도]],MATCH(E68, 몬스터계수[[#Data],[타입]],0),1)*속도핸들러_곱계수)*(INT(몬스터밸런스[[#This Row],[Lv]]/속도핸들러_합계수+1)),
IF(E68="방어형",(INDEX(몬스터계수[[#Data],[속도]],MATCH(E68, 몬스터계수[[#Data],[타입]],0),1)*속도핸들러_곱계수)*(INT(몬스터밸런스[[#This Row],[Lv]]/속도핸들러_합계수+1)),
IF(E68="회피형",(INDEX(몬스터계수[[#Data],[속도]],MATCH(E68, 몬스터계수[[#Data],[타입]],0),1)*속도핸들러_곱계수)*(INT(몬스터밸런스[[#This Row],[Lv]]/속도핸들러_합계수+1)),
IF(E68="기본형",(INDEX(몬스터계수[[#Data],[속도]],MATCH(E68, 몬스터계수[[#Data],[타입]],0),1)*속도핸들러_곱계수)*(INT(몬스터밸런스[[#This Row],[Lv]]/속도핸들러_합계수+1)),0))))</f>
        <v>0</v>
      </c>
      <c r="S68">
        <f t="shared" si="4"/>
        <v>871551.5</v>
      </c>
      <c r="U68">
        <v>4</v>
      </c>
      <c r="V68">
        <v>66</v>
      </c>
      <c r="W68">
        <f>$Z$1*몬스터밸런스9[[#This Row],[단계]]</f>
        <v>20</v>
      </c>
      <c r="X68" t="s">
        <v>61</v>
      </c>
      <c r="AE68" s="34"/>
      <c r="AF68" s="34"/>
      <c r="AG68" s="34">
        <f>몬스터밸런스[[#This Row],[Defense]]</f>
        <v>4081</v>
      </c>
      <c r="AH68" s="34"/>
      <c r="AI68" s="34"/>
      <c r="AJ68" s="34"/>
      <c r="AK68" s="34"/>
      <c r="AL68">
        <f t="shared" si="3"/>
        <v>65296</v>
      </c>
    </row>
    <row r="69" spans="1:38">
      <c r="A69">
        <v>660</v>
      </c>
      <c r="B69">
        <v>67</v>
      </c>
      <c r="C69">
        <f>$F$1*몬스터밸런스[[#This Row],[Lv]]+15</f>
        <v>3315</v>
      </c>
      <c r="E69" t="s">
        <v>479</v>
      </c>
      <c r="F69">
        <f>IF(E69="공격형",INDEX(몬스터계수[[#Data],[생명계수]],MATCH(E69,몬스터계수[[#Data],[타입]],0),1)*C69,
IF(E69="방어형",INDEX(몬스터계수[[#Data],[생명계수]],MATCH(E69,몬스터계수[[#Data],[타입]],0),1)*C69,
IF(E69="회피형",INDEX(몬스터계수[[#Data],[생명계수]],MATCH(E69,몬스터계수[[#Data],[타입]],0),1)*C69,
IF(E69="체력형",INDEX(몬스터계수[[#Data],[생명계수]],MATCH(E69,몬스터계수[[#Data],[타입]],0),1)*C69,0))))*IF(몬스터밸런스[[#This Row],[보스]]=TRUE,2,1)</f>
        <v>1657.5</v>
      </c>
      <c r="G69">
        <f>IF(E69="공격형",INDEX(몬스터계수[[#Data],[힘계수]],MATCH(E69, 몬스터계수[[#Data],[타입]],0),1)*C69,
IF(E69="방어형",INDEX(몬스터계수[[#Data],[힘계수]],MATCH(E69, 몬스터계수[[#Data],[타입]],0),1)*C69,
IF(E69="회피형",INDEX(몬스터계수[[#Data],[힘계수]],MATCH(E69, 몬스터계수[[#Data],[타입]],0),1)*C69,
IF(E69="체력형",INDEX(몬스터계수[[#Data],[힘계수]],MATCH(E69, 몬스터계수[[#Data],[타입]],0),1)*C69,0))))</f>
        <v>828.75</v>
      </c>
      <c r="H69">
        <f>IF(E69="공격형",INDEX(몬스터계수[[#Data],[근력게수]],MATCH(E69,몬스터계수[[#Data],[타입]],0),1)*C69,
IF(E69="방어형",INDEX(몬스터계수[[#Data],[근력게수]],MATCH(E69,몬스터계수[[#Data],[타입]],0),1)*C69,
IF(E69="회피형",INDEX(몬스터계수[[#Data],[근력게수]],MATCH(E69,몬스터계수[[#Data],[타입]],0),1)*C69,
IF(E69="체력형",INDEX(몬스터계수[[#Data],[근력게수]],MATCH(E69,몬스터계수[[#Data],[타입]],0),1)*C69,0))))</f>
        <v>165.75</v>
      </c>
      <c r="I69">
        <f>IF(E69="공격형",INDEX(몬스터계수[[#Data],[숙련도계수]],MATCH(E69,몬스터계수[[#Data],[타입]],0),1)*C69,
IF(E69="방어형",INDEX(몬스터계수[[#Data],[숙련도계수]],MATCH(E69,몬스터계수[[#Data],[타입]],0),1)*C69,
IF(E69="회피형",INDEX(몬스터계수[[#Data],[숙련도계수]],MATCH(E69,몬스터계수[[#Data],[타입]],0),1)*C69,
IF(E69="체력형",INDEX(몬스터계수[[#Data],[숙련도계수]],MATCH(E69,몬스터계수[[#Data],[타입]],0),1)*C69,0))))</f>
        <v>497.25</v>
      </c>
      <c r="J69">
        <f>IF(E69="공격형",INDEX(몬스터계수[[#Data],[행운계수]],MATCH(E69, 몬스터계수[[#Data],[타입]],0),1)*C69,
IF(E69="방어형",INDEX(몬스터계수[[#Data],[행운계수]],MATCH(E69, 몬스터계수[[#Data],[타입]],0),1)*C69,
IF(E69="회피형",INDEX(몬스터계수[[#Data],[행운계수]],MATCH(E69, 몬스터계수[[#Data],[타입]],0),1)*C69,
IF(E69="체력형",INDEX(몬스터계수[[#Data],[행운계수]],MATCH(E69, 몬스터계수[[#Data],[타입]],0),1)*C69,0))))</f>
        <v>165.75</v>
      </c>
      <c r="K69" s="34">
        <f>ROUND(
(($F69)*참고!$D$5)
+(($G69)*참고!$D$6)
+(($H69)*참고!$D$7)
+(($I69)*참고!$D$8)
+(($J69))*참고!$D$9,0)</f>
        <v>25774</v>
      </c>
      <c r="L69" s="34">
        <f>ROUND(
(($F69)*참고!$E$5)
+(($G69)*참고!$E$6)
+(($H69)*참고!$E$7)
+(($I69)*참고!$E$8)
+(($J69))*참고!$E$9,0)</f>
        <v>14752</v>
      </c>
      <c r="M69" s="34">
        <f>ROUND(
(($F69)*참고!$F$5)
+(($G69)*참고!$F$6)
+(($H69)*참고!$F$7)
+(($I69)*참고!$F$8)
+(($J69))*참고!$F$9,0)</f>
        <v>4144</v>
      </c>
      <c r="N69" s="34">
        <f>ROUND(
(($F69)*참고!$G$5)
+(($G69)*참고!$G$6)
+(($H69)*참고!$G$7)
+(($I69)*참고!$G$8)
+(($J69))*참고!$G$9,0)</f>
        <v>116</v>
      </c>
      <c r="O69" s="34">
        <f>ROUND(
(($F69)*참고!$H$5)
+(($G69)*참고!$H$6)
+(($H69)*참고!$H$7)
+(($I69)*참고!$H$8)
+(($J69))*참고!$H$9,0)</f>
        <v>2735</v>
      </c>
      <c r="P69" s="34">
        <f>ROUND(
(($F69)*참고!$I$5)
+(($G69)*참고!$I$6)
+(($H69)*참고!$I$7)
+(($I69)*참고!$I$8)
+(($J69))*참고!$I$9,0)</f>
        <v>4807</v>
      </c>
      <c r="Q69" s="34">
        <f>ROUND(
(($F69)*참고!$J$5)
+(($G69)*참고!$J$6)
+(($H69)*참고!$J$7)
+(($I69)*참고!$J$8)
+(($J69))*참고!$J$9,0)</f>
        <v>3315</v>
      </c>
      <c r="R69" s="34">
        <f>IF(E69="공격형",(INDEX(몬스터계수[[#Data],[속도]],MATCH(E69, 몬스터계수[[#Data],[타입]],0),1)*속도핸들러_곱계수)*(INT(몬스터밸런스[[#This Row],[Lv]]/속도핸들러_합계수+1)),
IF(E69="방어형",(INDEX(몬스터계수[[#Data],[속도]],MATCH(E69, 몬스터계수[[#Data],[타입]],0),1)*속도핸들러_곱계수)*(INT(몬스터밸런스[[#This Row],[Lv]]/속도핸들러_합계수+1)),
IF(E69="회피형",(INDEX(몬스터계수[[#Data],[속도]],MATCH(E69, 몬스터계수[[#Data],[타입]],0),1)*속도핸들러_곱계수)*(INT(몬스터밸런스[[#This Row],[Lv]]/속도핸들러_합계수+1)),
IF(E69="기본형",(INDEX(몬스터계수[[#Data],[속도]],MATCH(E69, 몬스터계수[[#Data],[타입]],0),1)*속도핸들러_곱계수)*(INT(몬스터밸런스[[#This Row],[Lv]]/속도핸들러_합계수+1)),0))))</f>
        <v>0</v>
      </c>
      <c r="S69">
        <f t="shared" si="4"/>
        <v>884923.5</v>
      </c>
      <c r="U69">
        <v>4</v>
      </c>
      <c r="V69">
        <v>67</v>
      </c>
      <c r="W69">
        <f>$Z$1*몬스터밸런스9[[#This Row],[단계]]</f>
        <v>20</v>
      </c>
      <c r="X69" t="s">
        <v>61</v>
      </c>
      <c r="AE69" s="34"/>
      <c r="AF69" s="34"/>
      <c r="AG69" s="34">
        <f>몬스터밸런스[[#This Row],[Defense]]</f>
        <v>4144</v>
      </c>
      <c r="AH69" s="34"/>
      <c r="AI69" s="34"/>
      <c r="AJ69" s="34"/>
      <c r="AK69" s="34"/>
      <c r="AL69">
        <f t="shared" si="3"/>
        <v>66304</v>
      </c>
    </row>
    <row r="70" spans="1:38">
      <c r="A70">
        <v>670</v>
      </c>
      <c r="B70">
        <v>68</v>
      </c>
      <c r="C70">
        <f>$F$1*몬스터밸런스[[#This Row],[Lv]]+15</f>
        <v>3365</v>
      </c>
      <c r="E70" t="s">
        <v>479</v>
      </c>
      <c r="F70">
        <f>IF(E70="공격형",INDEX(몬스터계수[[#Data],[생명계수]],MATCH(E70,몬스터계수[[#Data],[타입]],0),1)*C70,
IF(E70="방어형",INDEX(몬스터계수[[#Data],[생명계수]],MATCH(E70,몬스터계수[[#Data],[타입]],0),1)*C70,
IF(E70="회피형",INDEX(몬스터계수[[#Data],[생명계수]],MATCH(E70,몬스터계수[[#Data],[타입]],0),1)*C70,
IF(E70="체력형",INDEX(몬스터계수[[#Data],[생명계수]],MATCH(E70,몬스터계수[[#Data],[타입]],0),1)*C70,0))))*IF(몬스터밸런스[[#This Row],[보스]]=TRUE,2,1)</f>
        <v>1682.5</v>
      </c>
      <c r="G70">
        <f>IF(E70="공격형",INDEX(몬스터계수[[#Data],[힘계수]],MATCH(E70, 몬스터계수[[#Data],[타입]],0),1)*C70,
IF(E70="방어형",INDEX(몬스터계수[[#Data],[힘계수]],MATCH(E70, 몬스터계수[[#Data],[타입]],0),1)*C70,
IF(E70="회피형",INDEX(몬스터계수[[#Data],[힘계수]],MATCH(E70, 몬스터계수[[#Data],[타입]],0),1)*C70,
IF(E70="체력형",INDEX(몬스터계수[[#Data],[힘계수]],MATCH(E70, 몬스터계수[[#Data],[타입]],0),1)*C70,0))))</f>
        <v>841.25</v>
      </c>
      <c r="H70">
        <f>IF(E70="공격형",INDEX(몬스터계수[[#Data],[근력게수]],MATCH(E70,몬스터계수[[#Data],[타입]],0),1)*C70,
IF(E70="방어형",INDEX(몬스터계수[[#Data],[근력게수]],MATCH(E70,몬스터계수[[#Data],[타입]],0),1)*C70,
IF(E70="회피형",INDEX(몬스터계수[[#Data],[근력게수]],MATCH(E70,몬스터계수[[#Data],[타입]],0),1)*C70,
IF(E70="체력형",INDEX(몬스터계수[[#Data],[근력게수]],MATCH(E70,몬스터계수[[#Data],[타입]],0),1)*C70,0))))</f>
        <v>168.25</v>
      </c>
      <c r="I70">
        <f>IF(E70="공격형",INDEX(몬스터계수[[#Data],[숙련도계수]],MATCH(E70,몬스터계수[[#Data],[타입]],0),1)*C70,
IF(E70="방어형",INDEX(몬스터계수[[#Data],[숙련도계수]],MATCH(E70,몬스터계수[[#Data],[타입]],0),1)*C70,
IF(E70="회피형",INDEX(몬스터계수[[#Data],[숙련도계수]],MATCH(E70,몬스터계수[[#Data],[타입]],0),1)*C70,
IF(E70="체력형",INDEX(몬스터계수[[#Data],[숙련도계수]],MATCH(E70,몬스터계수[[#Data],[타입]],0),1)*C70,0))))</f>
        <v>504.75</v>
      </c>
      <c r="J70">
        <f>IF(E70="공격형",INDEX(몬스터계수[[#Data],[행운계수]],MATCH(E70, 몬스터계수[[#Data],[타입]],0),1)*C70,
IF(E70="방어형",INDEX(몬스터계수[[#Data],[행운계수]],MATCH(E70, 몬스터계수[[#Data],[타입]],0),1)*C70,
IF(E70="회피형",INDEX(몬스터계수[[#Data],[행운계수]],MATCH(E70, 몬스터계수[[#Data],[타입]],0),1)*C70,
IF(E70="체력형",INDEX(몬스터계수[[#Data],[행운계수]],MATCH(E70, 몬스터계수[[#Data],[타입]],0),1)*C70,0))))</f>
        <v>168.25</v>
      </c>
      <c r="K70" s="34">
        <f>ROUND(
(($F70)*참고!$D$5)
+(($G70)*참고!$D$6)
+(($H70)*참고!$D$7)
+(($I70)*참고!$D$8)
+(($J70))*참고!$D$9,0)</f>
        <v>26163</v>
      </c>
      <c r="L70" s="34">
        <f>ROUND(
(($F70)*참고!$E$5)
+(($G70)*참고!$E$6)
+(($H70)*참고!$E$7)
+(($I70)*참고!$E$8)
+(($J70))*참고!$E$9,0)</f>
        <v>14974</v>
      </c>
      <c r="M70" s="34">
        <f>ROUND(
(($F70)*참고!$F$5)
+(($G70)*참고!$F$6)
+(($H70)*참고!$F$7)
+(($I70)*참고!$F$8)
+(($J70))*참고!$F$9,0)</f>
        <v>4206</v>
      </c>
      <c r="N70" s="34">
        <f>ROUND(
(($F70)*참고!$G$5)
+(($G70)*참고!$G$6)
+(($H70)*참고!$G$7)
+(($I70)*참고!$G$8)
+(($J70))*참고!$G$9,0)</f>
        <v>118</v>
      </c>
      <c r="O70" s="34">
        <f>ROUND(
(($F70)*참고!$H$5)
+(($G70)*참고!$H$6)
+(($H70)*참고!$H$7)
+(($I70)*참고!$H$8)
+(($J70))*참고!$H$9,0)</f>
        <v>2776</v>
      </c>
      <c r="P70" s="34">
        <f>ROUND(
(($F70)*참고!$I$5)
+(($G70)*참고!$I$6)
+(($H70)*참고!$I$7)
+(($I70)*참고!$I$8)
+(($J70))*참고!$I$9,0)</f>
        <v>4879</v>
      </c>
      <c r="Q70" s="34">
        <f>ROUND(
(($F70)*참고!$J$5)
+(($G70)*참고!$J$6)
+(($H70)*참고!$J$7)
+(($I70)*참고!$J$8)
+(($J70))*참고!$J$9,0)</f>
        <v>3365</v>
      </c>
      <c r="R70" s="34">
        <f>IF(E70="공격형",(INDEX(몬스터계수[[#Data],[속도]],MATCH(E70, 몬스터계수[[#Data],[타입]],0),1)*속도핸들러_곱계수)*(INT(몬스터밸런스[[#This Row],[Lv]]/속도핸들러_합계수+1)),
IF(E70="방어형",(INDEX(몬스터계수[[#Data],[속도]],MATCH(E70, 몬스터계수[[#Data],[타입]],0),1)*속도핸들러_곱계수)*(INT(몬스터밸런스[[#This Row],[Lv]]/속도핸들러_합계수+1)),
IF(E70="회피형",(INDEX(몬스터계수[[#Data],[속도]],MATCH(E70, 몬스터계수[[#Data],[타입]],0),1)*속도핸들러_곱계수)*(INT(몬스터밸런스[[#This Row],[Lv]]/속도핸들러_합계수+1)),
IF(E70="기본형",(INDEX(몬스터계수[[#Data],[속도]],MATCH(E70, 몬스터계수[[#Data],[타입]],0),1)*속도핸들러_곱계수)*(INT(몬스터밸런스[[#This Row],[Lv]]/속도핸들러_합계수+1)),0))))</f>
        <v>0</v>
      </c>
      <c r="S70">
        <f t="shared" si="4"/>
        <v>898252.5</v>
      </c>
      <c r="U70">
        <v>4</v>
      </c>
      <c r="V70">
        <v>68</v>
      </c>
      <c r="W70">
        <f>$Z$1*몬스터밸런스9[[#This Row],[단계]]</f>
        <v>20</v>
      </c>
      <c r="X70" t="s">
        <v>61</v>
      </c>
      <c r="AE70" s="34"/>
      <c r="AF70" s="34"/>
      <c r="AG70" s="34">
        <f>몬스터밸런스[[#This Row],[Defense]]</f>
        <v>4206</v>
      </c>
      <c r="AH70" s="34"/>
      <c r="AI70" s="34"/>
      <c r="AJ70" s="34"/>
      <c r="AK70" s="34"/>
      <c r="AL70">
        <f t="shared" si="3"/>
        <v>67296</v>
      </c>
    </row>
    <row r="71" spans="1:38">
      <c r="A71">
        <v>680</v>
      </c>
      <c r="B71">
        <v>69</v>
      </c>
      <c r="C71">
        <f>$F$1*몬스터밸런스[[#This Row],[Lv]]+15</f>
        <v>3415</v>
      </c>
      <c r="E71" t="s">
        <v>479</v>
      </c>
      <c r="F71">
        <f>IF(E71="공격형",INDEX(몬스터계수[[#Data],[생명계수]],MATCH(E71,몬스터계수[[#Data],[타입]],0),1)*C71,
IF(E71="방어형",INDEX(몬스터계수[[#Data],[생명계수]],MATCH(E71,몬스터계수[[#Data],[타입]],0),1)*C71,
IF(E71="회피형",INDEX(몬스터계수[[#Data],[생명계수]],MATCH(E71,몬스터계수[[#Data],[타입]],0),1)*C71,
IF(E71="체력형",INDEX(몬스터계수[[#Data],[생명계수]],MATCH(E71,몬스터계수[[#Data],[타입]],0),1)*C71,0))))*IF(몬스터밸런스[[#This Row],[보스]]=TRUE,2,1)</f>
        <v>1707.5</v>
      </c>
      <c r="G71">
        <f>IF(E71="공격형",INDEX(몬스터계수[[#Data],[힘계수]],MATCH(E71, 몬스터계수[[#Data],[타입]],0),1)*C71,
IF(E71="방어형",INDEX(몬스터계수[[#Data],[힘계수]],MATCH(E71, 몬스터계수[[#Data],[타입]],0),1)*C71,
IF(E71="회피형",INDEX(몬스터계수[[#Data],[힘계수]],MATCH(E71, 몬스터계수[[#Data],[타입]],0),1)*C71,
IF(E71="체력형",INDEX(몬스터계수[[#Data],[힘계수]],MATCH(E71, 몬스터계수[[#Data],[타입]],0),1)*C71,0))))</f>
        <v>853.75</v>
      </c>
      <c r="H71">
        <f>IF(E71="공격형",INDEX(몬스터계수[[#Data],[근력게수]],MATCH(E71,몬스터계수[[#Data],[타입]],0),1)*C71,
IF(E71="방어형",INDEX(몬스터계수[[#Data],[근력게수]],MATCH(E71,몬스터계수[[#Data],[타입]],0),1)*C71,
IF(E71="회피형",INDEX(몬스터계수[[#Data],[근력게수]],MATCH(E71,몬스터계수[[#Data],[타입]],0),1)*C71,
IF(E71="체력형",INDEX(몬스터계수[[#Data],[근력게수]],MATCH(E71,몬스터계수[[#Data],[타입]],0),1)*C71,0))))</f>
        <v>170.75</v>
      </c>
      <c r="I71">
        <f>IF(E71="공격형",INDEX(몬스터계수[[#Data],[숙련도계수]],MATCH(E71,몬스터계수[[#Data],[타입]],0),1)*C71,
IF(E71="방어형",INDEX(몬스터계수[[#Data],[숙련도계수]],MATCH(E71,몬스터계수[[#Data],[타입]],0),1)*C71,
IF(E71="회피형",INDEX(몬스터계수[[#Data],[숙련도계수]],MATCH(E71,몬스터계수[[#Data],[타입]],0),1)*C71,
IF(E71="체력형",INDEX(몬스터계수[[#Data],[숙련도계수]],MATCH(E71,몬스터계수[[#Data],[타입]],0),1)*C71,0))))</f>
        <v>512.25</v>
      </c>
      <c r="J71">
        <f>IF(E71="공격형",INDEX(몬스터계수[[#Data],[행운계수]],MATCH(E71, 몬스터계수[[#Data],[타입]],0),1)*C71,
IF(E71="방어형",INDEX(몬스터계수[[#Data],[행운계수]],MATCH(E71, 몬스터계수[[#Data],[타입]],0),1)*C71,
IF(E71="회피형",INDEX(몬스터계수[[#Data],[행운계수]],MATCH(E71, 몬스터계수[[#Data],[타입]],0),1)*C71,
IF(E71="체력형",INDEX(몬스터계수[[#Data],[행운계수]],MATCH(E71, 몬스터계수[[#Data],[타입]],0),1)*C71,0))))</f>
        <v>170.75</v>
      </c>
      <c r="K71" s="34">
        <f>ROUND(
(($F71)*참고!$D$5)
+(($G71)*참고!$D$6)
+(($H71)*참고!$D$7)
+(($I71)*참고!$D$8)
+(($J71))*참고!$D$9,0)</f>
        <v>26552</v>
      </c>
      <c r="L71" s="34">
        <f>ROUND(
(($F71)*참고!$E$5)
+(($G71)*참고!$E$6)
+(($H71)*참고!$E$7)
+(($I71)*참고!$E$8)
+(($J71))*참고!$E$9,0)</f>
        <v>15197</v>
      </c>
      <c r="M71" s="34">
        <f>ROUND(
(($F71)*참고!$F$5)
+(($G71)*참고!$F$6)
+(($H71)*참고!$F$7)
+(($I71)*참고!$F$8)
+(($J71))*참고!$F$9,0)</f>
        <v>4269</v>
      </c>
      <c r="N71" s="34">
        <f>ROUND(
(($F71)*참고!$G$5)
+(($G71)*참고!$G$6)
+(($H71)*참고!$G$7)
+(($I71)*참고!$G$8)
+(($J71))*참고!$G$9,0)</f>
        <v>120</v>
      </c>
      <c r="O71" s="34">
        <f>ROUND(
(($F71)*참고!$H$5)
+(($G71)*참고!$H$6)
+(($H71)*참고!$H$7)
+(($I71)*참고!$H$8)
+(($J71))*참고!$H$9,0)</f>
        <v>2817</v>
      </c>
      <c r="P71" s="34">
        <f>ROUND(
(($F71)*참고!$I$5)
+(($G71)*참고!$I$6)
+(($H71)*참고!$I$7)
+(($I71)*참고!$I$8)
+(($J71))*참고!$I$9,0)</f>
        <v>4952</v>
      </c>
      <c r="Q71" s="34">
        <f>ROUND(
(($F71)*참고!$J$5)
+(($G71)*참고!$J$6)
+(($H71)*참고!$J$7)
+(($I71)*참고!$J$8)
+(($J71))*참고!$J$9,0)</f>
        <v>3415</v>
      </c>
      <c r="R71" s="34">
        <f>IF(E71="공격형",(INDEX(몬스터계수[[#Data],[속도]],MATCH(E71, 몬스터계수[[#Data],[타입]],0),1)*속도핸들러_곱계수)*(INT(몬스터밸런스[[#This Row],[Lv]]/속도핸들러_합계수+1)),
IF(E71="방어형",(INDEX(몬스터계수[[#Data],[속도]],MATCH(E71, 몬스터계수[[#Data],[타입]],0),1)*속도핸들러_곱계수)*(INT(몬스터밸런스[[#This Row],[Lv]]/속도핸들러_합계수+1)),
IF(E71="회피형",(INDEX(몬스터계수[[#Data],[속도]],MATCH(E71, 몬스터계수[[#Data],[타입]],0),1)*속도핸들러_곱계수)*(INT(몬스터밸런스[[#This Row],[Lv]]/속도핸들러_합계수+1)),
IF(E71="기본형",(INDEX(몬스터계수[[#Data],[속도]],MATCH(E71, 몬스터계수[[#Data],[타입]],0),1)*속도핸들러_곱계수)*(INT(몬스터밸런스[[#This Row],[Lv]]/속도핸들러_합계수+1)),0))))</f>
        <v>0</v>
      </c>
      <c r="S71">
        <f t="shared" si="4"/>
        <v>911624.5</v>
      </c>
      <c r="U71">
        <v>4</v>
      </c>
      <c r="V71">
        <v>69</v>
      </c>
      <c r="W71">
        <f>$Z$1*몬스터밸런스9[[#This Row],[단계]]</f>
        <v>20</v>
      </c>
      <c r="X71" t="s">
        <v>61</v>
      </c>
      <c r="AE71" s="34"/>
      <c r="AF71" s="34"/>
      <c r="AG71" s="34">
        <f>몬스터밸런스[[#This Row],[Defense]]</f>
        <v>4269</v>
      </c>
      <c r="AH71" s="34"/>
      <c r="AI71" s="34"/>
      <c r="AJ71" s="34"/>
      <c r="AK71" s="34"/>
      <c r="AL71">
        <f t="shared" si="3"/>
        <v>68304</v>
      </c>
    </row>
    <row r="72" spans="1:38">
      <c r="A72">
        <v>690</v>
      </c>
      <c r="B72">
        <v>70</v>
      </c>
      <c r="C72">
        <f>$F$1*몬스터밸런스[[#This Row],[Lv]]+15</f>
        <v>3465</v>
      </c>
      <c r="E72" t="s">
        <v>479</v>
      </c>
      <c r="F72">
        <f>IF(E72="공격형",INDEX(몬스터계수[[#Data],[생명계수]],MATCH(E72,몬스터계수[[#Data],[타입]],0),1)*C72,
IF(E72="방어형",INDEX(몬스터계수[[#Data],[생명계수]],MATCH(E72,몬스터계수[[#Data],[타입]],0),1)*C72,
IF(E72="회피형",INDEX(몬스터계수[[#Data],[생명계수]],MATCH(E72,몬스터계수[[#Data],[타입]],0),1)*C72,
IF(E72="체력형",INDEX(몬스터계수[[#Data],[생명계수]],MATCH(E72,몬스터계수[[#Data],[타입]],0),1)*C72,0))))*IF(몬스터밸런스[[#This Row],[보스]]=TRUE,2,1)</f>
        <v>1732.5</v>
      </c>
      <c r="G72">
        <f>IF(E72="공격형",INDEX(몬스터계수[[#Data],[힘계수]],MATCH(E72, 몬스터계수[[#Data],[타입]],0),1)*C72,
IF(E72="방어형",INDEX(몬스터계수[[#Data],[힘계수]],MATCH(E72, 몬스터계수[[#Data],[타입]],0),1)*C72,
IF(E72="회피형",INDEX(몬스터계수[[#Data],[힘계수]],MATCH(E72, 몬스터계수[[#Data],[타입]],0),1)*C72,
IF(E72="체력형",INDEX(몬스터계수[[#Data],[힘계수]],MATCH(E72, 몬스터계수[[#Data],[타입]],0),1)*C72,0))))</f>
        <v>866.25</v>
      </c>
      <c r="H72">
        <f>IF(E72="공격형",INDEX(몬스터계수[[#Data],[근력게수]],MATCH(E72,몬스터계수[[#Data],[타입]],0),1)*C72,
IF(E72="방어형",INDEX(몬스터계수[[#Data],[근력게수]],MATCH(E72,몬스터계수[[#Data],[타입]],0),1)*C72,
IF(E72="회피형",INDEX(몬스터계수[[#Data],[근력게수]],MATCH(E72,몬스터계수[[#Data],[타입]],0),1)*C72,
IF(E72="체력형",INDEX(몬스터계수[[#Data],[근력게수]],MATCH(E72,몬스터계수[[#Data],[타입]],0),1)*C72,0))))</f>
        <v>173.25</v>
      </c>
      <c r="I72">
        <f>IF(E72="공격형",INDEX(몬스터계수[[#Data],[숙련도계수]],MATCH(E72,몬스터계수[[#Data],[타입]],0),1)*C72,
IF(E72="방어형",INDEX(몬스터계수[[#Data],[숙련도계수]],MATCH(E72,몬스터계수[[#Data],[타입]],0),1)*C72,
IF(E72="회피형",INDEX(몬스터계수[[#Data],[숙련도계수]],MATCH(E72,몬스터계수[[#Data],[타입]],0),1)*C72,
IF(E72="체력형",INDEX(몬스터계수[[#Data],[숙련도계수]],MATCH(E72,몬스터계수[[#Data],[타입]],0),1)*C72,0))))</f>
        <v>519.75</v>
      </c>
      <c r="J72">
        <f>IF(E72="공격형",INDEX(몬스터계수[[#Data],[행운계수]],MATCH(E72, 몬스터계수[[#Data],[타입]],0),1)*C72,
IF(E72="방어형",INDEX(몬스터계수[[#Data],[행운계수]],MATCH(E72, 몬스터계수[[#Data],[타입]],0),1)*C72,
IF(E72="회피형",INDEX(몬스터계수[[#Data],[행운계수]],MATCH(E72, 몬스터계수[[#Data],[타입]],0),1)*C72,
IF(E72="체력형",INDEX(몬스터계수[[#Data],[행운계수]],MATCH(E72, 몬스터계수[[#Data],[타입]],0),1)*C72,0))))</f>
        <v>173.25</v>
      </c>
      <c r="K72" s="34">
        <f>ROUND(
(($F72)*참고!$D$5)
+(($G72)*참고!$D$6)
+(($H72)*참고!$D$7)
+(($I72)*참고!$D$8)
+(($J72))*참고!$D$9,0)</f>
        <v>26940</v>
      </c>
      <c r="L72" s="34">
        <f>ROUND(
(($F72)*참고!$E$5)
+(($G72)*참고!$E$6)
+(($H72)*참고!$E$7)
+(($I72)*참고!$E$8)
+(($J72))*참고!$E$9,0)</f>
        <v>15419</v>
      </c>
      <c r="M72" s="34">
        <f>ROUND(
(($F72)*참고!$F$5)
+(($G72)*참고!$F$6)
+(($H72)*참고!$F$7)
+(($I72)*참고!$F$8)
+(($J72))*참고!$F$9,0)</f>
        <v>4331</v>
      </c>
      <c r="N72" s="34">
        <f>ROUND(
(($F72)*참고!$G$5)
+(($G72)*참고!$G$6)
+(($H72)*참고!$G$7)
+(($I72)*참고!$G$8)
+(($J72))*참고!$G$9,0)</f>
        <v>121</v>
      </c>
      <c r="O72" s="34">
        <f>ROUND(
(($F72)*참고!$H$5)
+(($G72)*참고!$H$6)
+(($H72)*참고!$H$7)
+(($I72)*참고!$H$8)
+(($J72))*참고!$H$9,0)</f>
        <v>2859</v>
      </c>
      <c r="P72" s="34">
        <f>ROUND(
(($F72)*참고!$I$5)
+(($G72)*참고!$I$6)
+(($H72)*참고!$I$7)
+(($I72)*참고!$I$8)
+(($J72))*참고!$I$9,0)</f>
        <v>5024</v>
      </c>
      <c r="Q72" s="34">
        <f>ROUND(
(($F72)*참고!$J$5)
+(($G72)*참고!$J$6)
+(($H72)*참고!$J$7)
+(($I72)*참고!$J$8)
+(($J72))*참고!$J$9,0)</f>
        <v>3465</v>
      </c>
      <c r="R72" s="34">
        <f>IF(E72="공격형",(INDEX(몬스터계수[[#Data],[속도]],MATCH(E72, 몬스터계수[[#Data],[타입]],0),1)*속도핸들러_곱계수)*(INT(몬스터밸런스[[#This Row],[Lv]]/속도핸들러_합계수+1)),
IF(E72="방어형",(INDEX(몬스터계수[[#Data],[속도]],MATCH(E72, 몬스터계수[[#Data],[타입]],0),1)*속도핸들러_곱계수)*(INT(몬스터밸런스[[#This Row],[Lv]]/속도핸들러_합계수+1)),
IF(E72="회피형",(INDEX(몬스터계수[[#Data],[속도]],MATCH(E72, 몬스터계수[[#Data],[타입]],0),1)*속도핸들러_곱계수)*(INT(몬스터밸런스[[#This Row],[Lv]]/속도핸들러_합계수+1)),
IF(E72="기본형",(INDEX(몬스터계수[[#Data],[속도]],MATCH(E72, 몬스터계수[[#Data],[타입]],0),1)*속도핸들러_곱계수)*(INT(몬스터밸런스[[#This Row],[Lv]]/속도핸들러_합계수+1)),0))))</f>
        <v>0</v>
      </c>
      <c r="S72">
        <f t="shared" si="4"/>
        <v>924940</v>
      </c>
      <c r="U72">
        <v>4</v>
      </c>
      <c r="V72">
        <v>70</v>
      </c>
      <c r="W72">
        <f>$Z$1*몬스터밸런스9[[#This Row],[단계]]</f>
        <v>20</v>
      </c>
      <c r="X72" t="s">
        <v>61</v>
      </c>
      <c r="AE72" s="34"/>
      <c r="AF72" s="34"/>
      <c r="AG72" s="34">
        <f>몬스터밸런스[[#This Row],[Defense]]</f>
        <v>4331</v>
      </c>
      <c r="AH72" s="34"/>
      <c r="AI72" s="34"/>
      <c r="AJ72" s="34"/>
      <c r="AK72" s="34"/>
      <c r="AL72">
        <f t="shared" si="3"/>
        <v>69296</v>
      </c>
    </row>
    <row r="73" spans="1:38">
      <c r="A73">
        <v>700</v>
      </c>
      <c r="B73">
        <v>71</v>
      </c>
      <c r="C73">
        <f>$F$1*몬스터밸런스[[#This Row],[Lv]]+15</f>
        <v>3515</v>
      </c>
      <c r="E73" t="s">
        <v>479</v>
      </c>
      <c r="F73">
        <f>IF(E73="공격형",INDEX(몬스터계수[[#Data],[생명계수]],MATCH(E73,몬스터계수[[#Data],[타입]],0),1)*C73,
IF(E73="방어형",INDEX(몬스터계수[[#Data],[생명계수]],MATCH(E73,몬스터계수[[#Data],[타입]],0),1)*C73,
IF(E73="회피형",INDEX(몬스터계수[[#Data],[생명계수]],MATCH(E73,몬스터계수[[#Data],[타입]],0),1)*C73,
IF(E73="체력형",INDEX(몬스터계수[[#Data],[생명계수]],MATCH(E73,몬스터계수[[#Data],[타입]],0),1)*C73,0))))*IF(몬스터밸런스[[#This Row],[보스]]=TRUE,2,1)</f>
        <v>1757.5</v>
      </c>
      <c r="G73">
        <f>IF(E73="공격형",INDEX(몬스터계수[[#Data],[힘계수]],MATCH(E73, 몬스터계수[[#Data],[타입]],0),1)*C73,
IF(E73="방어형",INDEX(몬스터계수[[#Data],[힘계수]],MATCH(E73, 몬스터계수[[#Data],[타입]],0),1)*C73,
IF(E73="회피형",INDEX(몬스터계수[[#Data],[힘계수]],MATCH(E73, 몬스터계수[[#Data],[타입]],0),1)*C73,
IF(E73="체력형",INDEX(몬스터계수[[#Data],[힘계수]],MATCH(E73, 몬스터계수[[#Data],[타입]],0),1)*C73,0))))</f>
        <v>878.75</v>
      </c>
      <c r="H73">
        <f>IF(E73="공격형",INDEX(몬스터계수[[#Data],[근력게수]],MATCH(E73,몬스터계수[[#Data],[타입]],0),1)*C73,
IF(E73="방어형",INDEX(몬스터계수[[#Data],[근력게수]],MATCH(E73,몬스터계수[[#Data],[타입]],0),1)*C73,
IF(E73="회피형",INDEX(몬스터계수[[#Data],[근력게수]],MATCH(E73,몬스터계수[[#Data],[타입]],0),1)*C73,
IF(E73="체력형",INDEX(몬스터계수[[#Data],[근력게수]],MATCH(E73,몬스터계수[[#Data],[타입]],0),1)*C73,0))))</f>
        <v>175.75</v>
      </c>
      <c r="I73">
        <f>IF(E73="공격형",INDEX(몬스터계수[[#Data],[숙련도계수]],MATCH(E73,몬스터계수[[#Data],[타입]],0),1)*C73,
IF(E73="방어형",INDEX(몬스터계수[[#Data],[숙련도계수]],MATCH(E73,몬스터계수[[#Data],[타입]],0),1)*C73,
IF(E73="회피형",INDEX(몬스터계수[[#Data],[숙련도계수]],MATCH(E73,몬스터계수[[#Data],[타입]],0),1)*C73,
IF(E73="체력형",INDEX(몬스터계수[[#Data],[숙련도계수]],MATCH(E73,몬스터계수[[#Data],[타입]],0),1)*C73,0))))</f>
        <v>527.25</v>
      </c>
      <c r="J73">
        <f>IF(E73="공격형",INDEX(몬스터계수[[#Data],[행운계수]],MATCH(E73, 몬스터계수[[#Data],[타입]],0),1)*C73,
IF(E73="방어형",INDEX(몬스터계수[[#Data],[행운계수]],MATCH(E73, 몬스터계수[[#Data],[타입]],0),1)*C73,
IF(E73="회피형",INDEX(몬스터계수[[#Data],[행운계수]],MATCH(E73, 몬스터계수[[#Data],[타입]],0),1)*C73,
IF(E73="체력형",INDEX(몬스터계수[[#Data],[행운계수]],MATCH(E73, 몬스터계수[[#Data],[타입]],0),1)*C73,0))))</f>
        <v>175.75</v>
      </c>
      <c r="K73" s="34">
        <f>ROUND(
(($F73)*참고!$D$5)
+(($G73)*참고!$D$6)
+(($H73)*참고!$D$7)
+(($I73)*참고!$D$8)
+(($J73))*참고!$D$9,0)</f>
        <v>27329</v>
      </c>
      <c r="L73" s="34">
        <f>ROUND(
(($F73)*참고!$E$5)
+(($G73)*참고!$E$6)
+(($H73)*참고!$E$7)
+(($I73)*참고!$E$8)
+(($J73))*참고!$E$9,0)</f>
        <v>15642</v>
      </c>
      <c r="M73" s="34">
        <f>ROUND(
(($F73)*참고!$F$5)
+(($G73)*참고!$F$6)
+(($H73)*참고!$F$7)
+(($I73)*참고!$F$8)
+(($J73))*참고!$F$9,0)</f>
        <v>4394</v>
      </c>
      <c r="N73" s="34">
        <f>ROUND(
(($F73)*참고!$G$5)
+(($G73)*참고!$G$6)
+(($H73)*참고!$G$7)
+(($I73)*참고!$G$8)
+(($J73))*참고!$G$9,0)</f>
        <v>123</v>
      </c>
      <c r="O73" s="34">
        <f>ROUND(
(($F73)*참고!$H$5)
+(($G73)*참고!$H$6)
+(($H73)*참고!$H$7)
+(($I73)*참고!$H$8)
+(($J73))*참고!$H$9,0)</f>
        <v>2900</v>
      </c>
      <c r="P73" s="34">
        <f>ROUND(
(($F73)*참고!$I$5)
+(($G73)*참고!$I$6)
+(($H73)*참고!$I$7)
+(($I73)*참고!$I$8)
+(($J73))*참고!$I$9,0)</f>
        <v>5097</v>
      </c>
      <c r="Q73" s="34">
        <f>ROUND(
(($F73)*참고!$J$5)
+(($G73)*참고!$J$6)
+(($H73)*참고!$J$7)
+(($I73)*참고!$J$8)
+(($J73))*참고!$J$9,0)</f>
        <v>3515</v>
      </c>
      <c r="R73" s="34">
        <f>IF(E73="공격형",(INDEX(몬스터계수[[#Data],[속도]],MATCH(E73, 몬스터계수[[#Data],[타입]],0),1)*속도핸들러_곱계수)*(INT(몬스터밸런스[[#This Row],[Lv]]/속도핸들러_합계수+1)),
IF(E73="방어형",(INDEX(몬스터계수[[#Data],[속도]],MATCH(E73, 몬스터계수[[#Data],[타입]],0),1)*속도핸들러_곱계수)*(INT(몬스터밸런스[[#This Row],[Lv]]/속도핸들러_합계수+1)),
IF(E73="회피형",(INDEX(몬스터계수[[#Data],[속도]],MATCH(E73, 몬스터계수[[#Data],[타입]],0),1)*속도핸들러_곱계수)*(INT(몬스터밸런스[[#This Row],[Lv]]/속도핸들러_합계수+1)),
IF(E73="기본형",(INDEX(몬스터계수[[#Data],[속도]],MATCH(E73, 몬스터계수[[#Data],[타입]],0),1)*속도핸들러_곱계수)*(INT(몬스터밸런스[[#This Row],[Lv]]/속도핸들러_합계수+1)),0))))</f>
        <v>0</v>
      </c>
      <c r="S73">
        <f t="shared" si="4"/>
        <v>938312</v>
      </c>
      <c r="U73">
        <v>5</v>
      </c>
      <c r="V73">
        <v>71</v>
      </c>
      <c r="W73">
        <f>$Z$1*몬스터밸런스9[[#This Row],[단계]]</f>
        <v>25</v>
      </c>
      <c r="X73" t="s">
        <v>61</v>
      </c>
      <c r="AE73" s="34"/>
      <c r="AF73" s="34"/>
      <c r="AG73" s="34">
        <f>몬스터밸런스[[#This Row],[Defense]]</f>
        <v>4394</v>
      </c>
      <c r="AH73" s="34"/>
      <c r="AI73" s="34"/>
      <c r="AJ73" s="34"/>
      <c r="AK73" s="34"/>
      <c r="AL73">
        <f t="shared" si="3"/>
        <v>70304</v>
      </c>
    </row>
    <row r="74" spans="1:38">
      <c r="A74">
        <v>710</v>
      </c>
      <c r="B74">
        <v>72</v>
      </c>
      <c r="C74">
        <f>$F$1*몬스터밸런스[[#This Row],[Lv]]+15</f>
        <v>3565</v>
      </c>
      <c r="E74" t="s">
        <v>479</v>
      </c>
      <c r="F74">
        <f>IF(E74="공격형",INDEX(몬스터계수[[#Data],[생명계수]],MATCH(E74,몬스터계수[[#Data],[타입]],0),1)*C74,
IF(E74="방어형",INDEX(몬스터계수[[#Data],[생명계수]],MATCH(E74,몬스터계수[[#Data],[타입]],0),1)*C74,
IF(E74="회피형",INDEX(몬스터계수[[#Data],[생명계수]],MATCH(E74,몬스터계수[[#Data],[타입]],0),1)*C74,
IF(E74="체력형",INDEX(몬스터계수[[#Data],[생명계수]],MATCH(E74,몬스터계수[[#Data],[타입]],0),1)*C74,0))))*IF(몬스터밸런스[[#This Row],[보스]]=TRUE,2,1)</f>
        <v>1782.5</v>
      </c>
      <c r="G74">
        <f>IF(E74="공격형",INDEX(몬스터계수[[#Data],[힘계수]],MATCH(E74, 몬스터계수[[#Data],[타입]],0),1)*C74,
IF(E74="방어형",INDEX(몬스터계수[[#Data],[힘계수]],MATCH(E74, 몬스터계수[[#Data],[타입]],0),1)*C74,
IF(E74="회피형",INDEX(몬스터계수[[#Data],[힘계수]],MATCH(E74, 몬스터계수[[#Data],[타입]],0),1)*C74,
IF(E74="체력형",INDEX(몬스터계수[[#Data],[힘계수]],MATCH(E74, 몬스터계수[[#Data],[타입]],0),1)*C74,0))))</f>
        <v>891.25</v>
      </c>
      <c r="H74">
        <f>IF(E74="공격형",INDEX(몬스터계수[[#Data],[근력게수]],MATCH(E74,몬스터계수[[#Data],[타입]],0),1)*C74,
IF(E74="방어형",INDEX(몬스터계수[[#Data],[근력게수]],MATCH(E74,몬스터계수[[#Data],[타입]],0),1)*C74,
IF(E74="회피형",INDEX(몬스터계수[[#Data],[근력게수]],MATCH(E74,몬스터계수[[#Data],[타입]],0),1)*C74,
IF(E74="체력형",INDEX(몬스터계수[[#Data],[근력게수]],MATCH(E74,몬스터계수[[#Data],[타입]],0),1)*C74,0))))</f>
        <v>178.25</v>
      </c>
      <c r="I74">
        <f>IF(E74="공격형",INDEX(몬스터계수[[#Data],[숙련도계수]],MATCH(E74,몬스터계수[[#Data],[타입]],0),1)*C74,
IF(E74="방어형",INDEX(몬스터계수[[#Data],[숙련도계수]],MATCH(E74,몬스터계수[[#Data],[타입]],0),1)*C74,
IF(E74="회피형",INDEX(몬스터계수[[#Data],[숙련도계수]],MATCH(E74,몬스터계수[[#Data],[타입]],0),1)*C74,
IF(E74="체력형",INDEX(몬스터계수[[#Data],[숙련도계수]],MATCH(E74,몬스터계수[[#Data],[타입]],0),1)*C74,0))))</f>
        <v>534.75</v>
      </c>
      <c r="J74">
        <f>IF(E74="공격형",INDEX(몬스터계수[[#Data],[행운계수]],MATCH(E74, 몬스터계수[[#Data],[타입]],0),1)*C74,
IF(E74="방어형",INDEX(몬스터계수[[#Data],[행운계수]],MATCH(E74, 몬스터계수[[#Data],[타입]],0),1)*C74,
IF(E74="회피형",INDEX(몬스터계수[[#Data],[행운계수]],MATCH(E74, 몬스터계수[[#Data],[타입]],0),1)*C74,
IF(E74="체력형",INDEX(몬스터계수[[#Data],[행운계수]],MATCH(E74, 몬스터계수[[#Data],[타입]],0),1)*C74,0))))</f>
        <v>178.25</v>
      </c>
      <c r="K74" s="34">
        <f>ROUND(
(($F74)*참고!$D$5)
+(($G74)*참고!$D$6)
+(($H74)*참고!$D$7)
+(($I74)*참고!$D$8)
+(($J74))*참고!$D$9,0)</f>
        <v>27718</v>
      </c>
      <c r="L74" s="34">
        <f>ROUND(
(($F74)*참고!$E$5)
+(($G74)*참고!$E$6)
+(($H74)*참고!$E$7)
+(($I74)*참고!$E$8)
+(($J74))*참고!$E$9,0)</f>
        <v>15864</v>
      </c>
      <c r="M74" s="34">
        <f>ROUND(
(($F74)*참고!$F$5)
+(($G74)*참고!$F$6)
+(($H74)*참고!$F$7)
+(($I74)*참고!$F$8)
+(($J74))*참고!$F$9,0)</f>
        <v>4456</v>
      </c>
      <c r="N74" s="34">
        <f>ROUND(
(($F74)*참고!$G$5)
+(($G74)*참고!$G$6)
+(($H74)*참고!$G$7)
+(($I74)*참고!$G$8)
+(($J74))*참고!$G$9,0)</f>
        <v>125</v>
      </c>
      <c r="O74" s="34">
        <f>ROUND(
(($F74)*참고!$H$5)
+(($G74)*참고!$H$6)
+(($H74)*참고!$H$7)
+(($I74)*참고!$H$8)
+(($J74))*참고!$H$9,0)</f>
        <v>2941</v>
      </c>
      <c r="P74" s="34">
        <f>ROUND(
(($F74)*참고!$I$5)
+(($G74)*참고!$I$6)
+(($H74)*참고!$I$7)
+(($I74)*참고!$I$8)
+(($J74))*참고!$I$9,0)</f>
        <v>5169</v>
      </c>
      <c r="Q74" s="34">
        <f>ROUND(
(($F74)*참고!$J$5)
+(($G74)*참고!$J$6)
+(($H74)*참고!$J$7)
+(($I74)*참고!$J$8)
+(($J74))*참고!$J$9,0)</f>
        <v>3565</v>
      </c>
      <c r="R74" s="34">
        <f>IF(E74="공격형",(INDEX(몬스터계수[[#Data],[속도]],MATCH(E74, 몬스터계수[[#Data],[타입]],0),1)*속도핸들러_곱계수)*(INT(몬스터밸런스[[#This Row],[Lv]]/속도핸들러_합계수+1)),
IF(E74="방어형",(INDEX(몬스터계수[[#Data],[속도]],MATCH(E74, 몬스터계수[[#Data],[타입]],0),1)*속도핸들러_곱계수)*(INT(몬스터밸런스[[#This Row],[Lv]]/속도핸들러_합계수+1)),
IF(E74="회피형",(INDEX(몬스터계수[[#Data],[속도]],MATCH(E74, 몬스터계수[[#Data],[타입]],0),1)*속도핸들러_곱계수)*(INT(몬스터밸런스[[#This Row],[Lv]]/속도핸들러_합계수+1)),
IF(E74="기본형",(INDEX(몬스터계수[[#Data],[속도]],MATCH(E74, 몬스터계수[[#Data],[타입]],0),1)*속도핸들러_곱계수)*(INT(몬스터밸런스[[#This Row],[Lv]]/속도핸들러_합계수+1)),0))))</f>
        <v>0</v>
      </c>
      <c r="S74">
        <f t="shared" si="4"/>
        <v>951641</v>
      </c>
      <c r="U74">
        <v>5</v>
      </c>
      <c r="V74">
        <v>72</v>
      </c>
      <c r="W74">
        <f>$Z$1*몬스터밸런스9[[#This Row],[단계]]</f>
        <v>25</v>
      </c>
      <c r="X74" t="s">
        <v>61</v>
      </c>
      <c r="AE74" s="34"/>
      <c r="AF74" s="34"/>
      <c r="AG74" s="34">
        <f>몬스터밸런스[[#This Row],[Defense]]</f>
        <v>4456</v>
      </c>
      <c r="AH74" s="34"/>
      <c r="AI74" s="34"/>
      <c r="AJ74" s="34"/>
      <c r="AK74" s="34"/>
      <c r="AL74">
        <f t="shared" si="3"/>
        <v>71296</v>
      </c>
    </row>
    <row r="75" spans="1:38">
      <c r="A75">
        <v>720</v>
      </c>
      <c r="B75">
        <v>73</v>
      </c>
      <c r="C75">
        <f>$F$1*몬스터밸런스[[#This Row],[Lv]]+15</f>
        <v>3615</v>
      </c>
      <c r="E75" t="s">
        <v>479</v>
      </c>
      <c r="F75">
        <f>IF(E75="공격형",INDEX(몬스터계수[[#Data],[생명계수]],MATCH(E75,몬스터계수[[#Data],[타입]],0),1)*C75,
IF(E75="방어형",INDEX(몬스터계수[[#Data],[생명계수]],MATCH(E75,몬스터계수[[#Data],[타입]],0),1)*C75,
IF(E75="회피형",INDEX(몬스터계수[[#Data],[생명계수]],MATCH(E75,몬스터계수[[#Data],[타입]],0),1)*C75,
IF(E75="체력형",INDEX(몬스터계수[[#Data],[생명계수]],MATCH(E75,몬스터계수[[#Data],[타입]],0),1)*C75,0))))*IF(몬스터밸런스[[#This Row],[보스]]=TRUE,2,1)</f>
        <v>1807.5</v>
      </c>
      <c r="G75">
        <f>IF(E75="공격형",INDEX(몬스터계수[[#Data],[힘계수]],MATCH(E75, 몬스터계수[[#Data],[타입]],0),1)*C75,
IF(E75="방어형",INDEX(몬스터계수[[#Data],[힘계수]],MATCH(E75, 몬스터계수[[#Data],[타입]],0),1)*C75,
IF(E75="회피형",INDEX(몬스터계수[[#Data],[힘계수]],MATCH(E75, 몬스터계수[[#Data],[타입]],0),1)*C75,
IF(E75="체력형",INDEX(몬스터계수[[#Data],[힘계수]],MATCH(E75, 몬스터계수[[#Data],[타입]],0),1)*C75,0))))</f>
        <v>903.75</v>
      </c>
      <c r="H75">
        <f>IF(E75="공격형",INDEX(몬스터계수[[#Data],[근력게수]],MATCH(E75,몬스터계수[[#Data],[타입]],0),1)*C75,
IF(E75="방어형",INDEX(몬스터계수[[#Data],[근력게수]],MATCH(E75,몬스터계수[[#Data],[타입]],0),1)*C75,
IF(E75="회피형",INDEX(몬스터계수[[#Data],[근력게수]],MATCH(E75,몬스터계수[[#Data],[타입]],0),1)*C75,
IF(E75="체력형",INDEX(몬스터계수[[#Data],[근력게수]],MATCH(E75,몬스터계수[[#Data],[타입]],0),1)*C75,0))))</f>
        <v>180.75</v>
      </c>
      <c r="I75">
        <f>IF(E75="공격형",INDEX(몬스터계수[[#Data],[숙련도계수]],MATCH(E75,몬스터계수[[#Data],[타입]],0),1)*C75,
IF(E75="방어형",INDEX(몬스터계수[[#Data],[숙련도계수]],MATCH(E75,몬스터계수[[#Data],[타입]],0),1)*C75,
IF(E75="회피형",INDEX(몬스터계수[[#Data],[숙련도계수]],MATCH(E75,몬스터계수[[#Data],[타입]],0),1)*C75,
IF(E75="체력형",INDEX(몬스터계수[[#Data],[숙련도계수]],MATCH(E75,몬스터계수[[#Data],[타입]],0),1)*C75,0))))</f>
        <v>542.25</v>
      </c>
      <c r="J75">
        <f>IF(E75="공격형",INDEX(몬스터계수[[#Data],[행운계수]],MATCH(E75, 몬스터계수[[#Data],[타입]],0),1)*C75,
IF(E75="방어형",INDEX(몬스터계수[[#Data],[행운계수]],MATCH(E75, 몬스터계수[[#Data],[타입]],0),1)*C75,
IF(E75="회피형",INDEX(몬스터계수[[#Data],[행운계수]],MATCH(E75, 몬스터계수[[#Data],[타입]],0),1)*C75,
IF(E75="체력형",INDEX(몬스터계수[[#Data],[행운계수]],MATCH(E75, 몬스터계수[[#Data],[타입]],0),1)*C75,0))))</f>
        <v>180.75</v>
      </c>
      <c r="K75" s="34">
        <f>ROUND(
(($F75)*참고!$D$5)
+(($G75)*참고!$D$6)
+(($H75)*참고!$D$7)
+(($I75)*참고!$D$8)
+(($J75))*참고!$D$9,0)</f>
        <v>28107</v>
      </c>
      <c r="L75" s="34">
        <f>ROUND(
(($F75)*참고!$E$5)
+(($G75)*참고!$E$6)
+(($H75)*참고!$E$7)
+(($I75)*참고!$E$8)
+(($J75))*참고!$E$9,0)</f>
        <v>16087</v>
      </c>
      <c r="M75" s="34">
        <f>ROUND(
(($F75)*참고!$F$5)
+(($G75)*참고!$F$6)
+(($H75)*참고!$F$7)
+(($I75)*참고!$F$8)
+(($J75))*참고!$F$9,0)</f>
        <v>4519</v>
      </c>
      <c r="N75" s="34">
        <f>ROUND(
(($F75)*참고!$G$5)
+(($G75)*참고!$G$6)
+(($H75)*참고!$G$7)
+(($I75)*참고!$G$8)
+(($J75))*참고!$G$9,0)</f>
        <v>127</v>
      </c>
      <c r="O75" s="34">
        <f>ROUND(
(($F75)*참고!$H$5)
+(($G75)*참고!$H$6)
+(($H75)*참고!$H$7)
+(($I75)*참고!$H$8)
+(($J75))*참고!$H$9,0)</f>
        <v>2982</v>
      </c>
      <c r="P75" s="34">
        <f>ROUND(
(($F75)*참고!$I$5)
+(($G75)*참고!$I$6)
+(($H75)*참고!$I$7)
+(($I75)*참고!$I$8)
+(($J75))*참고!$I$9,0)</f>
        <v>5242</v>
      </c>
      <c r="Q75" s="34">
        <f>ROUND(
(($F75)*참고!$J$5)
+(($G75)*참고!$J$6)
+(($H75)*참고!$J$7)
+(($I75)*참고!$J$8)
+(($J75))*참고!$J$9,0)</f>
        <v>3615</v>
      </c>
      <c r="R75" s="34">
        <f>IF(E75="공격형",(INDEX(몬스터계수[[#Data],[속도]],MATCH(E75, 몬스터계수[[#Data],[타입]],0),1)*속도핸들러_곱계수)*(INT(몬스터밸런스[[#This Row],[Lv]]/속도핸들러_합계수+1)),
IF(E75="방어형",(INDEX(몬스터계수[[#Data],[속도]],MATCH(E75, 몬스터계수[[#Data],[타입]],0),1)*속도핸들러_곱계수)*(INT(몬스터밸런스[[#This Row],[Lv]]/속도핸들러_합계수+1)),
IF(E75="회피형",(INDEX(몬스터계수[[#Data],[속도]],MATCH(E75, 몬스터계수[[#Data],[타입]],0),1)*속도핸들러_곱계수)*(INT(몬스터밸런스[[#This Row],[Lv]]/속도핸들러_합계수+1)),
IF(E75="기본형",(INDEX(몬스터계수[[#Data],[속도]],MATCH(E75, 몬스터계수[[#Data],[타입]],0),1)*속도핸들러_곱계수)*(INT(몬스터밸런스[[#This Row],[Lv]]/속도핸들러_합계수+1)),0))))</f>
        <v>0</v>
      </c>
      <c r="S75">
        <f t="shared" si="4"/>
        <v>965013</v>
      </c>
      <c r="U75">
        <v>5</v>
      </c>
      <c r="V75">
        <v>73</v>
      </c>
      <c r="W75">
        <f>$Z$1*몬스터밸런스9[[#This Row],[단계]]</f>
        <v>25</v>
      </c>
      <c r="X75" t="s">
        <v>61</v>
      </c>
      <c r="AE75" s="34"/>
      <c r="AF75" s="34"/>
      <c r="AG75" s="34">
        <f>몬스터밸런스[[#This Row],[Defense]]</f>
        <v>4519</v>
      </c>
      <c r="AH75" s="34"/>
      <c r="AI75" s="34"/>
      <c r="AJ75" s="34"/>
      <c r="AK75" s="34"/>
      <c r="AL75">
        <f t="shared" si="3"/>
        <v>72304</v>
      </c>
    </row>
    <row r="76" spans="1:38">
      <c r="A76">
        <v>730</v>
      </c>
      <c r="B76">
        <v>74</v>
      </c>
      <c r="C76">
        <f>$F$1*몬스터밸런스[[#This Row],[Lv]]+15</f>
        <v>3665</v>
      </c>
      <c r="E76" t="s">
        <v>479</v>
      </c>
      <c r="F76">
        <f>IF(E76="공격형",INDEX(몬스터계수[[#Data],[생명계수]],MATCH(E76,몬스터계수[[#Data],[타입]],0),1)*C76,
IF(E76="방어형",INDEX(몬스터계수[[#Data],[생명계수]],MATCH(E76,몬스터계수[[#Data],[타입]],0),1)*C76,
IF(E76="회피형",INDEX(몬스터계수[[#Data],[생명계수]],MATCH(E76,몬스터계수[[#Data],[타입]],0),1)*C76,
IF(E76="체력형",INDEX(몬스터계수[[#Data],[생명계수]],MATCH(E76,몬스터계수[[#Data],[타입]],0),1)*C76,0))))*IF(몬스터밸런스[[#This Row],[보스]]=TRUE,2,1)</f>
        <v>1832.5</v>
      </c>
      <c r="G76">
        <f>IF(E76="공격형",INDEX(몬스터계수[[#Data],[힘계수]],MATCH(E76, 몬스터계수[[#Data],[타입]],0),1)*C76,
IF(E76="방어형",INDEX(몬스터계수[[#Data],[힘계수]],MATCH(E76, 몬스터계수[[#Data],[타입]],0),1)*C76,
IF(E76="회피형",INDEX(몬스터계수[[#Data],[힘계수]],MATCH(E76, 몬스터계수[[#Data],[타입]],0),1)*C76,
IF(E76="체력형",INDEX(몬스터계수[[#Data],[힘계수]],MATCH(E76, 몬스터계수[[#Data],[타입]],0),1)*C76,0))))</f>
        <v>916.25</v>
      </c>
      <c r="H76">
        <f>IF(E76="공격형",INDEX(몬스터계수[[#Data],[근력게수]],MATCH(E76,몬스터계수[[#Data],[타입]],0),1)*C76,
IF(E76="방어형",INDEX(몬스터계수[[#Data],[근력게수]],MATCH(E76,몬스터계수[[#Data],[타입]],0),1)*C76,
IF(E76="회피형",INDEX(몬스터계수[[#Data],[근력게수]],MATCH(E76,몬스터계수[[#Data],[타입]],0),1)*C76,
IF(E76="체력형",INDEX(몬스터계수[[#Data],[근력게수]],MATCH(E76,몬스터계수[[#Data],[타입]],0),1)*C76,0))))</f>
        <v>183.25</v>
      </c>
      <c r="I76">
        <f>IF(E76="공격형",INDEX(몬스터계수[[#Data],[숙련도계수]],MATCH(E76,몬스터계수[[#Data],[타입]],0),1)*C76,
IF(E76="방어형",INDEX(몬스터계수[[#Data],[숙련도계수]],MATCH(E76,몬스터계수[[#Data],[타입]],0),1)*C76,
IF(E76="회피형",INDEX(몬스터계수[[#Data],[숙련도계수]],MATCH(E76,몬스터계수[[#Data],[타입]],0),1)*C76,
IF(E76="체력형",INDEX(몬스터계수[[#Data],[숙련도계수]],MATCH(E76,몬스터계수[[#Data],[타입]],0),1)*C76,0))))</f>
        <v>549.75</v>
      </c>
      <c r="J76">
        <f>IF(E76="공격형",INDEX(몬스터계수[[#Data],[행운계수]],MATCH(E76, 몬스터계수[[#Data],[타입]],0),1)*C76,
IF(E76="방어형",INDEX(몬스터계수[[#Data],[행운계수]],MATCH(E76, 몬스터계수[[#Data],[타입]],0),1)*C76,
IF(E76="회피형",INDEX(몬스터계수[[#Data],[행운계수]],MATCH(E76, 몬스터계수[[#Data],[타입]],0),1)*C76,
IF(E76="체력형",INDEX(몬스터계수[[#Data],[행운계수]],MATCH(E76, 몬스터계수[[#Data],[타입]],0),1)*C76,0))))</f>
        <v>183.25</v>
      </c>
      <c r="K76" s="34">
        <f>ROUND(
(($F76)*참고!$D$5)
+(($G76)*참고!$D$6)
+(($H76)*참고!$D$7)
+(($I76)*참고!$D$8)
+(($J76))*참고!$D$9,0)</f>
        <v>28495</v>
      </c>
      <c r="L76" s="34">
        <f>ROUND(
(($F76)*참고!$E$5)
+(($G76)*참고!$E$6)
+(($H76)*참고!$E$7)
+(($I76)*참고!$E$8)
+(($J76))*참고!$E$9,0)</f>
        <v>16309</v>
      </c>
      <c r="M76" s="34">
        <f>ROUND(
(($F76)*참고!$F$5)
+(($G76)*참고!$F$6)
+(($H76)*참고!$F$7)
+(($I76)*참고!$F$8)
+(($J76))*참고!$F$9,0)</f>
        <v>4581</v>
      </c>
      <c r="N76" s="34">
        <f>ROUND(
(($F76)*참고!$G$5)
+(($G76)*참고!$G$6)
+(($H76)*참고!$G$7)
+(($I76)*참고!$G$8)
+(($J76))*참고!$G$9,0)</f>
        <v>128</v>
      </c>
      <c r="O76" s="34">
        <f>ROUND(
(($F76)*참고!$H$5)
+(($G76)*참고!$H$6)
+(($H76)*참고!$H$7)
+(($I76)*참고!$H$8)
+(($J76))*참고!$H$9,0)</f>
        <v>3024</v>
      </c>
      <c r="P76" s="34">
        <f>ROUND(
(($F76)*참고!$I$5)
+(($G76)*참고!$I$6)
+(($H76)*참고!$I$7)
+(($I76)*참고!$I$8)
+(($J76))*참고!$I$9,0)</f>
        <v>5314</v>
      </c>
      <c r="Q76" s="34">
        <f>ROUND(
(($F76)*참고!$J$5)
+(($G76)*참고!$J$6)
+(($H76)*참고!$J$7)
+(($I76)*참고!$J$8)
+(($J76))*참고!$J$9,0)</f>
        <v>3665</v>
      </c>
      <c r="R76" s="34">
        <f>IF(E76="공격형",(INDEX(몬스터계수[[#Data],[속도]],MATCH(E76, 몬스터계수[[#Data],[타입]],0),1)*속도핸들러_곱계수)*(INT(몬스터밸런스[[#This Row],[Lv]]/속도핸들러_합계수+1)),
IF(E76="방어형",(INDEX(몬스터계수[[#Data],[속도]],MATCH(E76, 몬스터계수[[#Data],[타입]],0),1)*속도핸들러_곱계수)*(INT(몬스터밸런스[[#This Row],[Lv]]/속도핸들러_합계수+1)),
IF(E76="회피형",(INDEX(몬스터계수[[#Data],[속도]],MATCH(E76, 몬스터계수[[#Data],[타입]],0),1)*속도핸들러_곱계수)*(INT(몬스터밸런스[[#This Row],[Lv]]/속도핸들러_합계수+1)),
IF(E76="기본형",(INDEX(몬스터계수[[#Data],[속도]],MATCH(E76, 몬스터계수[[#Data],[타입]],0),1)*속도핸들러_곱계수)*(INT(몬스터밸런스[[#This Row],[Lv]]/속도핸들러_합계수+1)),0))))</f>
        <v>0</v>
      </c>
      <c r="S76">
        <f t="shared" si="4"/>
        <v>978328.5</v>
      </c>
      <c r="U76">
        <v>5</v>
      </c>
      <c r="V76">
        <v>74</v>
      </c>
      <c r="W76">
        <f>$Z$1*몬스터밸런스9[[#This Row],[단계]]</f>
        <v>25</v>
      </c>
      <c r="X76" t="s">
        <v>61</v>
      </c>
      <c r="AE76" s="34"/>
      <c r="AF76" s="34"/>
      <c r="AG76" s="34">
        <f>몬스터밸런스[[#This Row],[Defense]]</f>
        <v>4581</v>
      </c>
      <c r="AH76" s="34"/>
      <c r="AI76" s="34"/>
      <c r="AJ76" s="34"/>
      <c r="AK76" s="34"/>
      <c r="AL76">
        <f t="shared" si="3"/>
        <v>73296</v>
      </c>
    </row>
    <row r="77" spans="1:38">
      <c r="A77">
        <v>740</v>
      </c>
      <c r="B77">
        <v>75</v>
      </c>
      <c r="C77">
        <f>$F$1*몬스터밸런스[[#This Row],[Lv]]+15</f>
        <v>3715</v>
      </c>
      <c r="E77" t="s">
        <v>479</v>
      </c>
      <c r="F77">
        <f>IF(E77="공격형",INDEX(몬스터계수[[#Data],[생명계수]],MATCH(E77,몬스터계수[[#Data],[타입]],0),1)*C77,
IF(E77="방어형",INDEX(몬스터계수[[#Data],[생명계수]],MATCH(E77,몬스터계수[[#Data],[타입]],0),1)*C77,
IF(E77="회피형",INDEX(몬스터계수[[#Data],[생명계수]],MATCH(E77,몬스터계수[[#Data],[타입]],0),1)*C77,
IF(E77="체력형",INDEX(몬스터계수[[#Data],[생명계수]],MATCH(E77,몬스터계수[[#Data],[타입]],0),1)*C77,0))))*IF(몬스터밸런스[[#This Row],[보스]]=TRUE,2,1)</f>
        <v>1857.5</v>
      </c>
      <c r="G77">
        <f>IF(E77="공격형",INDEX(몬스터계수[[#Data],[힘계수]],MATCH(E77, 몬스터계수[[#Data],[타입]],0),1)*C77,
IF(E77="방어형",INDEX(몬스터계수[[#Data],[힘계수]],MATCH(E77, 몬스터계수[[#Data],[타입]],0),1)*C77,
IF(E77="회피형",INDEX(몬스터계수[[#Data],[힘계수]],MATCH(E77, 몬스터계수[[#Data],[타입]],0),1)*C77,
IF(E77="체력형",INDEX(몬스터계수[[#Data],[힘계수]],MATCH(E77, 몬스터계수[[#Data],[타입]],0),1)*C77,0))))</f>
        <v>928.75</v>
      </c>
      <c r="H77">
        <f>IF(E77="공격형",INDEX(몬스터계수[[#Data],[근력게수]],MATCH(E77,몬스터계수[[#Data],[타입]],0),1)*C77,
IF(E77="방어형",INDEX(몬스터계수[[#Data],[근력게수]],MATCH(E77,몬스터계수[[#Data],[타입]],0),1)*C77,
IF(E77="회피형",INDEX(몬스터계수[[#Data],[근력게수]],MATCH(E77,몬스터계수[[#Data],[타입]],0),1)*C77,
IF(E77="체력형",INDEX(몬스터계수[[#Data],[근력게수]],MATCH(E77,몬스터계수[[#Data],[타입]],0),1)*C77,0))))</f>
        <v>185.75</v>
      </c>
      <c r="I77">
        <f>IF(E77="공격형",INDEX(몬스터계수[[#Data],[숙련도계수]],MATCH(E77,몬스터계수[[#Data],[타입]],0),1)*C77,
IF(E77="방어형",INDEX(몬스터계수[[#Data],[숙련도계수]],MATCH(E77,몬스터계수[[#Data],[타입]],0),1)*C77,
IF(E77="회피형",INDEX(몬스터계수[[#Data],[숙련도계수]],MATCH(E77,몬스터계수[[#Data],[타입]],0),1)*C77,
IF(E77="체력형",INDEX(몬스터계수[[#Data],[숙련도계수]],MATCH(E77,몬스터계수[[#Data],[타입]],0),1)*C77,0))))</f>
        <v>557.25</v>
      </c>
      <c r="J77">
        <f>IF(E77="공격형",INDEX(몬스터계수[[#Data],[행운계수]],MATCH(E77, 몬스터계수[[#Data],[타입]],0),1)*C77,
IF(E77="방어형",INDEX(몬스터계수[[#Data],[행운계수]],MATCH(E77, 몬스터계수[[#Data],[타입]],0),1)*C77,
IF(E77="회피형",INDEX(몬스터계수[[#Data],[행운계수]],MATCH(E77, 몬스터계수[[#Data],[타입]],0),1)*C77,
IF(E77="체력형",INDEX(몬스터계수[[#Data],[행운계수]],MATCH(E77, 몬스터계수[[#Data],[타입]],0),1)*C77,0))))</f>
        <v>185.75</v>
      </c>
      <c r="K77" s="34">
        <f>ROUND(
(($F77)*참고!$D$5)
+(($G77)*참고!$D$6)
+(($H77)*참고!$D$7)
+(($I77)*참고!$D$8)
+(($J77))*참고!$D$9,0)</f>
        <v>28884</v>
      </c>
      <c r="L77" s="34">
        <f>ROUND(
(($F77)*참고!$E$5)
+(($G77)*참고!$E$6)
+(($H77)*참고!$E$7)
+(($I77)*참고!$E$8)
+(($J77))*참고!$E$9,0)</f>
        <v>16532</v>
      </c>
      <c r="M77" s="34">
        <f>ROUND(
(($F77)*참고!$F$5)
+(($G77)*참고!$F$6)
+(($H77)*참고!$F$7)
+(($I77)*참고!$F$8)
+(($J77))*참고!$F$9,0)</f>
        <v>4644</v>
      </c>
      <c r="N77" s="34">
        <f>ROUND(
(($F77)*참고!$G$5)
+(($G77)*참고!$G$6)
+(($H77)*참고!$G$7)
+(($I77)*참고!$G$8)
+(($J77))*참고!$G$9,0)</f>
        <v>130</v>
      </c>
      <c r="O77" s="34">
        <f>ROUND(
(($F77)*참고!$H$5)
+(($G77)*참고!$H$6)
+(($H77)*참고!$H$7)
+(($I77)*참고!$H$8)
+(($J77))*참고!$H$9,0)</f>
        <v>3065</v>
      </c>
      <c r="P77" s="34">
        <f>ROUND(
(($F77)*참고!$I$5)
+(($G77)*참고!$I$6)
+(($H77)*참고!$I$7)
+(($I77)*참고!$I$8)
+(($J77))*참고!$I$9,0)</f>
        <v>5387</v>
      </c>
      <c r="Q77" s="34">
        <f>ROUND(
(($F77)*참고!$J$5)
+(($G77)*참고!$J$6)
+(($H77)*참고!$J$7)
+(($I77)*참고!$J$8)
+(($J77))*참고!$J$9,0)</f>
        <v>3715</v>
      </c>
      <c r="R77" s="34">
        <f>IF(E77="공격형",(INDEX(몬스터계수[[#Data],[속도]],MATCH(E77, 몬스터계수[[#Data],[타입]],0),1)*속도핸들러_곱계수)*(INT(몬스터밸런스[[#This Row],[Lv]]/속도핸들러_합계수+1)),
IF(E77="방어형",(INDEX(몬스터계수[[#Data],[속도]],MATCH(E77, 몬스터계수[[#Data],[타입]],0),1)*속도핸들러_곱계수)*(INT(몬스터밸런스[[#This Row],[Lv]]/속도핸들러_합계수+1)),
IF(E77="회피형",(INDEX(몬스터계수[[#Data],[속도]],MATCH(E77, 몬스터계수[[#Data],[타입]],0),1)*속도핸들러_곱계수)*(INT(몬스터밸런스[[#This Row],[Lv]]/속도핸들러_합계수+1)),
IF(E77="기본형",(INDEX(몬스터계수[[#Data],[속도]],MATCH(E77, 몬스터계수[[#Data],[타입]],0),1)*속도핸들러_곱계수)*(INT(몬스터밸런스[[#This Row],[Lv]]/속도핸들러_합계수+1)),0))))</f>
        <v>0</v>
      </c>
      <c r="S77">
        <f t="shared" si="4"/>
        <v>991700.5</v>
      </c>
      <c r="U77">
        <v>5</v>
      </c>
      <c r="V77">
        <v>75</v>
      </c>
      <c r="W77">
        <f>$Z$1*몬스터밸런스9[[#This Row],[단계]]</f>
        <v>25</v>
      </c>
      <c r="X77" t="s">
        <v>61</v>
      </c>
      <c r="AE77" s="34"/>
      <c r="AF77" s="34"/>
      <c r="AG77" s="34">
        <f>몬스터밸런스[[#This Row],[Defense]]</f>
        <v>4644</v>
      </c>
      <c r="AH77" s="34"/>
      <c r="AI77" s="34"/>
      <c r="AJ77" s="34"/>
      <c r="AK77" s="34"/>
      <c r="AL77">
        <f t="shared" si="3"/>
        <v>74304</v>
      </c>
    </row>
    <row r="78" spans="1:38">
      <c r="A78">
        <v>750</v>
      </c>
      <c r="B78">
        <v>76</v>
      </c>
      <c r="C78">
        <f>$F$1*몬스터밸런스[[#This Row],[Lv]]+15</f>
        <v>3765</v>
      </c>
      <c r="E78" t="s">
        <v>479</v>
      </c>
      <c r="F78">
        <f>IF(E78="공격형",INDEX(몬스터계수[[#Data],[생명계수]],MATCH(E78,몬스터계수[[#Data],[타입]],0),1)*C78,
IF(E78="방어형",INDEX(몬스터계수[[#Data],[생명계수]],MATCH(E78,몬스터계수[[#Data],[타입]],0),1)*C78,
IF(E78="회피형",INDEX(몬스터계수[[#Data],[생명계수]],MATCH(E78,몬스터계수[[#Data],[타입]],0),1)*C78,
IF(E78="체력형",INDEX(몬스터계수[[#Data],[생명계수]],MATCH(E78,몬스터계수[[#Data],[타입]],0),1)*C78,0))))*IF(몬스터밸런스[[#This Row],[보스]]=TRUE,2,1)</f>
        <v>1882.5</v>
      </c>
      <c r="G78">
        <f>IF(E78="공격형",INDEX(몬스터계수[[#Data],[힘계수]],MATCH(E78, 몬스터계수[[#Data],[타입]],0),1)*C78,
IF(E78="방어형",INDEX(몬스터계수[[#Data],[힘계수]],MATCH(E78, 몬스터계수[[#Data],[타입]],0),1)*C78,
IF(E78="회피형",INDEX(몬스터계수[[#Data],[힘계수]],MATCH(E78, 몬스터계수[[#Data],[타입]],0),1)*C78,
IF(E78="체력형",INDEX(몬스터계수[[#Data],[힘계수]],MATCH(E78, 몬스터계수[[#Data],[타입]],0),1)*C78,0))))</f>
        <v>941.25</v>
      </c>
      <c r="H78">
        <f>IF(E78="공격형",INDEX(몬스터계수[[#Data],[근력게수]],MATCH(E78,몬스터계수[[#Data],[타입]],0),1)*C78,
IF(E78="방어형",INDEX(몬스터계수[[#Data],[근력게수]],MATCH(E78,몬스터계수[[#Data],[타입]],0),1)*C78,
IF(E78="회피형",INDEX(몬스터계수[[#Data],[근력게수]],MATCH(E78,몬스터계수[[#Data],[타입]],0),1)*C78,
IF(E78="체력형",INDEX(몬스터계수[[#Data],[근력게수]],MATCH(E78,몬스터계수[[#Data],[타입]],0),1)*C78,0))))</f>
        <v>188.25</v>
      </c>
      <c r="I78">
        <f>IF(E78="공격형",INDEX(몬스터계수[[#Data],[숙련도계수]],MATCH(E78,몬스터계수[[#Data],[타입]],0),1)*C78,
IF(E78="방어형",INDEX(몬스터계수[[#Data],[숙련도계수]],MATCH(E78,몬스터계수[[#Data],[타입]],0),1)*C78,
IF(E78="회피형",INDEX(몬스터계수[[#Data],[숙련도계수]],MATCH(E78,몬스터계수[[#Data],[타입]],0),1)*C78,
IF(E78="체력형",INDEX(몬스터계수[[#Data],[숙련도계수]],MATCH(E78,몬스터계수[[#Data],[타입]],0),1)*C78,0))))</f>
        <v>564.75</v>
      </c>
      <c r="J78">
        <f>IF(E78="공격형",INDEX(몬스터계수[[#Data],[행운계수]],MATCH(E78, 몬스터계수[[#Data],[타입]],0),1)*C78,
IF(E78="방어형",INDEX(몬스터계수[[#Data],[행운계수]],MATCH(E78, 몬스터계수[[#Data],[타입]],0),1)*C78,
IF(E78="회피형",INDEX(몬스터계수[[#Data],[행운계수]],MATCH(E78, 몬스터계수[[#Data],[타입]],0),1)*C78,
IF(E78="체력형",INDEX(몬스터계수[[#Data],[행운계수]],MATCH(E78, 몬스터계수[[#Data],[타입]],0),1)*C78,0))))</f>
        <v>188.25</v>
      </c>
      <c r="K78" s="34">
        <f>ROUND(
(($F78)*참고!$D$5)
+(($G78)*참고!$D$6)
+(($H78)*참고!$D$7)
+(($I78)*참고!$D$8)
+(($J78))*참고!$D$9,0)</f>
        <v>29273</v>
      </c>
      <c r="L78" s="34">
        <f>ROUND(
(($F78)*참고!$E$5)
+(($G78)*참고!$E$6)
+(($H78)*참고!$E$7)
+(($I78)*참고!$E$8)
+(($J78))*참고!$E$9,0)</f>
        <v>16754</v>
      </c>
      <c r="M78" s="34">
        <f>ROUND(
(($F78)*참고!$F$5)
+(($G78)*참고!$F$6)
+(($H78)*참고!$F$7)
+(($I78)*참고!$F$8)
+(($J78))*참고!$F$9,0)</f>
        <v>4706</v>
      </c>
      <c r="N78" s="34">
        <f>ROUND(
(($F78)*참고!$G$5)
+(($G78)*참고!$G$6)
+(($H78)*참고!$G$7)
+(($I78)*참고!$G$8)
+(($J78))*참고!$G$9,0)</f>
        <v>132</v>
      </c>
      <c r="O78" s="34">
        <f>ROUND(
(($F78)*참고!$H$5)
+(($G78)*참고!$H$6)
+(($H78)*참고!$H$7)
+(($I78)*참고!$H$8)
+(($J78))*참고!$H$9,0)</f>
        <v>3106</v>
      </c>
      <c r="P78" s="34">
        <f>ROUND(
(($F78)*참고!$I$5)
+(($G78)*참고!$I$6)
+(($H78)*참고!$I$7)
+(($I78)*참고!$I$8)
+(($J78))*참고!$I$9,0)</f>
        <v>5459</v>
      </c>
      <c r="Q78" s="34">
        <f>ROUND(
(($F78)*참고!$J$5)
+(($G78)*참고!$J$6)
+(($H78)*참고!$J$7)
+(($I78)*참고!$J$8)
+(($J78))*참고!$J$9,0)</f>
        <v>3765</v>
      </c>
      <c r="R78" s="34">
        <f>IF(E78="공격형",(INDEX(몬스터계수[[#Data],[속도]],MATCH(E78, 몬스터계수[[#Data],[타입]],0),1)*속도핸들러_곱계수)*(INT(몬스터밸런스[[#This Row],[Lv]]/속도핸들러_합계수+1)),
IF(E78="방어형",(INDEX(몬스터계수[[#Data],[속도]],MATCH(E78, 몬스터계수[[#Data],[타입]],0),1)*속도핸들러_곱계수)*(INT(몬스터밸런스[[#This Row],[Lv]]/속도핸들러_합계수+1)),
IF(E78="회피형",(INDEX(몬스터계수[[#Data],[속도]],MATCH(E78, 몬스터계수[[#Data],[타입]],0),1)*속도핸들러_곱계수)*(INT(몬스터밸런스[[#This Row],[Lv]]/속도핸들러_합계수+1)),
IF(E78="기본형",(INDEX(몬스터계수[[#Data],[속도]],MATCH(E78, 몬스터계수[[#Data],[타입]],0),1)*속도핸들러_곱계수)*(INT(몬스터밸런스[[#This Row],[Lv]]/속도핸들러_합계수+1)),0))))</f>
        <v>0</v>
      </c>
      <c r="S78">
        <f t="shared" si="4"/>
        <v>1005029.5</v>
      </c>
      <c r="U78">
        <v>1</v>
      </c>
      <c r="V78">
        <v>76</v>
      </c>
      <c r="W78">
        <f>$Z$1*몬스터밸런스9[[#This Row],[단계]]</f>
        <v>5</v>
      </c>
      <c r="X78" t="s">
        <v>51</v>
      </c>
      <c r="AE78" s="34">
        <f>몬스터밸런스[[#This Row],[Hp]]*0.3</f>
        <v>8781.9</v>
      </c>
      <c r="AF78" s="34"/>
      <c r="AG78" s="34"/>
      <c r="AH78" s="34"/>
      <c r="AI78" s="34"/>
      <c r="AJ78" s="34"/>
      <c r="AK78" s="34">
        <f>몬스터밸런스[[#This Row],[DodgeRate]]*0.5</f>
        <v>1882.5</v>
      </c>
      <c r="AL78">
        <f t="shared" si="3"/>
        <v>191333.25</v>
      </c>
    </row>
    <row r="79" spans="1:38">
      <c r="A79">
        <v>760</v>
      </c>
      <c r="B79">
        <v>77</v>
      </c>
      <c r="C79">
        <f>$F$1*몬스터밸런스[[#This Row],[Lv]]+15</f>
        <v>3815</v>
      </c>
      <c r="E79" t="s">
        <v>479</v>
      </c>
      <c r="F79">
        <f>IF(E79="공격형",INDEX(몬스터계수[[#Data],[생명계수]],MATCH(E79,몬스터계수[[#Data],[타입]],0),1)*C79,
IF(E79="방어형",INDEX(몬스터계수[[#Data],[생명계수]],MATCH(E79,몬스터계수[[#Data],[타입]],0),1)*C79,
IF(E79="회피형",INDEX(몬스터계수[[#Data],[생명계수]],MATCH(E79,몬스터계수[[#Data],[타입]],0),1)*C79,
IF(E79="체력형",INDEX(몬스터계수[[#Data],[생명계수]],MATCH(E79,몬스터계수[[#Data],[타입]],0),1)*C79,0))))*IF(몬스터밸런스[[#This Row],[보스]]=TRUE,2,1)</f>
        <v>1907.5</v>
      </c>
      <c r="G79">
        <f>IF(E79="공격형",INDEX(몬스터계수[[#Data],[힘계수]],MATCH(E79, 몬스터계수[[#Data],[타입]],0),1)*C79,
IF(E79="방어형",INDEX(몬스터계수[[#Data],[힘계수]],MATCH(E79, 몬스터계수[[#Data],[타입]],0),1)*C79,
IF(E79="회피형",INDEX(몬스터계수[[#Data],[힘계수]],MATCH(E79, 몬스터계수[[#Data],[타입]],0),1)*C79,
IF(E79="체력형",INDEX(몬스터계수[[#Data],[힘계수]],MATCH(E79, 몬스터계수[[#Data],[타입]],0),1)*C79,0))))</f>
        <v>953.75</v>
      </c>
      <c r="H79">
        <f>IF(E79="공격형",INDEX(몬스터계수[[#Data],[근력게수]],MATCH(E79,몬스터계수[[#Data],[타입]],0),1)*C79,
IF(E79="방어형",INDEX(몬스터계수[[#Data],[근력게수]],MATCH(E79,몬스터계수[[#Data],[타입]],0),1)*C79,
IF(E79="회피형",INDEX(몬스터계수[[#Data],[근력게수]],MATCH(E79,몬스터계수[[#Data],[타입]],0),1)*C79,
IF(E79="체력형",INDEX(몬스터계수[[#Data],[근력게수]],MATCH(E79,몬스터계수[[#Data],[타입]],0),1)*C79,0))))</f>
        <v>190.75</v>
      </c>
      <c r="I79">
        <f>IF(E79="공격형",INDEX(몬스터계수[[#Data],[숙련도계수]],MATCH(E79,몬스터계수[[#Data],[타입]],0),1)*C79,
IF(E79="방어형",INDEX(몬스터계수[[#Data],[숙련도계수]],MATCH(E79,몬스터계수[[#Data],[타입]],0),1)*C79,
IF(E79="회피형",INDEX(몬스터계수[[#Data],[숙련도계수]],MATCH(E79,몬스터계수[[#Data],[타입]],0),1)*C79,
IF(E79="체력형",INDEX(몬스터계수[[#Data],[숙련도계수]],MATCH(E79,몬스터계수[[#Data],[타입]],0),1)*C79,0))))</f>
        <v>572.25</v>
      </c>
      <c r="J79">
        <f>IF(E79="공격형",INDEX(몬스터계수[[#Data],[행운계수]],MATCH(E79, 몬스터계수[[#Data],[타입]],0),1)*C79,
IF(E79="방어형",INDEX(몬스터계수[[#Data],[행운계수]],MATCH(E79, 몬스터계수[[#Data],[타입]],0),1)*C79,
IF(E79="회피형",INDEX(몬스터계수[[#Data],[행운계수]],MATCH(E79, 몬스터계수[[#Data],[타입]],0),1)*C79,
IF(E79="체력형",INDEX(몬스터계수[[#Data],[행운계수]],MATCH(E79, 몬스터계수[[#Data],[타입]],0),1)*C79,0))))</f>
        <v>190.75</v>
      </c>
      <c r="K79" s="34">
        <f>ROUND(
(($F79)*참고!$D$5)
+(($G79)*참고!$D$6)
+(($H79)*참고!$D$7)
+(($I79)*참고!$D$8)
+(($J79))*참고!$D$9,0)</f>
        <v>29662</v>
      </c>
      <c r="L79" s="34">
        <f>ROUND(
(($F79)*참고!$E$5)
+(($G79)*참고!$E$6)
+(($H79)*참고!$E$7)
+(($I79)*참고!$E$8)
+(($J79))*참고!$E$9,0)</f>
        <v>16977</v>
      </c>
      <c r="M79" s="34">
        <f>ROUND(
(($F79)*참고!$F$5)
+(($G79)*참고!$F$6)
+(($H79)*참고!$F$7)
+(($I79)*참고!$F$8)
+(($J79))*참고!$F$9,0)</f>
        <v>4769</v>
      </c>
      <c r="N79" s="34">
        <f>ROUND(
(($F79)*참고!$G$5)
+(($G79)*참고!$G$6)
+(($H79)*참고!$G$7)
+(($I79)*참고!$G$8)
+(($J79))*참고!$G$9,0)</f>
        <v>134</v>
      </c>
      <c r="O79" s="34">
        <f>ROUND(
(($F79)*참고!$H$5)
+(($G79)*참고!$H$6)
+(($H79)*참고!$H$7)
+(($I79)*참고!$H$8)
+(($J79))*참고!$H$9,0)</f>
        <v>3147</v>
      </c>
      <c r="P79" s="34">
        <f>ROUND(
(($F79)*참고!$I$5)
+(($G79)*참고!$I$6)
+(($H79)*참고!$I$7)
+(($I79)*참고!$I$8)
+(($J79))*참고!$I$9,0)</f>
        <v>5532</v>
      </c>
      <c r="Q79" s="34">
        <f>ROUND(
(($F79)*참고!$J$5)
+(($G79)*참고!$J$6)
+(($H79)*참고!$J$7)
+(($I79)*참고!$J$8)
+(($J79))*참고!$J$9,0)</f>
        <v>3815</v>
      </c>
      <c r="R79" s="34">
        <f>IF(E79="공격형",(INDEX(몬스터계수[[#Data],[속도]],MATCH(E79, 몬스터계수[[#Data],[타입]],0),1)*속도핸들러_곱계수)*(INT(몬스터밸런스[[#This Row],[Lv]]/속도핸들러_합계수+1)),
IF(E79="방어형",(INDEX(몬스터계수[[#Data],[속도]],MATCH(E79, 몬스터계수[[#Data],[타입]],0),1)*속도핸들러_곱계수)*(INT(몬스터밸런스[[#This Row],[Lv]]/속도핸들러_합계수+1)),
IF(E79="회피형",(INDEX(몬스터계수[[#Data],[속도]],MATCH(E79, 몬스터계수[[#Data],[타입]],0),1)*속도핸들러_곱계수)*(INT(몬스터밸런스[[#This Row],[Lv]]/속도핸들러_합계수+1)),
IF(E79="기본형",(INDEX(몬스터계수[[#Data],[속도]],MATCH(E79, 몬스터계수[[#Data],[타입]],0),1)*속도핸들러_곱계수)*(INT(몬스터밸런스[[#This Row],[Lv]]/속도핸들러_합계수+1)),0))))</f>
        <v>0</v>
      </c>
      <c r="S79">
        <f t="shared" si="4"/>
        <v>1018401.5</v>
      </c>
      <c r="U79">
        <v>1</v>
      </c>
      <c r="V79">
        <v>77</v>
      </c>
      <c r="W79">
        <f>$Z$1*몬스터밸런스9[[#This Row],[단계]]</f>
        <v>5</v>
      </c>
      <c r="X79" t="s">
        <v>51</v>
      </c>
      <c r="AE79" s="34">
        <f>몬스터밸런스[[#This Row],[Hp]]*0.3</f>
        <v>8898.6</v>
      </c>
      <c r="AF79" s="34"/>
      <c r="AG79" s="34"/>
      <c r="AH79" s="34"/>
      <c r="AI79" s="34"/>
      <c r="AJ79" s="34"/>
      <c r="AK79" s="34">
        <f>몬스터밸런스[[#This Row],[DodgeRate]]*0.5</f>
        <v>1907.5</v>
      </c>
      <c r="AL79">
        <f t="shared" si="3"/>
        <v>193875.5</v>
      </c>
    </row>
    <row r="80" spans="1:38">
      <c r="A80">
        <v>770</v>
      </c>
      <c r="B80">
        <v>78</v>
      </c>
      <c r="C80">
        <f>$F$1*몬스터밸런스[[#This Row],[Lv]]+15</f>
        <v>3865</v>
      </c>
      <c r="E80" t="s">
        <v>479</v>
      </c>
      <c r="F80">
        <f>IF(E80="공격형",INDEX(몬스터계수[[#Data],[생명계수]],MATCH(E80,몬스터계수[[#Data],[타입]],0),1)*C80,
IF(E80="방어형",INDEX(몬스터계수[[#Data],[생명계수]],MATCH(E80,몬스터계수[[#Data],[타입]],0),1)*C80,
IF(E80="회피형",INDEX(몬스터계수[[#Data],[생명계수]],MATCH(E80,몬스터계수[[#Data],[타입]],0),1)*C80,
IF(E80="체력형",INDEX(몬스터계수[[#Data],[생명계수]],MATCH(E80,몬스터계수[[#Data],[타입]],0),1)*C80,0))))*IF(몬스터밸런스[[#This Row],[보스]]=TRUE,2,1)</f>
        <v>1932.5</v>
      </c>
      <c r="G80">
        <f>IF(E80="공격형",INDEX(몬스터계수[[#Data],[힘계수]],MATCH(E80, 몬스터계수[[#Data],[타입]],0),1)*C80,
IF(E80="방어형",INDEX(몬스터계수[[#Data],[힘계수]],MATCH(E80, 몬스터계수[[#Data],[타입]],0),1)*C80,
IF(E80="회피형",INDEX(몬스터계수[[#Data],[힘계수]],MATCH(E80, 몬스터계수[[#Data],[타입]],0),1)*C80,
IF(E80="체력형",INDEX(몬스터계수[[#Data],[힘계수]],MATCH(E80, 몬스터계수[[#Data],[타입]],0),1)*C80,0))))</f>
        <v>966.25</v>
      </c>
      <c r="H80">
        <f>IF(E80="공격형",INDEX(몬스터계수[[#Data],[근력게수]],MATCH(E80,몬스터계수[[#Data],[타입]],0),1)*C80,
IF(E80="방어형",INDEX(몬스터계수[[#Data],[근력게수]],MATCH(E80,몬스터계수[[#Data],[타입]],0),1)*C80,
IF(E80="회피형",INDEX(몬스터계수[[#Data],[근력게수]],MATCH(E80,몬스터계수[[#Data],[타입]],0),1)*C80,
IF(E80="체력형",INDEX(몬스터계수[[#Data],[근력게수]],MATCH(E80,몬스터계수[[#Data],[타입]],0),1)*C80,0))))</f>
        <v>193.25</v>
      </c>
      <c r="I80">
        <f>IF(E80="공격형",INDEX(몬스터계수[[#Data],[숙련도계수]],MATCH(E80,몬스터계수[[#Data],[타입]],0),1)*C80,
IF(E80="방어형",INDEX(몬스터계수[[#Data],[숙련도계수]],MATCH(E80,몬스터계수[[#Data],[타입]],0),1)*C80,
IF(E80="회피형",INDEX(몬스터계수[[#Data],[숙련도계수]],MATCH(E80,몬스터계수[[#Data],[타입]],0),1)*C80,
IF(E80="체력형",INDEX(몬스터계수[[#Data],[숙련도계수]],MATCH(E80,몬스터계수[[#Data],[타입]],0),1)*C80,0))))</f>
        <v>579.75</v>
      </c>
      <c r="J80">
        <f>IF(E80="공격형",INDEX(몬스터계수[[#Data],[행운계수]],MATCH(E80, 몬스터계수[[#Data],[타입]],0),1)*C80,
IF(E80="방어형",INDEX(몬스터계수[[#Data],[행운계수]],MATCH(E80, 몬스터계수[[#Data],[타입]],0),1)*C80,
IF(E80="회피형",INDEX(몬스터계수[[#Data],[행운계수]],MATCH(E80, 몬스터계수[[#Data],[타입]],0),1)*C80,
IF(E80="체력형",INDEX(몬스터계수[[#Data],[행운계수]],MATCH(E80, 몬스터계수[[#Data],[타입]],0),1)*C80,0))))</f>
        <v>193.25</v>
      </c>
      <c r="K80" s="34">
        <f>ROUND(
(($F80)*참고!$D$5)
+(($G80)*참고!$D$6)
+(($H80)*참고!$D$7)
+(($I80)*참고!$D$8)
+(($J80))*참고!$D$9,0)</f>
        <v>30050</v>
      </c>
      <c r="L80" s="34">
        <f>ROUND(
(($F80)*참고!$E$5)
+(($G80)*참고!$E$6)
+(($H80)*참고!$E$7)
+(($I80)*참고!$E$8)
+(($J80))*참고!$E$9,0)</f>
        <v>17199</v>
      </c>
      <c r="M80" s="34">
        <f>ROUND(
(($F80)*참고!$F$5)
+(($G80)*참고!$F$6)
+(($H80)*참고!$F$7)
+(($I80)*참고!$F$8)
+(($J80))*참고!$F$9,0)</f>
        <v>4831</v>
      </c>
      <c r="N80" s="34">
        <f>ROUND(
(($F80)*참고!$G$5)
+(($G80)*참고!$G$6)
+(($H80)*참고!$G$7)
+(($I80)*참고!$G$8)
+(($J80))*참고!$G$9,0)</f>
        <v>135</v>
      </c>
      <c r="O80" s="34">
        <f>ROUND(
(($F80)*참고!$H$5)
+(($G80)*참고!$H$6)
+(($H80)*참고!$H$7)
+(($I80)*참고!$H$8)
+(($J80))*참고!$H$9,0)</f>
        <v>3189</v>
      </c>
      <c r="P80" s="34">
        <f>ROUND(
(($F80)*참고!$I$5)
+(($G80)*참고!$I$6)
+(($H80)*참고!$I$7)
+(($I80)*참고!$I$8)
+(($J80))*참고!$I$9,0)</f>
        <v>5604</v>
      </c>
      <c r="Q80" s="34">
        <f>ROUND(
(($F80)*참고!$J$5)
+(($G80)*참고!$J$6)
+(($H80)*참고!$J$7)
+(($I80)*참고!$J$8)
+(($J80))*참고!$J$9,0)</f>
        <v>3865</v>
      </c>
      <c r="R80" s="34">
        <f>IF(E80="공격형",(INDEX(몬스터계수[[#Data],[속도]],MATCH(E80, 몬스터계수[[#Data],[타입]],0),1)*속도핸들러_곱계수)*(INT(몬스터밸런스[[#This Row],[Lv]]/속도핸들러_합계수+1)),
IF(E80="방어형",(INDEX(몬스터계수[[#Data],[속도]],MATCH(E80, 몬스터계수[[#Data],[타입]],0),1)*속도핸들러_곱계수)*(INT(몬스터밸런스[[#This Row],[Lv]]/속도핸들러_합계수+1)),
IF(E80="회피형",(INDEX(몬스터계수[[#Data],[속도]],MATCH(E80, 몬스터계수[[#Data],[타입]],0),1)*속도핸들러_곱계수)*(INT(몬스터밸런스[[#This Row],[Lv]]/속도핸들러_합계수+1)),
IF(E80="기본형",(INDEX(몬스터계수[[#Data],[속도]],MATCH(E80, 몬스터계수[[#Data],[타입]],0),1)*속도핸들러_곱계수)*(INT(몬스터밸런스[[#This Row],[Lv]]/속도핸들러_합계수+1)),0))))</f>
        <v>0</v>
      </c>
      <c r="S80">
        <f t="shared" si="4"/>
        <v>1031717</v>
      </c>
      <c r="U80">
        <v>1</v>
      </c>
      <c r="V80">
        <v>78</v>
      </c>
      <c r="W80">
        <f>$Z$1*몬스터밸런스9[[#This Row],[단계]]</f>
        <v>5</v>
      </c>
      <c r="X80" t="s">
        <v>51</v>
      </c>
      <c r="AE80" s="34">
        <f>몬스터밸런스[[#This Row],[Hp]]*0.3</f>
        <v>9015</v>
      </c>
      <c r="AF80" s="34"/>
      <c r="AG80" s="34"/>
      <c r="AH80" s="34"/>
      <c r="AI80" s="34"/>
      <c r="AJ80" s="34"/>
      <c r="AK80" s="34">
        <f>몬스터밸런스[[#This Row],[DodgeRate]]*0.5</f>
        <v>1932.5</v>
      </c>
      <c r="AL80">
        <f t="shared" si="3"/>
        <v>196412.5</v>
      </c>
    </row>
    <row r="81" spans="1:38">
      <c r="A81">
        <v>780</v>
      </c>
      <c r="B81">
        <v>79</v>
      </c>
      <c r="C81">
        <f>$F$1*몬스터밸런스[[#This Row],[Lv]]+15</f>
        <v>3915</v>
      </c>
      <c r="E81" t="s">
        <v>479</v>
      </c>
      <c r="F81">
        <f>IF(E81="공격형",INDEX(몬스터계수[[#Data],[생명계수]],MATCH(E81,몬스터계수[[#Data],[타입]],0),1)*C81,
IF(E81="방어형",INDEX(몬스터계수[[#Data],[생명계수]],MATCH(E81,몬스터계수[[#Data],[타입]],0),1)*C81,
IF(E81="회피형",INDEX(몬스터계수[[#Data],[생명계수]],MATCH(E81,몬스터계수[[#Data],[타입]],0),1)*C81,
IF(E81="체력형",INDEX(몬스터계수[[#Data],[생명계수]],MATCH(E81,몬스터계수[[#Data],[타입]],0),1)*C81,0))))*IF(몬스터밸런스[[#This Row],[보스]]=TRUE,2,1)</f>
        <v>1957.5</v>
      </c>
      <c r="G81">
        <f>IF(E81="공격형",INDEX(몬스터계수[[#Data],[힘계수]],MATCH(E81, 몬스터계수[[#Data],[타입]],0),1)*C81,
IF(E81="방어형",INDEX(몬스터계수[[#Data],[힘계수]],MATCH(E81, 몬스터계수[[#Data],[타입]],0),1)*C81,
IF(E81="회피형",INDEX(몬스터계수[[#Data],[힘계수]],MATCH(E81, 몬스터계수[[#Data],[타입]],0),1)*C81,
IF(E81="체력형",INDEX(몬스터계수[[#Data],[힘계수]],MATCH(E81, 몬스터계수[[#Data],[타입]],0),1)*C81,0))))</f>
        <v>978.75</v>
      </c>
      <c r="H81">
        <f>IF(E81="공격형",INDEX(몬스터계수[[#Data],[근력게수]],MATCH(E81,몬스터계수[[#Data],[타입]],0),1)*C81,
IF(E81="방어형",INDEX(몬스터계수[[#Data],[근력게수]],MATCH(E81,몬스터계수[[#Data],[타입]],0),1)*C81,
IF(E81="회피형",INDEX(몬스터계수[[#Data],[근력게수]],MATCH(E81,몬스터계수[[#Data],[타입]],0),1)*C81,
IF(E81="체력형",INDEX(몬스터계수[[#Data],[근력게수]],MATCH(E81,몬스터계수[[#Data],[타입]],0),1)*C81,0))))</f>
        <v>195.75</v>
      </c>
      <c r="I81">
        <f>IF(E81="공격형",INDEX(몬스터계수[[#Data],[숙련도계수]],MATCH(E81,몬스터계수[[#Data],[타입]],0),1)*C81,
IF(E81="방어형",INDEX(몬스터계수[[#Data],[숙련도계수]],MATCH(E81,몬스터계수[[#Data],[타입]],0),1)*C81,
IF(E81="회피형",INDEX(몬스터계수[[#Data],[숙련도계수]],MATCH(E81,몬스터계수[[#Data],[타입]],0),1)*C81,
IF(E81="체력형",INDEX(몬스터계수[[#Data],[숙련도계수]],MATCH(E81,몬스터계수[[#Data],[타입]],0),1)*C81,0))))</f>
        <v>587.25</v>
      </c>
      <c r="J81">
        <f>IF(E81="공격형",INDEX(몬스터계수[[#Data],[행운계수]],MATCH(E81, 몬스터계수[[#Data],[타입]],0),1)*C81,
IF(E81="방어형",INDEX(몬스터계수[[#Data],[행운계수]],MATCH(E81, 몬스터계수[[#Data],[타입]],0),1)*C81,
IF(E81="회피형",INDEX(몬스터계수[[#Data],[행운계수]],MATCH(E81, 몬스터계수[[#Data],[타입]],0),1)*C81,
IF(E81="체력형",INDEX(몬스터계수[[#Data],[행운계수]],MATCH(E81, 몬스터계수[[#Data],[타입]],0),1)*C81,0))))</f>
        <v>195.75</v>
      </c>
      <c r="K81" s="34">
        <f>ROUND(
(($F81)*참고!$D$5)
+(($G81)*참고!$D$6)
+(($H81)*참고!$D$7)
+(($I81)*참고!$D$8)
+(($J81))*참고!$D$9,0)</f>
        <v>30439</v>
      </c>
      <c r="L81" s="34">
        <f>ROUND(
(($F81)*참고!$E$5)
+(($G81)*참고!$E$6)
+(($H81)*참고!$E$7)
+(($I81)*참고!$E$8)
+(($J81))*참고!$E$9,0)</f>
        <v>17422</v>
      </c>
      <c r="M81" s="34">
        <f>ROUND(
(($F81)*참고!$F$5)
+(($G81)*참고!$F$6)
+(($H81)*참고!$F$7)
+(($I81)*참고!$F$8)
+(($J81))*참고!$F$9,0)</f>
        <v>4894</v>
      </c>
      <c r="N81" s="34">
        <f>ROUND(
(($F81)*참고!$G$5)
+(($G81)*참고!$G$6)
+(($H81)*참고!$G$7)
+(($I81)*참고!$G$8)
+(($J81))*참고!$G$9,0)</f>
        <v>137</v>
      </c>
      <c r="O81" s="34">
        <f>ROUND(
(($F81)*참고!$H$5)
+(($G81)*참고!$H$6)
+(($H81)*참고!$H$7)
+(($I81)*참고!$H$8)
+(($J81))*참고!$H$9,0)</f>
        <v>3230</v>
      </c>
      <c r="P81" s="34">
        <f>ROUND(
(($F81)*참고!$I$5)
+(($G81)*참고!$I$6)
+(($H81)*참고!$I$7)
+(($I81)*참고!$I$8)
+(($J81))*참고!$I$9,0)</f>
        <v>5677</v>
      </c>
      <c r="Q81" s="34">
        <f>ROUND(
(($F81)*참고!$J$5)
+(($G81)*참고!$J$6)
+(($H81)*참고!$J$7)
+(($I81)*참고!$J$8)
+(($J81))*참고!$J$9,0)</f>
        <v>3915</v>
      </c>
      <c r="R81" s="34">
        <f>IF(E81="공격형",(INDEX(몬스터계수[[#Data],[속도]],MATCH(E81, 몬스터계수[[#Data],[타입]],0),1)*속도핸들러_곱계수)*(INT(몬스터밸런스[[#This Row],[Lv]]/속도핸들러_합계수+1)),
IF(E81="방어형",(INDEX(몬스터계수[[#Data],[속도]],MATCH(E81, 몬스터계수[[#Data],[타입]],0),1)*속도핸들러_곱계수)*(INT(몬스터밸런스[[#This Row],[Lv]]/속도핸들러_합계수+1)),
IF(E81="회피형",(INDEX(몬스터계수[[#Data],[속도]],MATCH(E81, 몬스터계수[[#Data],[타입]],0),1)*속도핸들러_곱계수)*(INT(몬스터밸런스[[#This Row],[Lv]]/속도핸들러_합계수+1)),
IF(E81="기본형",(INDEX(몬스터계수[[#Data],[속도]],MATCH(E81, 몬스터계수[[#Data],[타입]],0),1)*속도핸들러_곱계수)*(INT(몬스터밸런스[[#This Row],[Lv]]/속도핸들러_합계수+1)),0))))</f>
        <v>0</v>
      </c>
      <c r="S81">
        <f t="shared" si="4"/>
        <v>1045089</v>
      </c>
      <c r="U81">
        <v>1</v>
      </c>
      <c r="V81">
        <v>79</v>
      </c>
      <c r="W81">
        <f>$Z$1*몬스터밸런스9[[#This Row],[단계]]</f>
        <v>5</v>
      </c>
      <c r="X81" t="s">
        <v>51</v>
      </c>
      <c r="AE81" s="34">
        <f>몬스터밸런스[[#This Row],[Hp]]*0.3</f>
        <v>9131.6999999999989</v>
      </c>
      <c r="AF81" s="34"/>
      <c r="AG81" s="34"/>
      <c r="AH81" s="34"/>
      <c r="AI81" s="34"/>
      <c r="AJ81" s="34"/>
      <c r="AK81" s="34">
        <f>몬스터밸런스[[#This Row],[DodgeRate]]*0.5</f>
        <v>1957.5</v>
      </c>
      <c r="AL81">
        <f t="shared" si="3"/>
        <v>198954.74999999997</v>
      </c>
    </row>
    <row r="82" spans="1:38">
      <c r="A82">
        <v>790</v>
      </c>
      <c r="B82">
        <v>80</v>
      </c>
      <c r="C82">
        <f>$F$1*몬스터밸런스[[#This Row],[Lv]]+15</f>
        <v>3965</v>
      </c>
      <c r="E82" t="s">
        <v>479</v>
      </c>
      <c r="F82">
        <f>IF(E82="공격형",INDEX(몬스터계수[[#Data],[생명계수]],MATCH(E82,몬스터계수[[#Data],[타입]],0),1)*C82,
IF(E82="방어형",INDEX(몬스터계수[[#Data],[생명계수]],MATCH(E82,몬스터계수[[#Data],[타입]],0),1)*C82,
IF(E82="회피형",INDEX(몬스터계수[[#Data],[생명계수]],MATCH(E82,몬스터계수[[#Data],[타입]],0),1)*C82,
IF(E82="체력형",INDEX(몬스터계수[[#Data],[생명계수]],MATCH(E82,몬스터계수[[#Data],[타입]],0),1)*C82,0))))*IF(몬스터밸런스[[#This Row],[보스]]=TRUE,2,1)</f>
        <v>1982.5</v>
      </c>
      <c r="G82">
        <f>IF(E82="공격형",INDEX(몬스터계수[[#Data],[힘계수]],MATCH(E82, 몬스터계수[[#Data],[타입]],0),1)*C82,
IF(E82="방어형",INDEX(몬스터계수[[#Data],[힘계수]],MATCH(E82, 몬스터계수[[#Data],[타입]],0),1)*C82,
IF(E82="회피형",INDEX(몬스터계수[[#Data],[힘계수]],MATCH(E82, 몬스터계수[[#Data],[타입]],0),1)*C82,
IF(E82="체력형",INDEX(몬스터계수[[#Data],[힘계수]],MATCH(E82, 몬스터계수[[#Data],[타입]],0),1)*C82,0))))</f>
        <v>991.25</v>
      </c>
      <c r="H82">
        <f>IF(E82="공격형",INDEX(몬스터계수[[#Data],[근력게수]],MATCH(E82,몬스터계수[[#Data],[타입]],0),1)*C82,
IF(E82="방어형",INDEX(몬스터계수[[#Data],[근력게수]],MATCH(E82,몬스터계수[[#Data],[타입]],0),1)*C82,
IF(E82="회피형",INDEX(몬스터계수[[#Data],[근력게수]],MATCH(E82,몬스터계수[[#Data],[타입]],0),1)*C82,
IF(E82="체력형",INDEX(몬스터계수[[#Data],[근력게수]],MATCH(E82,몬스터계수[[#Data],[타입]],0),1)*C82,0))))</f>
        <v>198.25</v>
      </c>
      <c r="I82">
        <f>IF(E82="공격형",INDEX(몬스터계수[[#Data],[숙련도계수]],MATCH(E82,몬스터계수[[#Data],[타입]],0),1)*C82,
IF(E82="방어형",INDEX(몬스터계수[[#Data],[숙련도계수]],MATCH(E82,몬스터계수[[#Data],[타입]],0),1)*C82,
IF(E82="회피형",INDEX(몬스터계수[[#Data],[숙련도계수]],MATCH(E82,몬스터계수[[#Data],[타입]],0),1)*C82,
IF(E82="체력형",INDEX(몬스터계수[[#Data],[숙련도계수]],MATCH(E82,몬스터계수[[#Data],[타입]],0),1)*C82,0))))</f>
        <v>594.75</v>
      </c>
      <c r="J82">
        <f>IF(E82="공격형",INDEX(몬스터계수[[#Data],[행운계수]],MATCH(E82, 몬스터계수[[#Data],[타입]],0),1)*C82,
IF(E82="방어형",INDEX(몬스터계수[[#Data],[행운계수]],MATCH(E82, 몬스터계수[[#Data],[타입]],0),1)*C82,
IF(E82="회피형",INDEX(몬스터계수[[#Data],[행운계수]],MATCH(E82, 몬스터계수[[#Data],[타입]],0),1)*C82,
IF(E82="체력형",INDEX(몬스터계수[[#Data],[행운계수]],MATCH(E82, 몬스터계수[[#Data],[타입]],0),1)*C82,0))))</f>
        <v>198.25</v>
      </c>
      <c r="K82" s="34">
        <f>ROUND(
(($F82)*참고!$D$5)
+(($G82)*참고!$D$6)
+(($H82)*참고!$D$7)
+(($I82)*참고!$D$8)
+(($J82))*참고!$D$9,0)</f>
        <v>30828</v>
      </c>
      <c r="L82" s="34">
        <f>ROUND(
(($F82)*참고!$E$5)
+(($G82)*참고!$E$6)
+(($H82)*참고!$E$7)
+(($I82)*참고!$E$8)
+(($J82))*참고!$E$9,0)</f>
        <v>17644</v>
      </c>
      <c r="M82" s="34">
        <f>ROUND(
(($F82)*참고!$F$5)
+(($G82)*참고!$F$6)
+(($H82)*참고!$F$7)
+(($I82)*참고!$F$8)
+(($J82))*참고!$F$9,0)</f>
        <v>4956</v>
      </c>
      <c r="N82" s="34">
        <f>ROUND(
(($F82)*참고!$G$5)
+(($G82)*참고!$G$6)
+(($H82)*참고!$G$7)
+(($I82)*참고!$G$8)
+(($J82))*참고!$G$9,0)</f>
        <v>139</v>
      </c>
      <c r="O82" s="34">
        <f>ROUND(
(($F82)*참고!$H$5)
+(($G82)*참고!$H$6)
+(($H82)*참고!$H$7)
+(($I82)*참고!$H$8)
+(($J82))*참고!$H$9,0)</f>
        <v>3271</v>
      </c>
      <c r="P82" s="34">
        <f>ROUND(
(($F82)*참고!$I$5)
+(($G82)*참고!$I$6)
+(($H82)*참고!$I$7)
+(($I82)*참고!$I$8)
+(($J82))*참고!$I$9,0)</f>
        <v>5749</v>
      </c>
      <c r="Q82" s="34">
        <f>ROUND(
(($F82)*참고!$J$5)
+(($G82)*참고!$J$6)
+(($H82)*참고!$J$7)
+(($I82)*참고!$J$8)
+(($J82))*참고!$J$9,0)</f>
        <v>3965</v>
      </c>
      <c r="R82" s="34">
        <f>IF(E82="공격형",(INDEX(몬스터계수[[#Data],[속도]],MATCH(E82, 몬스터계수[[#Data],[타입]],0),1)*속도핸들러_곱계수)*(INT(몬스터밸런스[[#This Row],[Lv]]/속도핸들러_합계수+1)),
IF(E82="방어형",(INDEX(몬스터계수[[#Data],[속도]],MATCH(E82, 몬스터계수[[#Data],[타입]],0),1)*속도핸들러_곱계수)*(INT(몬스터밸런스[[#This Row],[Lv]]/속도핸들러_합계수+1)),
IF(E82="회피형",(INDEX(몬스터계수[[#Data],[속도]],MATCH(E82, 몬스터계수[[#Data],[타입]],0),1)*속도핸들러_곱계수)*(INT(몬스터밸런스[[#This Row],[Lv]]/속도핸들러_합계수+1)),
IF(E82="기본형",(INDEX(몬스터계수[[#Data],[속도]],MATCH(E82, 몬스터계수[[#Data],[타입]],0),1)*속도핸들러_곱계수)*(INT(몬스터밸런스[[#This Row],[Lv]]/속도핸들러_합계수+1)),0))))</f>
        <v>0</v>
      </c>
      <c r="S82">
        <f t="shared" si="4"/>
        <v>1058418</v>
      </c>
      <c r="U82">
        <v>1</v>
      </c>
      <c r="V82">
        <v>80</v>
      </c>
      <c r="W82">
        <f>$Z$1*몬스터밸런스9[[#This Row],[단계]]</f>
        <v>5</v>
      </c>
      <c r="X82" t="s">
        <v>51</v>
      </c>
      <c r="AE82" s="34">
        <f>몬스터밸런스[[#This Row],[Hp]]*0.3</f>
        <v>9248.4</v>
      </c>
      <c r="AF82" s="34"/>
      <c r="AG82" s="34"/>
      <c r="AH82" s="34"/>
      <c r="AI82" s="34"/>
      <c r="AJ82" s="34"/>
      <c r="AK82" s="34">
        <f>몬스터밸런스[[#This Row],[DodgeRate]]*0.5</f>
        <v>1982.5</v>
      </c>
      <c r="AL82">
        <f t="shared" si="3"/>
        <v>201497</v>
      </c>
    </row>
    <row r="83" spans="1:38">
      <c r="A83">
        <v>800</v>
      </c>
      <c r="B83">
        <v>81</v>
      </c>
      <c r="C83">
        <f>$F$1*몬스터밸런스[[#This Row],[Lv]]+15</f>
        <v>4015</v>
      </c>
      <c r="E83" t="s">
        <v>479</v>
      </c>
      <c r="F83">
        <f>IF(E83="공격형",INDEX(몬스터계수[[#Data],[생명계수]],MATCH(E83,몬스터계수[[#Data],[타입]],0),1)*C83,
IF(E83="방어형",INDEX(몬스터계수[[#Data],[생명계수]],MATCH(E83,몬스터계수[[#Data],[타입]],0),1)*C83,
IF(E83="회피형",INDEX(몬스터계수[[#Data],[생명계수]],MATCH(E83,몬스터계수[[#Data],[타입]],0),1)*C83,
IF(E83="체력형",INDEX(몬스터계수[[#Data],[생명계수]],MATCH(E83,몬스터계수[[#Data],[타입]],0),1)*C83,0))))*IF(몬스터밸런스[[#This Row],[보스]]=TRUE,2,1)</f>
        <v>2007.5</v>
      </c>
      <c r="G83">
        <f>IF(E83="공격형",INDEX(몬스터계수[[#Data],[힘계수]],MATCH(E83, 몬스터계수[[#Data],[타입]],0),1)*C83,
IF(E83="방어형",INDEX(몬스터계수[[#Data],[힘계수]],MATCH(E83, 몬스터계수[[#Data],[타입]],0),1)*C83,
IF(E83="회피형",INDEX(몬스터계수[[#Data],[힘계수]],MATCH(E83, 몬스터계수[[#Data],[타입]],0),1)*C83,
IF(E83="체력형",INDEX(몬스터계수[[#Data],[힘계수]],MATCH(E83, 몬스터계수[[#Data],[타입]],0),1)*C83,0))))</f>
        <v>1003.75</v>
      </c>
      <c r="H83">
        <f>IF(E83="공격형",INDEX(몬스터계수[[#Data],[근력게수]],MATCH(E83,몬스터계수[[#Data],[타입]],0),1)*C83,
IF(E83="방어형",INDEX(몬스터계수[[#Data],[근력게수]],MATCH(E83,몬스터계수[[#Data],[타입]],0),1)*C83,
IF(E83="회피형",INDEX(몬스터계수[[#Data],[근력게수]],MATCH(E83,몬스터계수[[#Data],[타입]],0),1)*C83,
IF(E83="체력형",INDEX(몬스터계수[[#Data],[근력게수]],MATCH(E83,몬스터계수[[#Data],[타입]],0),1)*C83,0))))</f>
        <v>200.75</v>
      </c>
      <c r="I83">
        <f>IF(E83="공격형",INDEX(몬스터계수[[#Data],[숙련도계수]],MATCH(E83,몬스터계수[[#Data],[타입]],0),1)*C83,
IF(E83="방어형",INDEX(몬스터계수[[#Data],[숙련도계수]],MATCH(E83,몬스터계수[[#Data],[타입]],0),1)*C83,
IF(E83="회피형",INDEX(몬스터계수[[#Data],[숙련도계수]],MATCH(E83,몬스터계수[[#Data],[타입]],0),1)*C83,
IF(E83="체력형",INDEX(몬스터계수[[#Data],[숙련도계수]],MATCH(E83,몬스터계수[[#Data],[타입]],0),1)*C83,0))))</f>
        <v>602.25</v>
      </c>
      <c r="J83">
        <f>IF(E83="공격형",INDEX(몬스터계수[[#Data],[행운계수]],MATCH(E83, 몬스터계수[[#Data],[타입]],0),1)*C83,
IF(E83="방어형",INDEX(몬스터계수[[#Data],[행운계수]],MATCH(E83, 몬스터계수[[#Data],[타입]],0),1)*C83,
IF(E83="회피형",INDEX(몬스터계수[[#Data],[행운계수]],MATCH(E83, 몬스터계수[[#Data],[타입]],0),1)*C83,
IF(E83="체력형",INDEX(몬스터계수[[#Data],[행운계수]],MATCH(E83, 몬스터계수[[#Data],[타입]],0),1)*C83,0))))</f>
        <v>200.75</v>
      </c>
      <c r="K83" s="34">
        <f>ROUND(
(($F83)*참고!$D$5)
+(($G83)*참고!$D$6)
+(($H83)*참고!$D$7)
+(($I83)*참고!$D$8)
+(($J83))*참고!$D$9,0)</f>
        <v>31217</v>
      </c>
      <c r="L83" s="34">
        <f>ROUND(
(($F83)*참고!$E$5)
+(($G83)*참고!$E$6)
+(($H83)*참고!$E$7)
+(($I83)*참고!$E$8)
+(($J83))*참고!$E$9,0)</f>
        <v>17867</v>
      </c>
      <c r="M83" s="34">
        <f>ROUND(
(($F83)*참고!$F$5)
+(($G83)*참고!$F$6)
+(($H83)*참고!$F$7)
+(($I83)*참고!$F$8)
+(($J83))*참고!$F$9,0)</f>
        <v>5019</v>
      </c>
      <c r="N83" s="34">
        <f>ROUND(
(($F83)*참고!$G$5)
+(($G83)*참고!$G$6)
+(($H83)*참고!$G$7)
+(($I83)*참고!$G$8)
+(($J83))*참고!$G$9,0)</f>
        <v>141</v>
      </c>
      <c r="O83" s="34">
        <f>ROUND(
(($F83)*참고!$H$5)
+(($G83)*참고!$H$6)
+(($H83)*참고!$H$7)
+(($I83)*참고!$H$8)
+(($J83))*참고!$H$9,0)</f>
        <v>3312</v>
      </c>
      <c r="P83" s="34">
        <f>ROUND(
(($F83)*참고!$I$5)
+(($G83)*참고!$I$6)
+(($H83)*참고!$I$7)
+(($I83)*참고!$I$8)
+(($J83))*참고!$I$9,0)</f>
        <v>5822</v>
      </c>
      <c r="Q83" s="34">
        <f>ROUND(
(($F83)*참고!$J$5)
+(($G83)*참고!$J$6)
+(($H83)*참고!$J$7)
+(($I83)*참고!$J$8)
+(($J83))*참고!$J$9,0)</f>
        <v>4015</v>
      </c>
      <c r="R83" s="34">
        <f>IF(E83="공격형",(INDEX(몬스터계수[[#Data],[속도]],MATCH(E83, 몬스터계수[[#Data],[타입]],0),1)*속도핸들러_곱계수)*(INT(몬스터밸런스[[#This Row],[Lv]]/속도핸들러_합계수+1)),
IF(E83="방어형",(INDEX(몬스터계수[[#Data],[속도]],MATCH(E83, 몬스터계수[[#Data],[타입]],0),1)*속도핸들러_곱계수)*(INT(몬스터밸런스[[#This Row],[Lv]]/속도핸들러_합계수+1)),
IF(E83="회피형",(INDEX(몬스터계수[[#Data],[속도]],MATCH(E83, 몬스터계수[[#Data],[타입]],0),1)*속도핸들러_곱계수)*(INT(몬스터밸런스[[#This Row],[Lv]]/속도핸들러_합계수+1)),
IF(E83="기본형",(INDEX(몬스터계수[[#Data],[속도]],MATCH(E83, 몬스터계수[[#Data],[타입]],0),1)*속도핸들러_곱계수)*(INT(몬스터밸런스[[#This Row],[Lv]]/속도핸들러_합계수+1)),0))))</f>
        <v>0</v>
      </c>
      <c r="S83">
        <f t="shared" si="4"/>
        <v>1071790</v>
      </c>
      <c r="U83">
        <v>2</v>
      </c>
      <c r="V83">
        <v>81</v>
      </c>
      <c r="W83">
        <f>$Z$1*몬스터밸런스9[[#This Row],[단계]]</f>
        <v>10</v>
      </c>
      <c r="X83" t="s">
        <v>51</v>
      </c>
      <c r="AE83" s="34">
        <f>몬스터밸런스[[#This Row],[Hp]]*0.3</f>
        <v>9365.1</v>
      </c>
      <c r="AF83" s="34"/>
      <c r="AG83" s="34"/>
      <c r="AH83" s="34"/>
      <c r="AI83" s="34"/>
      <c r="AJ83" s="34"/>
      <c r="AK83" s="34">
        <f>몬스터밸런스[[#This Row],[DodgeRate]]*0.5</f>
        <v>2007.5</v>
      </c>
      <c r="AL83">
        <f t="shared" si="3"/>
        <v>204039.25</v>
      </c>
    </row>
    <row r="84" spans="1:38">
      <c r="A84">
        <v>810</v>
      </c>
      <c r="B84">
        <v>82</v>
      </c>
      <c r="C84">
        <f>$F$1*몬스터밸런스[[#This Row],[Lv]]+15</f>
        <v>4065</v>
      </c>
      <c r="E84" t="s">
        <v>479</v>
      </c>
      <c r="F84">
        <f>IF(E84="공격형",INDEX(몬스터계수[[#Data],[생명계수]],MATCH(E84,몬스터계수[[#Data],[타입]],0),1)*C84,
IF(E84="방어형",INDEX(몬스터계수[[#Data],[생명계수]],MATCH(E84,몬스터계수[[#Data],[타입]],0),1)*C84,
IF(E84="회피형",INDEX(몬스터계수[[#Data],[생명계수]],MATCH(E84,몬스터계수[[#Data],[타입]],0),1)*C84,
IF(E84="체력형",INDEX(몬스터계수[[#Data],[생명계수]],MATCH(E84,몬스터계수[[#Data],[타입]],0),1)*C84,0))))*IF(몬스터밸런스[[#This Row],[보스]]=TRUE,2,1)</f>
        <v>2032.5</v>
      </c>
      <c r="G84">
        <f>IF(E84="공격형",INDEX(몬스터계수[[#Data],[힘계수]],MATCH(E84, 몬스터계수[[#Data],[타입]],0),1)*C84,
IF(E84="방어형",INDEX(몬스터계수[[#Data],[힘계수]],MATCH(E84, 몬스터계수[[#Data],[타입]],0),1)*C84,
IF(E84="회피형",INDEX(몬스터계수[[#Data],[힘계수]],MATCH(E84, 몬스터계수[[#Data],[타입]],0),1)*C84,
IF(E84="체력형",INDEX(몬스터계수[[#Data],[힘계수]],MATCH(E84, 몬스터계수[[#Data],[타입]],0),1)*C84,0))))</f>
        <v>1016.25</v>
      </c>
      <c r="H84">
        <f>IF(E84="공격형",INDEX(몬스터계수[[#Data],[근력게수]],MATCH(E84,몬스터계수[[#Data],[타입]],0),1)*C84,
IF(E84="방어형",INDEX(몬스터계수[[#Data],[근력게수]],MATCH(E84,몬스터계수[[#Data],[타입]],0),1)*C84,
IF(E84="회피형",INDEX(몬스터계수[[#Data],[근력게수]],MATCH(E84,몬스터계수[[#Data],[타입]],0),1)*C84,
IF(E84="체력형",INDEX(몬스터계수[[#Data],[근력게수]],MATCH(E84,몬스터계수[[#Data],[타입]],0),1)*C84,0))))</f>
        <v>203.25</v>
      </c>
      <c r="I84">
        <f>IF(E84="공격형",INDEX(몬스터계수[[#Data],[숙련도계수]],MATCH(E84,몬스터계수[[#Data],[타입]],0),1)*C84,
IF(E84="방어형",INDEX(몬스터계수[[#Data],[숙련도계수]],MATCH(E84,몬스터계수[[#Data],[타입]],0),1)*C84,
IF(E84="회피형",INDEX(몬스터계수[[#Data],[숙련도계수]],MATCH(E84,몬스터계수[[#Data],[타입]],0),1)*C84,
IF(E84="체력형",INDEX(몬스터계수[[#Data],[숙련도계수]],MATCH(E84,몬스터계수[[#Data],[타입]],0),1)*C84,0))))</f>
        <v>609.75</v>
      </c>
      <c r="J84">
        <f>IF(E84="공격형",INDEX(몬스터계수[[#Data],[행운계수]],MATCH(E84, 몬스터계수[[#Data],[타입]],0),1)*C84,
IF(E84="방어형",INDEX(몬스터계수[[#Data],[행운계수]],MATCH(E84, 몬스터계수[[#Data],[타입]],0),1)*C84,
IF(E84="회피형",INDEX(몬스터계수[[#Data],[행운계수]],MATCH(E84, 몬스터계수[[#Data],[타입]],0),1)*C84,
IF(E84="체력형",INDEX(몬스터계수[[#Data],[행운계수]],MATCH(E84, 몬스터계수[[#Data],[타입]],0),1)*C84,0))))</f>
        <v>203.25</v>
      </c>
      <c r="K84" s="34">
        <f>ROUND(
(($F84)*참고!$D$5)
+(($G84)*참고!$D$6)
+(($H84)*참고!$D$7)
+(($I84)*참고!$D$8)
+(($J84))*참고!$D$9,0)</f>
        <v>31605</v>
      </c>
      <c r="L84" s="34">
        <f>ROUND(
(($F84)*참고!$E$5)
+(($G84)*참고!$E$6)
+(($H84)*참고!$E$7)
+(($I84)*참고!$E$8)
+(($J84))*참고!$E$9,0)</f>
        <v>18089</v>
      </c>
      <c r="M84" s="34">
        <f>ROUND(
(($F84)*참고!$F$5)
+(($G84)*참고!$F$6)
+(($H84)*참고!$F$7)
+(($I84)*참고!$F$8)
+(($J84))*참고!$F$9,0)</f>
        <v>5081</v>
      </c>
      <c r="N84" s="34">
        <f>ROUND(
(($F84)*참고!$G$5)
+(($G84)*참고!$G$6)
+(($H84)*참고!$G$7)
+(($I84)*참고!$G$8)
+(($J84))*참고!$G$9,0)</f>
        <v>142</v>
      </c>
      <c r="O84" s="34">
        <f>ROUND(
(($F84)*참고!$H$5)
+(($G84)*참고!$H$6)
+(($H84)*참고!$H$7)
+(($I84)*참고!$H$8)
+(($J84))*참고!$H$9,0)</f>
        <v>3354</v>
      </c>
      <c r="P84" s="34">
        <f>ROUND(
(($F84)*참고!$I$5)
+(($G84)*참고!$I$6)
+(($H84)*참고!$I$7)
+(($I84)*참고!$I$8)
+(($J84))*참고!$I$9,0)</f>
        <v>5894</v>
      </c>
      <c r="Q84" s="34">
        <f>ROUND(
(($F84)*참고!$J$5)
+(($G84)*참고!$J$6)
+(($H84)*참고!$J$7)
+(($I84)*참고!$J$8)
+(($J84))*참고!$J$9,0)</f>
        <v>4065</v>
      </c>
      <c r="R84" s="34">
        <f>IF(E84="공격형",(INDEX(몬스터계수[[#Data],[속도]],MATCH(E84, 몬스터계수[[#Data],[타입]],0),1)*속도핸들러_곱계수)*(INT(몬스터밸런스[[#This Row],[Lv]]/속도핸들러_합계수+1)),
IF(E84="방어형",(INDEX(몬스터계수[[#Data],[속도]],MATCH(E84, 몬스터계수[[#Data],[타입]],0),1)*속도핸들러_곱계수)*(INT(몬스터밸런스[[#This Row],[Lv]]/속도핸들러_합계수+1)),
IF(E84="회피형",(INDEX(몬스터계수[[#Data],[속도]],MATCH(E84, 몬스터계수[[#Data],[타입]],0),1)*속도핸들러_곱계수)*(INT(몬스터밸런스[[#This Row],[Lv]]/속도핸들러_합계수+1)),
IF(E84="기본형",(INDEX(몬스터계수[[#Data],[속도]],MATCH(E84, 몬스터계수[[#Data],[타입]],0),1)*속도핸들러_곱계수)*(INT(몬스터밸런스[[#This Row],[Lv]]/속도핸들러_합계수+1)),0))))</f>
        <v>0</v>
      </c>
      <c r="S84">
        <f t="shared" si="4"/>
        <v>1085105.5</v>
      </c>
      <c r="U84">
        <v>2</v>
      </c>
      <c r="V84">
        <v>82</v>
      </c>
      <c r="W84">
        <f>$Z$1*몬스터밸런스9[[#This Row],[단계]]</f>
        <v>10</v>
      </c>
      <c r="X84" t="s">
        <v>51</v>
      </c>
      <c r="AE84" s="34">
        <f>몬스터밸런스[[#This Row],[Hp]]*0.3</f>
        <v>9481.5</v>
      </c>
      <c r="AF84" s="34"/>
      <c r="AG84" s="34"/>
      <c r="AH84" s="34"/>
      <c r="AI84" s="34"/>
      <c r="AJ84" s="34"/>
      <c r="AK84" s="34">
        <f>몬스터밸런스[[#This Row],[DodgeRate]]*0.5</f>
        <v>2032.5</v>
      </c>
      <c r="AL84">
        <f t="shared" si="3"/>
        <v>206576.25</v>
      </c>
    </row>
    <row r="85" spans="1:38">
      <c r="A85">
        <v>820</v>
      </c>
      <c r="B85">
        <v>83</v>
      </c>
      <c r="C85">
        <f>$F$1*몬스터밸런스[[#This Row],[Lv]]+15</f>
        <v>4115</v>
      </c>
      <c r="E85" t="s">
        <v>479</v>
      </c>
      <c r="F85">
        <f>IF(E85="공격형",INDEX(몬스터계수[[#Data],[생명계수]],MATCH(E85,몬스터계수[[#Data],[타입]],0),1)*C85,
IF(E85="방어형",INDEX(몬스터계수[[#Data],[생명계수]],MATCH(E85,몬스터계수[[#Data],[타입]],0),1)*C85,
IF(E85="회피형",INDEX(몬스터계수[[#Data],[생명계수]],MATCH(E85,몬스터계수[[#Data],[타입]],0),1)*C85,
IF(E85="체력형",INDEX(몬스터계수[[#Data],[생명계수]],MATCH(E85,몬스터계수[[#Data],[타입]],0),1)*C85,0))))*IF(몬스터밸런스[[#This Row],[보스]]=TRUE,2,1)</f>
        <v>2057.5</v>
      </c>
      <c r="G85">
        <f>IF(E85="공격형",INDEX(몬스터계수[[#Data],[힘계수]],MATCH(E85, 몬스터계수[[#Data],[타입]],0),1)*C85,
IF(E85="방어형",INDEX(몬스터계수[[#Data],[힘계수]],MATCH(E85, 몬스터계수[[#Data],[타입]],0),1)*C85,
IF(E85="회피형",INDEX(몬스터계수[[#Data],[힘계수]],MATCH(E85, 몬스터계수[[#Data],[타입]],0),1)*C85,
IF(E85="체력형",INDEX(몬스터계수[[#Data],[힘계수]],MATCH(E85, 몬스터계수[[#Data],[타입]],0),1)*C85,0))))</f>
        <v>1028.75</v>
      </c>
      <c r="H85">
        <f>IF(E85="공격형",INDEX(몬스터계수[[#Data],[근력게수]],MATCH(E85,몬스터계수[[#Data],[타입]],0),1)*C85,
IF(E85="방어형",INDEX(몬스터계수[[#Data],[근력게수]],MATCH(E85,몬스터계수[[#Data],[타입]],0),1)*C85,
IF(E85="회피형",INDEX(몬스터계수[[#Data],[근력게수]],MATCH(E85,몬스터계수[[#Data],[타입]],0),1)*C85,
IF(E85="체력형",INDEX(몬스터계수[[#Data],[근력게수]],MATCH(E85,몬스터계수[[#Data],[타입]],0),1)*C85,0))))</f>
        <v>205.75</v>
      </c>
      <c r="I85">
        <f>IF(E85="공격형",INDEX(몬스터계수[[#Data],[숙련도계수]],MATCH(E85,몬스터계수[[#Data],[타입]],0),1)*C85,
IF(E85="방어형",INDEX(몬스터계수[[#Data],[숙련도계수]],MATCH(E85,몬스터계수[[#Data],[타입]],0),1)*C85,
IF(E85="회피형",INDEX(몬스터계수[[#Data],[숙련도계수]],MATCH(E85,몬스터계수[[#Data],[타입]],0),1)*C85,
IF(E85="체력형",INDEX(몬스터계수[[#Data],[숙련도계수]],MATCH(E85,몬스터계수[[#Data],[타입]],0),1)*C85,0))))</f>
        <v>617.25</v>
      </c>
      <c r="J85">
        <f>IF(E85="공격형",INDEX(몬스터계수[[#Data],[행운계수]],MATCH(E85, 몬스터계수[[#Data],[타입]],0),1)*C85,
IF(E85="방어형",INDEX(몬스터계수[[#Data],[행운계수]],MATCH(E85, 몬스터계수[[#Data],[타입]],0),1)*C85,
IF(E85="회피형",INDEX(몬스터계수[[#Data],[행운계수]],MATCH(E85, 몬스터계수[[#Data],[타입]],0),1)*C85,
IF(E85="체력형",INDEX(몬스터계수[[#Data],[행운계수]],MATCH(E85, 몬스터계수[[#Data],[타입]],0),1)*C85,0))))</f>
        <v>205.75</v>
      </c>
      <c r="K85" s="34">
        <f>ROUND(
(($F85)*참고!$D$5)
+(($G85)*참고!$D$6)
+(($H85)*참고!$D$7)
+(($I85)*참고!$D$8)
+(($J85))*참고!$D$9,0)</f>
        <v>31994</v>
      </c>
      <c r="L85" s="34">
        <f>ROUND(
(($F85)*참고!$E$5)
+(($G85)*참고!$E$6)
+(($H85)*참고!$E$7)
+(($I85)*참고!$E$8)
+(($J85))*참고!$E$9,0)</f>
        <v>18312</v>
      </c>
      <c r="M85" s="34">
        <f>ROUND(
(($F85)*참고!$F$5)
+(($G85)*참고!$F$6)
+(($H85)*참고!$F$7)
+(($I85)*참고!$F$8)
+(($J85))*참고!$F$9,0)</f>
        <v>5144</v>
      </c>
      <c r="N85" s="34">
        <f>ROUND(
(($F85)*참고!$G$5)
+(($G85)*참고!$G$6)
+(($H85)*참고!$G$7)
+(($I85)*참고!$G$8)
+(($J85))*참고!$G$9,0)</f>
        <v>144</v>
      </c>
      <c r="O85" s="34">
        <f>ROUND(
(($F85)*참고!$H$5)
+(($G85)*참고!$H$6)
+(($H85)*참고!$H$7)
+(($I85)*참고!$H$8)
+(($J85))*참고!$H$9,0)</f>
        <v>3395</v>
      </c>
      <c r="P85" s="34">
        <f>ROUND(
(($F85)*참고!$I$5)
+(($G85)*참고!$I$6)
+(($H85)*참고!$I$7)
+(($I85)*참고!$I$8)
+(($J85))*참고!$I$9,0)</f>
        <v>5967</v>
      </c>
      <c r="Q85" s="34">
        <f>ROUND(
(($F85)*참고!$J$5)
+(($G85)*참고!$J$6)
+(($H85)*참고!$J$7)
+(($I85)*참고!$J$8)
+(($J85))*참고!$J$9,0)</f>
        <v>4115</v>
      </c>
      <c r="R85" s="34">
        <f>IF(E85="공격형",(INDEX(몬스터계수[[#Data],[속도]],MATCH(E85, 몬스터계수[[#Data],[타입]],0),1)*속도핸들러_곱계수)*(INT(몬스터밸런스[[#This Row],[Lv]]/속도핸들러_합계수+1)),
IF(E85="방어형",(INDEX(몬스터계수[[#Data],[속도]],MATCH(E85, 몬스터계수[[#Data],[타입]],0),1)*속도핸들러_곱계수)*(INT(몬스터밸런스[[#This Row],[Lv]]/속도핸들러_합계수+1)),
IF(E85="회피형",(INDEX(몬스터계수[[#Data],[속도]],MATCH(E85, 몬스터계수[[#Data],[타입]],0),1)*속도핸들러_곱계수)*(INT(몬스터밸런스[[#This Row],[Lv]]/속도핸들러_합계수+1)),
IF(E85="기본형",(INDEX(몬스터계수[[#Data],[속도]],MATCH(E85, 몬스터계수[[#Data],[타입]],0),1)*속도핸들러_곱계수)*(INT(몬스터밸런스[[#This Row],[Lv]]/속도핸들러_합계수+1)),0))))</f>
        <v>0</v>
      </c>
      <c r="S85">
        <f t="shared" si="4"/>
        <v>1098477.5</v>
      </c>
      <c r="U85">
        <v>2</v>
      </c>
      <c r="V85">
        <v>83</v>
      </c>
      <c r="W85">
        <f>$Z$1*몬스터밸런스9[[#This Row],[단계]]</f>
        <v>10</v>
      </c>
      <c r="X85" t="s">
        <v>51</v>
      </c>
      <c r="AE85" s="34">
        <f>몬스터밸런스[[#This Row],[Hp]]*0.3</f>
        <v>9598.1999999999989</v>
      </c>
      <c r="AF85" s="34"/>
      <c r="AG85" s="34"/>
      <c r="AH85" s="34"/>
      <c r="AI85" s="34"/>
      <c r="AJ85" s="34"/>
      <c r="AK85" s="34">
        <f>몬스터밸런스[[#This Row],[DodgeRate]]*0.5</f>
        <v>2057.5</v>
      </c>
      <c r="AL85">
        <f t="shared" ref="AL85:AL116" si="5">(AE85*HP계수) + (AF85*attack계수) + (AG85*Defense계수) + (AH85*CriticalRate계수) + (AI85*CriticalDamage계수) + (AJ85*Accuracy계수) + (AK85*DodgeRate계수)</f>
        <v>209118.49999999997</v>
      </c>
    </row>
    <row r="86" spans="1:38">
      <c r="A86">
        <v>830</v>
      </c>
      <c r="B86">
        <v>84</v>
      </c>
      <c r="C86">
        <f>$F$1*몬스터밸런스[[#This Row],[Lv]]+15</f>
        <v>4165</v>
      </c>
      <c r="E86" t="s">
        <v>479</v>
      </c>
      <c r="F86">
        <f>IF(E86="공격형",INDEX(몬스터계수[[#Data],[생명계수]],MATCH(E86,몬스터계수[[#Data],[타입]],0),1)*C86,
IF(E86="방어형",INDEX(몬스터계수[[#Data],[생명계수]],MATCH(E86,몬스터계수[[#Data],[타입]],0),1)*C86,
IF(E86="회피형",INDEX(몬스터계수[[#Data],[생명계수]],MATCH(E86,몬스터계수[[#Data],[타입]],0),1)*C86,
IF(E86="체력형",INDEX(몬스터계수[[#Data],[생명계수]],MATCH(E86,몬스터계수[[#Data],[타입]],0),1)*C86,0))))*IF(몬스터밸런스[[#This Row],[보스]]=TRUE,2,1)</f>
        <v>2082.5</v>
      </c>
      <c r="G86">
        <f>IF(E86="공격형",INDEX(몬스터계수[[#Data],[힘계수]],MATCH(E86, 몬스터계수[[#Data],[타입]],0),1)*C86,
IF(E86="방어형",INDEX(몬스터계수[[#Data],[힘계수]],MATCH(E86, 몬스터계수[[#Data],[타입]],0),1)*C86,
IF(E86="회피형",INDEX(몬스터계수[[#Data],[힘계수]],MATCH(E86, 몬스터계수[[#Data],[타입]],0),1)*C86,
IF(E86="체력형",INDEX(몬스터계수[[#Data],[힘계수]],MATCH(E86, 몬스터계수[[#Data],[타입]],0),1)*C86,0))))</f>
        <v>1041.25</v>
      </c>
      <c r="H86">
        <f>IF(E86="공격형",INDEX(몬스터계수[[#Data],[근력게수]],MATCH(E86,몬스터계수[[#Data],[타입]],0),1)*C86,
IF(E86="방어형",INDEX(몬스터계수[[#Data],[근력게수]],MATCH(E86,몬스터계수[[#Data],[타입]],0),1)*C86,
IF(E86="회피형",INDEX(몬스터계수[[#Data],[근력게수]],MATCH(E86,몬스터계수[[#Data],[타입]],0),1)*C86,
IF(E86="체력형",INDEX(몬스터계수[[#Data],[근력게수]],MATCH(E86,몬스터계수[[#Data],[타입]],0),1)*C86,0))))</f>
        <v>208.25</v>
      </c>
      <c r="I86">
        <f>IF(E86="공격형",INDEX(몬스터계수[[#Data],[숙련도계수]],MATCH(E86,몬스터계수[[#Data],[타입]],0),1)*C86,
IF(E86="방어형",INDEX(몬스터계수[[#Data],[숙련도계수]],MATCH(E86,몬스터계수[[#Data],[타입]],0),1)*C86,
IF(E86="회피형",INDEX(몬스터계수[[#Data],[숙련도계수]],MATCH(E86,몬스터계수[[#Data],[타입]],0),1)*C86,
IF(E86="체력형",INDEX(몬스터계수[[#Data],[숙련도계수]],MATCH(E86,몬스터계수[[#Data],[타입]],0),1)*C86,0))))</f>
        <v>624.75</v>
      </c>
      <c r="J86">
        <f>IF(E86="공격형",INDEX(몬스터계수[[#Data],[행운계수]],MATCH(E86, 몬스터계수[[#Data],[타입]],0),1)*C86,
IF(E86="방어형",INDEX(몬스터계수[[#Data],[행운계수]],MATCH(E86, 몬스터계수[[#Data],[타입]],0),1)*C86,
IF(E86="회피형",INDEX(몬스터계수[[#Data],[행운계수]],MATCH(E86, 몬스터계수[[#Data],[타입]],0),1)*C86,
IF(E86="체력형",INDEX(몬스터계수[[#Data],[행운계수]],MATCH(E86, 몬스터계수[[#Data],[타입]],0),1)*C86,0))))</f>
        <v>208.25</v>
      </c>
      <c r="K86" s="34">
        <f>ROUND(
(($F86)*참고!$D$5)
+(($G86)*참고!$D$6)
+(($H86)*참고!$D$7)
+(($I86)*참고!$D$8)
+(($J86))*참고!$D$9,0)</f>
        <v>32383</v>
      </c>
      <c r="L86" s="34">
        <f>ROUND(
(($F86)*참고!$E$5)
+(($G86)*참고!$E$6)
+(($H86)*참고!$E$7)
+(($I86)*참고!$E$8)
+(($J86))*참고!$E$9,0)</f>
        <v>18534</v>
      </c>
      <c r="M86" s="34">
        <f>ROUND(
(($F86)*참고!$F$5)
+(($G86)*참고!$F$6)
+(($H86)*참고!$F$7)
+(($I86)*참고!$F$8)
+(($J86))*참고!$F$9,0)</f>
        <v>5206</v>
      </c>
      <c r="N86" s="34">
        <f>ROUND(
(($F86)*참고!$G$5)
+(($G86)*참고!$G$6)
+(($H86)*참고!$G$7)
+(($I86)*참고!$G$8)
+(($J86))*참고!$G$9,0)</f>
        <v>146</v>
      </c>
      <c r="O86" s="34">
        <f>ROUND(
(($F86)*참고!$H$5)
+(($G86)*참고!$H$6)
+(($H86)*참고!$H$7)
+(($I86)*참고!$H$8)
+(($J86))*참고!$H$9,0)</f>
        <v>3436</v>
      </c>
      <c r="P86" s="34">
        <f>ROUND(
(($F86)*참고!$I$5)
+(($G86)*참고!$I$6)
+(($H86)*참고!$I$7)
+(($I86)*참고!$I$8)
+(($J86))*참고!$I$9,0)</f>
        <v>6039</v>
      </c>
      <c r="Q86" s="34">
        <f>ROUND(
(($F86)*참고!$J$5)
+(($G86)*참고!$J$6)
+(($H86)*참고!$J$7)
+(($I86)*참고!$J$8)
+(($J86))*참고!$J$9,0)</f>
        <v>4165</v>
      </c>
      <c r="R86" s="34">
        <f>IF(E86="공격형",(INDEX(몬스터계수[[#Data],[속도]],MATCH(E86, 몬스터계수[[#Data],[타입]],0),1)*속도핸들러_곱계수)*(INT(몬스터밸런스[[#This Row],[Lv]]/속도핸들러_합계수+1)),
IF(E86="방어형",(INDEX(몬스터계수[[#Data],[속도]],MATCH(E86, 몬스터계수[[#Data],[타입]],0),1)*속도핸들러_곱계수)*(INT(몬스터밸런스[[#This Row],[Lv]]/속도핸들러_합계수+1)),
IF(E86="회피형",(INDEX(몬스터계수[[#Data],[속도]],MATCH(E86, 몬스터계수[[#Data],[타입]],0),1)*속도핸들러_곱계수)*(INT(몬스터밸런스[[#This Row],[Lv]]/속도핸들러_합계수+1)),
IF(E86="기본형",(INDEX(몬스터계수[[#Data],[속도]],MATCH(E86, 몬스터계수[[#Data],[타입]],0),1)*속도핸들러_곱계수)*(INT(몬스터밸런스[[#This Row],[Lv]]/속도핸들러_합계수+1)),0))))</f>
        <v>0</v>
      </c>
      <c r="S86">
        <f t="shared" si="4"/>
        <v>1111806.5</v>
      </c>
      <c r="U86">
        <v>2</v>
      </c>
      <c r="V86">
        <v>84</v>
      </c>
      <c r="W86">
        <f>$Z$1*몬스터밸런스9[[#This Row],[단계]]</f>
        <v>10</v>
      </c>
      <c r="X86" t="s">
        <v>51</v>
      </c>
      <c r="AE86" s="34">
        <f>몬스터밸런스[[#This Row],[Hp]]*0.3</f>
        <v>9714.9</v>
      </c>
      <c r="AF86" s="34"/>
      <c r="AG86" s="34"/>
      <c r="AH86" s="34"/>
      <c r="AI86" s="34"/>
      <c r="AJ86" s="34"/>
      <c r="AK86" s="34">
        <f>몬스터밸런스[[#This Row],[DodgeRate]]*0.5</f>
        <v>2082.5</v>
      </c>
      <c r="AL86">
        <f t="shared" si="5"/>
        <v>211660.75</v>
      </c>
    </row>
    <row r="87" spans="1:38">
      <c r="A87">
        <v>840</v>
      </c>
      <c r="B87">
        <v>85</v>
      </c>
      <c r="C87">
        <f>$F$1*몬스터밸런스[[#This Row],[Lv]]+15</f>
        <v>4215</v>
      </c>
      <c r="E87" t="s">
        <v>479</v>
      </c>
      <c r="F87">
        <f>IF(E87="공격형",INDEX(몬스터계수[[#Data],[생명계수]],MATCH(E87,몬스터계수[[#Data],[타입]],0),1)*C87,
IF(E87="방어형",INDEX(몬스터계수[[#Data],[생명계수]],MATCH(E87,몬스터계수[[#Data],[타입]],0),1)*C87,
IF(E87="회피형",INDEX(몬스터계수[[#Data],[생명계수]],MATCH(E87,몬스터계수[[#Data],[타입]],0),1)*C87,
IF(E87="체력형",INDEX(몬스터계수[[#Data],[생명계수]],MATCH(E87,몬스터계수[[#Data],[타입]],0),1)*C87,0))))*IF(몬스터밸런스[[#This Row],[보스]]=TRUE,2,1)</f>
        <v>2107.5</v>
      </c>
      <c r="G87">
        <f>IF(E87="공격형",INDEX(몬스터계수[[#Data],[힘계수]],MATCH(E87, 몬스터계수[[#Data],[타입]],0),1)*C87,
IF(E87="방어형",INDEX(몬스터계수[[#Data],[힘계수]],MATCH(E87, 몬스터계수[[#Data],[타입]],0),1)*C87,
IF(E87="회피형",INDEX(몬스터계수[[#Data],[힘계수]],MATCH(E87, 몬스터계수[[#Data],[타입]],0),1)*C87,
IF(E87="체력형",INDEX(몬스터계수[[#Data],[힘계수]],MATCH(E87, 몬스터계수[[#Data],[타입]],0),1)*C87,0))))</f>
        <v>1053.75</v>
      </c>
      <c r="H87">
        <f>IF(E87="공격형",INDEX(몬스터계수[[#Data],[근력게수]],MATCH(E87,몬스터계수[[#Data],[타입]],0),1)*C87,
IF(E87="방어형",INDEX(몬스터계수[[#Data],[근력게수]],MATCH(E87,몬스터계수[[#Data],[타입]],0),1)*C87,
IF(E87="회피형",INDEX(몬스터계수[[#Data],[근력게수]],MATCH(E87,몬스터계수[[#Data],[타입]],0),1)*C87,
IF(E87="체력형",INDEX(몬스터계수[[#Data],[근력게수]],MATCH(E87,몬스터계수[[#Data],[타입]],0),1)*C87,0))))</f>
        <v>210.75</v>
      </c>
      <c r="I87">
        <f>IF(E87="공격형",INDEX(몬스터계수[[#Data],[숙련도계수]],MATCH(E87,몬스터계수[[#Data],[타입]],0),1)*C87,
IF(E87="방어형",INDEX(몬스터계수[[#Data],[숙련도계수]],MATCH(E87,몬스터계수[[#Data],[타입]],0),1)*C87,
IF(E87="회피형",INDEX(몬스터계수[[#Data],[숙련도계수]],MATCH(E87,몬스터계수[[#Data],[타입]],0),1)*C87,
IF(E87="체력형",INDEX(몬스터계수[[#Data],[숙련도계수]],MATCH(E87,몬스터계수[[#Data],[타입]],0),1)*C87,0))))</f>
        <v>632.25</v>
      </c>
      <c r="J87">
        <f>IF(E87="공격형",INDEX(몬스터계수[[#Data],[행운계수]],MATCH(E87, 몬스터계수[[#Data],[타입]],0),1)*C87,
IF(E87="방어형",INDEX(몬스터계수[[#Data],[행운계수]],MATCH(E87, 몬스터계수[[#Data],[타입]],0),1)*C87,
IF(E87="회피형",INDEX(몬스터계수[[#Data],[행운계수]],MATCH(E87, 몬스터계수[[#Data],[타입]],0),1)*C87,
IF(E87="체력형",INDEX(몬스터계수[[#Data],[행운계수]],MATCH(E87, 몬스터계수[[#Data],[타입]],0),1)*C87,0))))</f>
        <v>210.75</v>
      </c>
      <c r="K87" s="34">
        <f>ROUND(
(($F87)*참고!$D$5)
+(($G87)*참고!$D$6)
+(($H87)*참고!$D$7)
+(($I87)*참고!$D$8)
+(($J87))*참고!$D$9,0)</f>
        <v>32772</v>
      </c>
      <c r="L87" s="34">
        <f>ROUND(
(($F87)*참고!$E$5)
+(($G87)*참고!$E$6)
+(($H87)*참고!$E$7)
+(($I87)*참고!$E$8)
+(($J87))*참고!$E$9,0)</f>
        <v>18757</v>
      </c>
      <c r="M87" s="34">
        <f>ROUND(
(($F87)*참고!$F$5)
+(($G87)*참고!$F$6)
+(($H87)*참고!$F$7)
+(($I87)*참고!$F$8)
+(($J87))*참고!$F$9,0)</f>
        <v>5269</v>
      </c>
      <c r="N87" s="34">
        <f>ROUND(
(($F87)*참고!$G$5)
+(($G87)*참고!$G$6)
+(($H87)*참고!$G$7)
+(($I87)*참고!$G$8)
+(($J87))*참고!$G$9,0)</f>
        <v>148</v>
      </c>
      <c r="O87" s="34">
        <f>ROUND(
(($F87)*참고!$H$5)
+(($G87)*참고!$H$6)
+(($H87)*참고!$H$7)
+(($I87)*참고!$H$8)
+(($J87))*참고!$H$9,0)</f>
        <v>3477</v>
      </c>
      <c r="P87" s="34">
        <f>ROUND(
(($F87)*참고!$I$5)
+(($G87)*참고!$I$6)
+(($H87)*참고!$I$7)
+(($I87)*참고!$I$8)
+(($J87))*참고!$I$9,0)</f>
        <v>6112</v>
      </c>
      <c r="Q87" s="34">
        <f>ROUND(
(($F87)*참고!$J$5)
+(($G87)*참고!$J$6)
+(($H87)*참고!$J$7)
+(($I87)*참고!$J$8)
+(($J87))*참고!$J$9,0)</f>
        <v>4215</v>
      </c>
      <c r="R87" s="34">
        <f>IF(E87="공격형",(INDEX(몬스터계수[[#Data],[속도]],MATCH(E87, 몬스터계수[[#Data],[타입]],0),1)*속도핸들러_곱계수)*(INT(몬스터밸런스[[#This Row],[Lv]]/속도핸들러_합계수+1)),
IF(E87="방어형",(INDEX(몬스터계수[[#Data],[속도]],MATCH(E87, 몬스터계수[[#Data],[타입]],0),1)*속도핸들러_곱계수)*(INT(몬스터밸런스[[#This Row],[Lv]]/속도핸들러_합계수+1)),
IF(E87="회피형",(INDEX(몬스터계수[[#Data],[속도]],MATCH(E87, 몬스터계수[[#Data],[타입]],0),1)*속도핸들러_곱계수)*(INT(몬스터밸런스[[#This Row],[Lv]]/속도핸들러_합계수+1)),
IF(E87="기본형",(INDEX(몬스터계수[[#Data],[속도]],MATCH(E87, 몬스터계수[[#Data],[타입]],0),1)*속도핸들러_곱계수)*(INT(몬스터밸런스[[#This Row],[Lv]]/속도핸들러_합계수+1)),0))))</f>
        <v>0</v>
      </c>
      <c r="S87">
        <f t="shared" si="4"/>
        <v>1125178.5</v>
      </c>
      <c r="U87">
        <v>2</v>
      </c>
      <c r="V87">
        <v>85</v>
      </c>
      <c r="W87">
        <f>$Z$1*몬스터밸런스9[[#This Row],[단계]]</f>
        <v>10</v>
      </c>
      <c r="X87" t="s">
        <v>51</v>
      </c>
      <c r="AE87" s="34">
        <f>몬스터밸런스[[#This Row],[Hp]]*0.3</f>
        <v>9831.6</v>
      </c>
      <c r="AF87" s="34"/>
      <c r="AG87" s="34"/>
      <c r="AH87" s="34"/>
      <c r="AI87" s="34"/>
      <c r="AJ87" s="34"/>
      <c r="AK87" s="34">
        <f>몬스터밸런스[[#This Row],[DodgeRate]]*0.5</f>
        <v>2107.5</v>
      </c>
      <c r="AL87">
        <f t="shared" si="5"/>
        <v>214203</v>
      </c>
    </row>
    <row r="88" spans="1:38">
      <c r="A88">
        <v>850</v>
      </c>
      <c r="B88">
        <v>86</v>
      </c>
      <c r="C88">
        <f>$F$1*몬스터밸런스[[#This Row],[Lv]]+15</f>
        <v>4265</v>
      </c>
      <c r="E88" t="s">
        <v>479</v>
      </c>
      <c r="F88">
        <f>IF(E88="공격형",INDEX(몬스터계수[[#Data],[생명계수]],MATCH(E88,몬스터계수[[#Data],[타입]],0),1)*C88,
IF(E88="방어형",INDEX(몬스터계수[[#Data],[생명계수]],MATCH(E88,몬스터계수[[#Data],[타입]],0),1)*C88,
IF(E88="회피형",INDEX(몬스터계수[[#Data],[생명계수]],MATCH(E88,몬스터계수[[#Data],[타입]],0),1)*C88,
IF(E88="체력형",INDEX(몬스터계수[[#Data],[생명계수]],MATCH(E88,몬스터계수[[#Data],[타입]],0),1)*C88,0))))*IF(몬스터밸런스[[#This Row],[보스]]=TRUE,2,1)</f>
        <v>2132.5</v>
      </c>
      <c r="G88">
        <f>IF(E88="공격형",INDEX(몬스터계수[[#Data],[힘계수]],MATCH(E88, 몬스터계수[[#Data],[타입]],0),1)*C88,
IF(E88="방어형",INDEX(몬스터계수[[#Data],[힘계수]],MATCH(E88, 몬스터계수[[#Data],[타입]],0),1)*C88,
IF(E88="회피형",INDEX(몬스터계수[[#Data],[힘계수]],MATCH(E88, 몬스터계수[[#Data],[타입]],0),1)*C88,
IF(E88="체력형",INDEX(몬스터계수[[#Data],[힘계수]],MATCH(E88, 몬스터계수[[#Data],[타입]],0),1)*C88,0))))</f>
        <v>1066.25</v>
      </c>
      <c r="H88">
        <f>IF(E88="공격형",INDEX(몬스터계수[[#Data],[근력게수]],MATCH(E88,몬스터계수[[#Data],[타입]],0),1)*C88,
IF(E88="방어형",INDEX(몬스터계수[[#Data],[근력게수]],MATCH(E88,몬스터계수[[#Data],[타입]],0),1)*C88,
IF(E88="회피형",INDEX(몬스터계수[[#Data],[근력게수]],MATCH(E88,몬스터계수[[#Data],[타입]],0),1)*C88,
IF(E88="체력형",INDEX(몬스터계수[[#Data],[근력게수]],MATCH(E88,몬스터계수[[#Data],[타입]],0),1)*C88,0))))</f>
        <v>213.25</v>
      </c>
      <c r="I88">
        <f>IF(E88="공격형",INDEX(몬스터계수[[#Data],[숙련도계수]],MATCH(E88,몬스터계수[[#Data],[타입]],0),1)*C88,
IF(E88="방어형",INDEX(몬스터계수[[#Data],[숙련도계수]],MATCH(E88,몬스터계수[[#Data],[타입]],0),1)*C88,
IF(E88="회피형",INDEX(몬스터계수[[#Data],[숙련도계수]],MATCH(E88,몬스터계수[[#Data],[타입]],0),1)*C88,
IF(E88="체력형",INDEX(몬스터계수[[#Data],[숙련도계수]],MATCH(E88,몬스터계수[[#Data],[타입]],0),1)*C88,0))))</f>
        <v>639.75</v>
      </c>
      <c r="J88">
        <f>IF(E88="공격형",INDEX(몬스터계수[[#Data],[행운계수]],MATCH(E88, 몬스터계수[[#Data],[타입]],0),1)*C88,
IF(E88="방어형",INDEX(몬스터계수[[#Data],[행운계수]],MATCH(E88, 몬스터계수[[#Data],[타입]],0),1)*C88,
IF(E88="회피형",INDEX(몬스터계수[[#Data],[행운계수]],MATCH(E88, 몬스터계수[[#Data],[타입]],0),1)*C88,
IF(E88="체력형",INDEX(몬스터계수[[#Data],[행운계수]],MATCH(E88, 몬스터계수[[#Data],[타입]],0),1)*C88,0))))</f>
        <v>213.25</v>
      </c>
      <c r="K88" s="34">
        <f>ROUND(
(($F88)*참고!$D$5)
+(($G88)*참고!$D$6)
+(($H88)*참고!$D$7)
+(($I88)*참고!$D$8)
+(($J88))*참고!$D$9,0)</f>
        <v>33160</v>
      </c>
      <c r="L88" s="34">
        <f>ROUND(
(($F88)*참고!$E$5)
+(($G88)*참고!$E$6)
+(($H88)*참고!$E$7)
+(($I88)*참고!$E$8)
+(($J88))*참고!$E$9,0)</f>
        <v>18979</v>
      </c>
      <c r="M88" s="34">
        <f>ROUND(
(($F88)*참고!$F$5)
+(($G88)*참고!$F$6)
+(($H88)*참고!$F$7)
+(($I88)*참고!$F$8)
+(($J88))*참고!$F$9,0)</f>
        <v>5331</v>
      </c>
      <c r="N88" s="34">
        <f>ROUND(
(($F88)*참고!$G$5)
+(($G88)*참고!$G$6)
+(($H88)*참고!$G$7)
+(($I88)*참고!$G$8)
+(($J88))*참고!$G$9,0)</f>
        <v>149</v>
      </c>
      <c r="O88" s="34">
        <f>ROUND(
(($F88)*참고!$H$5)
+(($G88)*참고!$H$6)
+(($H88)*참고!$H$7)
+(($I88)*참고!$H$8)
+(($J88))*참고!$H$9,0)</f>
        <v>3519</v>
      </c>
      <c r="P88" s="34">
        <f>ROUND(
(($F88)*참고!$I$5)
+(($G88)*참고!$I$6)
+(($H88)*참고!$I$7)
+(($I88)*참고!$I$8)
+(($J88))*참고!$I$9,0)</f>
        <v>6184</v>
      </c>
      <c r="Q88" s="34">
        <f>ROUND(
(($F88)*참고!$J$5)
+(($G88)*참고!$J$6)
+(($H88)*참고!$J$7)
+(($I88)*참고!$J$8)
+(($J88))*참고!$J$9,0)</f>
        <v>4265</v>
      </c>
      <c r="R88" s="34">
        <f>IF(E88="공격형",(INDEX(몬스터계수[[#Data],[속도]],MATCH(E88, 몬스터계수[[#Data],[타입]],0),1)*속도핸들러_곱계수)*(INT(몬스터밸런스[[#This Row],[Lv]]/속도핸들러_합계수+1)),
IF(E88="방어형",(INDEX(몬스터계수[[#Data],[속도]],MATCH(E88, 몬스터계수[[#Data],[타입]],0),1)*속도핸들러_곱계수)*(INT(몬스터밸런스[[#This Row],[Lv]]/속도핸들러_합계수+1)),
IF(E88="회피형",(INDEX(몬스터계수[[#Data],[속도]],MATCH(E88, 몬스터계수[[#Data],[타입]],0),1)*속도핸들러_곱계수)*(INT(몬스터밸런스[[#This Row],[Lv]]/속도핸들러_합계수+1)),
IF(E88="기본형",(INDEX(몬스터계수[[#Data],[속도]],MATCH(E88, 몬스터계수[[#Data],[타입]],0),1)*속도핸들러_곱계수)*(INT(몬스터밸런스[[#This Row],[Lv]]/속도핸들러_합계수+1)),0))))</f>
        <v>0</v>
      </c>
      <c r="S88">
        <f t="shared" si="4"/>
        <v>1138494</v>
      </c>
      <c r="U88">
        <v>3</v>
      </c>
      <c r="V88">
        <v>86</v>
      </c>
      <c r="W88">
        <f>$Z$1*몬스터밸런스9[[#This Row],[단계]]</f>
        <v>15</v>
      </c>
      <c r="X88" t="s">
        <v>51</v>
      </c>
      <c r="AE88" s="34">
        <f>몬스터밸런스[[#This Row],[Hp]]*0.3</f>
        <v>9948</v>
      </c>
      <c r="AF88" s="34"/>
      <c r="AG88" s="34"/>
      <c r="AH88" s="34"/>
      <c r="AI88" s="34"/>
      <c r="AJ88" s="34"/>
      <c r="AK88" s="34">
        <f>몬스터밸런스[[#This Row],[DodgeRate]]*0.5</f>
        <v>2132.5</v>
      </c>
      <c r="AL88">
        <f t="shared" si="5"/>
        <v>216740</v>
      </c>
    </row>
    <row r="89" spans="1:38">
      <c r="A89">
        <v>860</v>
      </c>
      <c r="B89">
        <v>87</v>
      </c>
      <c r="C89">
        <f>$F$1*몬스터밸런스[[#This Row],[Lv]]+15</f>
        <v>4315</v>
      </c>
      <c r="E89" t="s">
        <v>479</v>
      </c>
      <c r="F89">
        <f>IF(E89="공격형",INDEX(몬스터계수[[#Data],[생명계수]],MATCH(E89,몬스터계수[[#Data],[타입]],0),1)*C89,
IF(E89="방어형",INDEX(몬스터계수[[#Data],[생명계수]],MATCH(E89,몬스터계수[[#Data],[타입]],0),1)*C89,
IF(E89="회피형",INDEX(몬스터계수[[#Data],[생명계수]],MATCH(E89,몬스터계수[[#Data],[타입]],0),1)*C89,
IF(E89="체력형",INDEX(몬스터계수[[#Data],[생명계수]],MATCH(E89,몬스터계수[[#Data],[타입]],0),1)*C89,0))))*IF(몬스터밸런스[[#This Row],[보스]]=TRUE,2,1)</f>
        <v>2157.5</v>
      </c>
      <c r="G89">
        <f>IF(E89="공격형",INDEX(몬스터계수[[#Data],[힘계수]],MATCH(E89, 몬스터계수[[#Data],[타입]],0),1)*C89,
IF(E89="방어형",INDEX(몬스터계수[[#Data],[힘계수]],MATCH(E89, 몬스터계수[[#Data],[타입]],0),1)*C89,
IF(E89="회피형",INDEX(몬스터계수[[#Data],[힘계수]],MATCH(E89, 몬스터계수[[#Data],[타입]],0),1)*C89,
IF(E89="체력형",INDEX(몬스터계수[[#Data],[힘계수]],MATCH(E89, 몬스터계수[[#Data],[타입]],0),1)*C89,0))))</f>
        <v>1078.75</v>
      </c>
      <c r="H89">
        <f>IF(E89="공격형",INDEX(몬스터계수[[#Data],[근력게수]],MATCH(E89,몬스터계수[[#Data],[타입]],0),1)*C89,
IF(E89="방어형",INDEX(몬스터계수[[#Data],[근력게수]],MATCH(E89,몬스터계수[[#Data],[타입]],0),1)*C89,
IF(E89="회피형",INDEX(몬스터계수[[#Data],[근력게수]],MATCH(E89,몬스터계수[[#Data],[타입]],0),1)*C89,
IF(E89="체력형",INDEX(몬스터계수[[#Data],[근력게수]],MATCH(E89,몬스터계수[[#Data],[타입]],0),1)*C89,0))))</f>
        <v>215.75</v>
      </c>
      <c r="I89">
        <f>IF(E89="공격형",INDEX(몬스터계수[[#Data],[숙련도계수]],MATCH(E89,몬스터계수[[#Data],[타입]],0),1)*C89,
IF(E89="방어형",INDEX(몬스터계수[[#Data],[숙련도계수]],MATCH(E89,몬스터계수[[#Data],[타입]],0),1)*C89,
IF(E89="회피형",INDEX(몬스터계수[[#Data],[숙련도계수]],MATCH(E89,몬스터계수[[#Data],[타입]],0),1)*C89,
IF(E89="체력형",INDEX(몬스터계수[[#Data],[숙련도계수]],MATCH(E89,몬스터계수[[#Data],[타입]],0),1)*C89,0))))</f>
        <v>647.25</v>
      </c>
      <c r="J89">
        <f>IF(E89="공격형",INDEX(몬스터계수[[#Data],[행운계수]],MATCH(E89, 몬스터계수[[#Data],[타입]],0),1)*C89,
IF(E89="방어형",INDEX(몬스터계수[[#Data],[행운계수]],MATCH(E89, 몬스터계수[[#Data],[타입]],0),1)*C89,
IF(E89="회피형",INDEX(몬스터계수[[#Data],[행운계수]],MATCH(E89, 몬스터계수[[#Data],[타입]],0),1)*C89,
IF(E89="체력형",INDEX(몬스터계수[[#Data],[행운계수]],MATCH(E89, 몬스터계수[[#Data],[타입]],0),1)*C89,0))))</f>
        <v>215.75</v>
      </c>
      <c r="K89" s="34">
        <f>ROUND(
(($F89)*참고!$D$5)
+(($G89)*참고!$D$6)
+(($H89)*참고!$D$7)
+(($I89)*참고!$D$8)
+(($J89))*참고!$D$9,0)</f>
        <v>33549</v>
      </c>
      <c r="L89" s="34">
        <f>ROUND(
(($F89)*참고!$E$5)
+(($G89)*참고!$E$6)
+(($H89)*참고!$E$7)
+(($I89)*참고!$E$8)
+(($J89))*참고!$E$9,0)</f>
        <v>19202</v>
      </c>
      <c r="M89" s="34">
        <f>ROUND(
(($F89)*참고!$F$5)
+(($G89)*참고!$F$6)
+(($H89)*참고!$F$7)
+(($I89)*참고!$F$8)
+(($J89))*참고!$F$9,0)</f>
        <v>5394</v>
      </c>
      <c r="N89" s="34">
        <f>ROUND(
(($F89)*참고!$G$5)
+(($G89)*참고!$G$6)
+(($H89)*참고!$G$7)
+(($I89)*참고!$G$8)
+(($J89))*참고!$G$9,0)</f>
        <v>151</v>
      </c>
      <c r="O89" s="34">
        <f>ROUND(
(($F89)*참고!$H$5)
+(($G89)*참고!$H$6)
+(($H89)*참고!$H$7)
+(($I89)*참고!$H$8)
+(($J89))*참고!$H$9,0)</f>
        <v>3560</v>
      </c>
      <c r="P89" s="34">
        <f>ROUND(
(($F89)*참고!$I$5)
+(($G89)*참고!$I$6)
+(($H89)*참고!$I$7)
+(($I89)*참고!$I$8)
+(($J89))*참고!$I$9,0)</f>
        <v>6257</v>
      </c>
      <c r="Q89" s="34">
        <f>ROUND(
(($F89)*참고!$J$5)
+(($G89)*참고!$J$6)
+(($H89)*참고!$J$7)
+(($I89)*참고!$J$8)
+(($J89))*참고!$J$9,0)</f>
        <v>4315</v>
      </c>
      <c r="R89" s="34">
        <f>IF(E89="공격형",(INDEX(몬스터계수[[#Data],[속도]],MATCH(E89, 몬스터계수[[#Data],[타입]],0),1)*속도핸들러_곱계수)*(INT(몬스터밸런스[[#This Row],[Lv]]/속도핸들러_합계수+1)),
IF(E89="방어형",(INDEX(몬스터계수[[#Data],[속도]],MATCH(E89, 몬스터계수[[#Data],[타입]],0),1)*속도핸들러_곱계수)*(INT(몬스터밸런스[[#This Row],[Lv]]/속도핸들러_합계수+1)),
IF(E89="회피형",(INDEX(몬스터계수[[#Data],[속도]],MATCH(E89, 몬스터계수[[#Data],[타입]],0),1)*속도핸들러_곱계수)*(INT(몬스터밸런스[[#This Row],[Lv]]/속도핸들러_합계수+1)),
IF(E89="기본형",(INDEX(몬스터계수[[#Data],[속도]],MATCH(E89, 몬스터계수[[#Data],[타입]],0),1)*속도핸들러_곱계수)*(INT(몬스터밸런스[[#This Row],[Lv]]/속도핸들러_합계수+1)),0))))</f>
        <v>0</v>
      </c>
      <c r="S89">
        <f t="shared" si="4"/>
        <v>1151866</v>
      </c>
      <c r="U89">
        <v>3</v>
      </c>
      <c r="V89">
        <v>87</v>
      </c>
      <c r="W89">
        <f>$Z$1*몬스터밸런스9[[#This Row],[단계]]</f>
        <v>15</v>
      </c>
      <c r="X89" t="s">
        <v>51</v>
      </c>
      <c r="AE89" s="34">
        <f>몬스터밸런스[[#This Row],[Hp]]*0.3</f>
        <v>10064.699999999999</v>
      </c>
      <c r="AF89" s="34"/>
      <c r="AG89" s="34"/>
      <c r="AH89" s="34"/>
      <c r="AI89" s="34"/>
      <c r="AJ89" s="34"/>
      <c r="AK89" s="34">
        <f>몬스터밸런스[[#This Row],[DodgeRate]]*0.5</f>
        <v>2157.5</v>
      </c>
      <c r="AL89">
        <f t="shared" si="5"/>
        <v>219282.24999999997</v>
      </c>
    </row>
    <row r="90" spans="1:38">
      <c r="A90">
        <v>870</v>
      </c>
      <c r="B90">
        <v>88</v>
      </c>
      <c r="C90">
        <f>$F$1*몬스터밸런스[[#This Row],[Lv]]+15</f>
        <v>4365</v>
      </c>
      <c r="E90" t="s">
        <v>479</v>
      </c>
      <c r="F90">
        <f>IF(E90="공격형",INDEX(몬스터계수[[#Data],[생명계수]],MATCH(E90,몬스터계수[[#Data],[타입]],0),1)*C90,
IF(E90="방어형",INDEX(몬스터계수[[#Data],[생명계수]],MATCH(E90,몬스터계수[[#Data],[타입]],0),1)*C90,
IF(E90="회피형",INDEX(몬스터계수[[#Data],[생명계수]],MATCH(E90,몬스터계수[[#Data],[타입]],0),1)*C90,
IF(E90="체력형",INDEX(몬스터계수[[#Data],[생명계수]],MATCH(E90,몬스터계수[[#Data],[타입]],0),1)*C90,0))))*IF(몬스터밸런스[[#This Row],[보스]]=TRUE,2,1)</f>
        <v>2182.5</v>
      </c>
      <c r="G90">
        <f>IF(E90="공격형",INDEX(몬스터계수[[#Data],[힘계수]],MATCH(E90, 몬스터계수[[#Data],[타입]],0),1)*C90,
IF(E90="방어형",INDEX(몬스터계수[[#Data],[힘계수]],MATCH(E90, 몬스터계수[[#Data],[타입]],0),1)*C90,
IF(E90="회피형",INDEX(몬스터계수[[#Data],[힘계수]],MATCH(E90, 몬스터계수[[#Data],[타입]],0),1)*C90,
IF(E90="체력형",INDEX(몬스터계수[[#Data],[힘계수]],MATCH(E90, 몬스터계수[[#Data],[타입]],0),1)*C90,0))))</f>
        <v>1091.25</v>
      </c>
      <c r="H90">
        <f>IF(E90="공격형",INDEX(몬스터계수[[#Data],[근력게수]],MATCH(E90,몬스터계수[[#Data],[타입]],0),1)*C90,
IF(E90="방어형",INDEX(몬스터계수[[#Data],[근력게수]],MATCH(E90,몬스터계수[[#Data],[타입]],0),1)*C90,
IF(E90="회피형",INDEX(몬스터계수[[#Data],[근력게수]],MATCH(E90,몬스터계수[[#Data],[타입]],0),1)*C90,
IF(E90="체력형",INDEX(몬스터계수[[#Data],[근력게수]],MATCH(E90,몬스터계수[[#Data],[타입]],0),1)*C90,0))))</f>
        <v>218.25</v>
      </c>
      <c r="I90">
        <f>IF(E90="공격형",INDEX(몬스터계수[[#Data],[숙련도계수]],MATCH(E90,몬스터계수[[#Data],[타입]],0),1)*C90,
IF(E90="방어형",INDEX(몬스터계수[[#Data],[숙련도계수]],MATCH(E90,몬스터계수[[#Data],[타입]],0),1)*C90,
IF(E90="회피형",INDEX(몬스터계수[[#Data],[숙련도계수]],MATCH(E90,몬스터계수[[#Data],[타입]],0),1)*C90,
IF(E90="체력형",INDEX(몬스터계수[[#Data],[숙련도계수]],MATCH(E90,몬스터계수[[#Data],[타입]],0),1)*C90,0))))</f>
        <v>654.75</v>
      </c>
      <c r="J90">
        <f>IF(E90="공격형",INDEX(몬스터계수[[#Data],[행운계수]],MATCH(E90, 몬스터계수[[#Data],[타입]],0),1)*C90,
IF(E90="방어형",INDEX(몬스터계수[[#Data],[행운계수]],MATCH(E90, 몬스터계수[[#Data],[타입]],0),1)*C90,
IF(E90="회피형",INDEX(몬스터계수[[#Data],[행운계수]],MATCH(E90, 몬스터계수[[#Data],[타입]],0),1)*C90,
IF(E90="체력형",INDEX(몬스터계수[[#Data],[행운계수]],MATCH(E90, 몬스터계수[[#Data],[타입]],0),1)*C90,0))))</f>
        <v>218.25</v>
      </c>
      <c r="K90" s="34">
        <f>ROUND(
(($F90)*참고!$D$5)
+(($G90)*참고!$D$6)
+(($H90)*참고!$D$7)
+(($I90)*참고!$D$8)
+(($J90))*참고!$D$9,0)</f>
        <v>33938</v>
      </c>
      <c r="L90" s="34">
        <f>ROUND(
(($F90)*참고!$E$5)
+(($G90)*참고!$E$6)
+(($H90)*참고!$E$7)
+(($I90)*참고!$E$8)
+(($J90))*참고!$E$9,0)</f>
        <v>19424</v>
      </c>
      <c r="M90" s="34">
        <f>ROUND(
(($F90)*참고!$F$5)
+(($G90)*참고!$F$6)
+(($H90)*참고!$F$7)
+(($I90)*참고!$F$8)
+(($J90))*참고!$F$9,0)</f>
        <v>5456</v>
      </c>
      <c r="N90" s="34">
        <f>ROUND(
(($F90)*참고!$G$5)
+(($G90)*참고!$G$6)
+(($H90)*참고!$G$7)
+(($I90)*참고!$G$8)
+(($J90))*참고!$G$9,0)</f>
        <v>153</v>
      </c>
      <c r="O90" s="34">
        <f>ROUND(
(($F90)*참고!$H$5)
+(($G90)*참고!$H$6)
+(($H90)*참고!$H$7)
+(($I90)*참고!$H$8)
+(($J90))*참고!$H$9,0)</f>
        <v>3601</v>
      </c>
      <c r="P90" s="34">
        <f>ROUND(
(($F90)*참고!$I$5)
+(($G90)*참고!$I$6)
+(($H90)*참고!$I$7)
+(($I90)*참고!$I$8)
+(($J90))*참고!$I$9,0)</f>
        <v>6329</v>
      </c>
      <c r="Q90" s="34">
        <f>ROUND(
(($F90)*참고!$J$5)
+(($G90)*참고!$J$6)
+(($H90)*참고!$J$7)
+(($I90)*참고!$J$8)
+(($J90))*참고!$J$9,0)</f>
        <v>4365</v>
      </c>
      <c r="R90" s="34">
        <f>IF(E90="공격형",(INDEX(몬스터계수[[#Data],[속도]],MATCH(E90, 몬스터계수[[#Data],[타입]],0),1)*속도핸들러_곱계수)*(INT(몬스터밸런스[[#This Row],[Lv]]/속도핸들러_합계수+1)),
IF(E90="방어형",(INDEX(몬스터계수[[#Data],[속도]],MATCH(E90, 몬스터계수[[#Data],[타입]],0),1)*속도핸들러_곱계수)*(INT(몬스터밸런스[[#This Row],[Lv]]/속도핸들러_합계수+1)),
IF(E90="회피형",(INDEX(몬스터계수[[#Data],[속도]],MATCH(E90, 몬스터계수[[#Data],[타입]],0),1)*속도핸들러_곱계수)*(INT(몬스터밸런스[[#This Row],[Lv]]/속도핸들러_합계수+1)),
IF(E90="기본형",(INDEX(몬스터계수[[#Data],[속도]],MATCH(E90, 몬스터계수[[#Data],[타입]],0),1)*속도핸들러_곱계수)*(INT(몬스터밸런스[[#This Row],[Lv]]/속도핸들러_합계수+1)),0))))</f>
        <v>0</v>
      </c>
      <c r="S90">
        <f t="shared" si="4"/>
        <v>1165195</v>
      </c>
      <c r="U90">
        <v>3</v>
      </c>
      <c r="V90">
        <v>88</v>
      </c>
      <c r="W90">
        <f>$Z$1*몬스터밸런스9[[#This Row],[단계]]</f>
        <v>15</v>
      </c>
      <c r="X90" t="s">
        <v>51</v>
      </c>
      <c r="AE90" s="34">
        <f>몬스터밸런스[[#This Row],[Hp]]*0.3</f>
        <v>10181.4</v>
      </c>
      <c r="AF90" s="34"/>
      <c r="AG90" s="34"/>
      <c r="AH90" s="34"/>
      <c r="AI90" s="34"/>
      <c r="AJ90" s="34"/>
      <c r="AK90" s="34">
        <f>몬스터밸런스[[#This Row],[DodgeRate]]*0.5</f>
        <v>2182.5</v>
      </c>
      <c r="AL90">
        <f t="shared" si="5"/>
        <v>221824.5</v>
      </c>
    </row>
    <row r="91" spans="1:38">
      <c r="A91">
        <v>880</v>
      </c>
      <c r="B91">
        <v>89</v>
      </c>
      <c r="C91">
        <f>$F$1*몬스터밸런스[[#This Row],[Lv]]+15</f>
        <v>4415</v>
      </c>
      <c r="E91" t="s">
        <v>479</v>
      </c>
      <c r="F91">
        <f>IF(E91="공격형",INDEX(몬스터계수[[#Data],[생명계수]],MATCH(E91,몬스터계수[[#Data],[타입]],0),1)*C91,
IF(E91="방어형",INDEX(몬스터계수[[#Data],[생명계수]],MATCH(E91,몬스터계수[[#Data],[타입]],0),1)*C91,
IF(E91="회피형",INDEX(몬스터계수[[#Data],[생명계수]],MATCH(E91,몬스터계수[[#Data],[타입]],0),1)*C91,
IF(E91="체력형",INDEX(몬스터계수[[#Data],[생명계수]],MATCH(E91,몬스터계수[[#Data],[타입]],0),1)*C91,0))))*IF(몬스터밸런스[[#This Row],[보스]]=TRUE,2,1)</f>
        <v>2207.5</v>
      </c>
      <c r="G91">
        <f>IF(E91="공격형",INDEX(몬스터계수[[#Data],[힘계수]],MATCH(E91, 몬스터계수[[#Data],[타입]],0),1)*C91,
IF(E91="방어형",INDEX(몬스터계수[[#Data],[힘계수]],MATCH(E91, 몬스터계수[[#Data],[타입]],0),1)*C91,
IF(E91="회피형",INDEX(몬스터계수[[#Data],[힘계수]],MATCH(E91, 몬스터계수[[#Data],[타입]],0),1)*C91,
IF(E91="체력형",INDEX(몬스터계수[[#Data],[힘계수]],MATCH(E91, 몬스터계수[[#Data],[타입]],0),1)*C91,0))))</f>
        <v>1103.75</v>
      </c>
      <c r="H91">
        <f>IF(E91="공격형",INDEX(몬스터계수[[#Data],[근력게수]],MATCH(E91,몬스터계수[[#Data],[타입]],0),1)*C91,
IF(E91="방어형",INDEX(몬스터계수[[#Data],[근력게수]],MATCH(E91,몬스터계수[[#Data],[타입]],0),1)*C91,
IF(E91="회피형",INDEX(몬스터계수[[#Data],[근력게수]],MATCH(E91,몬스터계수[[#Data],[타입]],0),1)*C91,
IF(E91="체력형",INDEX(몬스터계수[[#Data],[근력게수]],MATCH(E91,몬스터계수[[#Data],[타입]],0),1)*C91,0))))</f>
        <v>220.75</v>
      </c>
      <c r="I91">
        <f>IF(E91="공격형",INDEX(몬스터계수[[#Data],[숙련도계수]],MATCH(E91,몬스터계수[[#Data],[타입]],0),1)*C91,
IF(E91="방어형",INDEX(몬스터계수[[#Data],[숙련도계수]],MATCH(E91,몬스터계수[[#Data],[타입]],0),1)*C91,
IF(E91="회피형",INDEX(몬스터계수[[#Data],[숙련도계수]],MATCH(E91,몬스터계수[[#Data],[타입]],0),1)*C91,
IF(E91="체력형",INDEX(몬스터계수[[#Data],[숙련도계수]],MATCH(E91,몬스터계수[[#Data],[타입]],0),1)*C91,0))))</f>
        <v>662.25</v>
      </c>
      <c r="J91">
        <f>IF(E91="공격형",INDEX(몬스터계수[[#Data],[행운계수]],MATCH(E91, 몬스터계수[[#Data],[타입]],0),1)*C91,
IF(E91="방어형",INDEX(몬스터계수[[#Data],[행운계수]],MATCH(E91, 몬스터계수[[#Data],[타입]],0),1)*C91,
IF(E91="회피형",INDEX(몬스터계수[[#Data],[행운계수]],MATCH(E91, 몬스터계수[[#Data],[타입]],0),1)*C91,
IF(E91="체력형",INDEX(몬스터계수[[#Data],[행운계수]],MATCH(E91, 몬스터계수[[#Data],[타입]],0),1)*C91,0))))</f>
        <v>220.75</v>
      </c>
      <c r="K91" s="34">
        <f>ROUND(
(($F91)*참고!$D$5)
+(($G91)*참고!$D$6)
+(($H91)*참고!$D$7)
+(($I91)*참고!$D$8)
+(($J91))*참고!$D$9,0)</f>
        <v>34327</v>
      </c>
      <c r="L91" s="34">
        <f>ROUND(
(($F91)*참고!$E$5)
+(($G91)*참고!$E$6)
+(($H91)*참고!$E$7)
+(($I91)*참고!$E$8)
+(($J91))*참고!$E$9,0)</f>
        <v>19647</v>
      </c>
      <c r="M91" s="34">
        <f>ROUND(
(($F91)*참고!$F$5)
+(($G91)*참고!$F$6)
+(($H91)*참고!$F$7)
+(($I91)*참고!$F$8)
+(($J91))*참고!$F$9,0)</f>
        <v>5519</v>
      </c>
      <c r="N91" s="34">
        <f>ROUND(
(($F91)*참고!$G$5)
+(($G91)*참고!$G$6)
+(($H91)*참고!$G$7)
+(($I91)*참고!$G$8)
+(($J91))*참고!$G$9,0)</f>
        <v>155</v>
      </c>
      <c r="O91" s="34">
        <f>ROUND(
(($F91)*참고!$H$5)
+(($G91)*참고!$H$6)
+(($H91)*참고!$H$7)
+(($I91)*참고!$H$8)
+(($J91))*참고!$H$9,0)</f>
        <v>3642</v>
      </c>
      <c r="P91" s="34">
        <f>ROUND(
(($F91)*참고!$I$5)
+(($G91)*참고!$I$6)
+(($H91)*참고!$I$7)
+(($I91)*참고!$I$8)
+(($J91))*참고!$I$9,0)</f>
        <v>6402</v>
      </c>
      <c r="Q91" s="34">
        <f>ROUND(
(($F91)*참고!$J$5)
+(($G91)*참고!$J$6)
+(($H91)*참고!$J$7)
+(($I91)*참고!$J$8)
+(($J91))*참고!$J$9,0)</f>
        <v>4415</v>
      </c>
      <c r="R91" s="34">
        <f>IF(E91="공격형",(INDEX(몬스터계수[[#Data],[속도]],MATCH(E91, 몬스터계수[[#Data],[타입]],0),1)*속도핸들러_곱계수)*(INT(몬스터밸런스[[#This Row],[Lv]]/속도핸들러_합계수+1)),
IF(E91="방어형",(INDEX(몬스터계수[[#Data],[속도]],MATCH(E91, 몬스터계수[[#Data],[타입]],0),1)*속도핸들러_곱계수)*(INT(몬스터밸런스[[#This Row],[Lv]]/속도핸들러_합계수+1)),
IF(E91="회피형",(INDEX(몬스터계수[[#Data],[속도]],MATCH(E91, 몬스터계수[[#Data],[타입]],0),1)*속도핸들러_곱계수)*(INT(몬스터밸런스[[#This Row],[Lv]]/속도핸들러_합계수+1)),
IF(E91="기본형",(INDEX(몬스터계수[[#Data],[속도]],MATCH(E91, 몬스터계수[[#Data],[타입]],0),1)*속도핸들러_곱계수)*(INT(몬스터밸런스[[#This Row],[Lv]]/속도핸들러_합계수+1)),0))))</f>
        <v>0</v>
      </c>
      <c r="S91">
        <f t="shared" si="4"/>
        <v>1178567</v>
      </c>
      <c r="U91">
        <v>3</v>
      </c>
      <c r="V91">
        <v>89</v>
      </c>
      <c r="W91">
        <f>$Z$1*몬스터밸런스9[[#This Row],[단계]]</f>
        <v>15</v>
      </c>
      <c r="X91" t="s">
        <v>51</v>
      </c>
      <c r="AE91" s="34">
        <f>몬스터밸런스[[#This Row],[Hp]]*0.3</f>
        <v>10298.1</v>
      </c>
      <c r="AF91" s="34"/>
      <c r="AG91" s="34"/>
      <c r="AH91" s="34"/>
      <c r="AI91" s="34"/>
      <c r="AJ91" s="34"/>
      <c r="AK91" s="34">
        <f>몬스터밸런스[[#This Row],[DodgeRate]]*0.5</f>
        <v>2207.5</v>
      </c>
      <c r="AL91">
        <f t="shared" si="5"/>
        <v>224366.75</v>
      </c>
    </row>
    <row r="92" spans="1:38">
      <c r="A92">
        <v>890</v>
      </c>
      <c r="B92">
        <v>90</v>
      </c>
      <c r="C92">
        <f>$F$1*몬스터밸런스[[#This Row],[Lv]]+15</f>
        <v>4465</v>
      </c>
      <c r="E92" t="s">
        <v>479</v>
      </c>
      <c r="F92">
        <f>IF(E92="공격형",INDEX(몬스터계수[[#Data],[생명계수]],MATCH(E92,몬스터계수[[#Data],[타입]],0),1)*C92,
IF(E92="방어형",INDEX(몬스터계수[[#Data],[생명계수]],MATCH(E92,몬스터계수[[#Data],[타입]],0),1)*C92,
IF(E92="회피형",INDEX(몬스터계수[[#Data],[생명계수]],MATCH(E92,몬스터계수[[#Data],[타입]],0),1)*C92,
IF(E92="체력형",INDEX(몬스터계수[[#Data],[생명계수]],MATCH(E92,몬스터계수[[#Data],[타입]],0),1)*C92,0))))*IF(몬스터밸런스[[#This Row],[보스]]=TRUE,2,1)</f>
        <v>2232.5</v>
      </c>
      <c r="G92">
        <f>IF(E92="공격형",INDEX(몬스터계수[[#Data],[힘계수]],MATCH(E92, 몬스터계수[[#Data],[타입]],0),1)*C92,
IF(E92="방어형",INDEX(몬스터계수[[#Data],[힘계수]],MATCH(E92, 몬스터계수[[#Data],[타입]],0),1)*C92,
IF(E92="회피형",INDEX(몬스터계수[[#Data],[힘계수]],MATCH(E92, 몬스터계수[[#Data],[타입]],0),1)*C92,
IF(E92="체력형",INDEX(몬스터계수[[#Data],[힘계수]],MATCH(E92, 몬스터계수[[#Data],[타입]],0),1)*C92,0))))</f>
        <v>1116.25</v>
      </c>
      <c r="H92">
        <f>IF(E92="공격형",INDEX(몬스터계수[[#Data],[근력게수]],MATCH(E92,몬스터계수[[#Data],[타입]],0),1)*C92,
IF(E92="방어형",INDEX(몬스터계수[[#Data],[근력게수]],MATCH(E92,몬스터계수[[#Data],[타입]],0),1)*C92,
IF(E92="회피형",INDEX(몬스터계수[[#Data],[근력게수]],MATCH(E92,몬스터계수[[#Data],[타입]],0),1)*C92,
IF(E92="체력형",INDEX(몬스터계수[[#Data],[근력게수]],MATCH(E92,몬스터계수[[#Data],[타입]],0),1)*C92,0))))</f>
        <v>223.25</v>
      </c>
      <c r="I92">
        <f>IF(E92="공격형",INDEX(몬스터계수[[#Data],[숙련도계수]],MATCH(E92,몬스터계수[[#Data],[타입]],0),1)*C92,
IF(E92="방어형",INDEX(몬스터계수[[#Data],[숙련도계수]],MATCH(E92,몬스터계수[[#Data],[타입]],0),1)*C92,
IF(E92="회피형",INDEX(몬스터계수[[#Data],[숙련도계수]],MATCH(E92,몬스터계수[[#Data],[타입]],0),1)*C92,
IF(E92="체력형",INDEX(몬스터계수[[#Data],[숙련도계수]],MATCH(E92,몬스터계수[[#Data],[타입]],0),1)*C92,0))))</f>
        <v>669.75</v>
      </c>
      <c r="J92">
        <f>IF(E92="공격형",INDEX(몬스터계수[[#Data],[행운계수]],MATCH(E92, 몬스터계수[[#Data],[타입]],0),1)*C92,
IF(E92="방어형",INDEX(몬스터계수[[#Data],[행운계수]],MATCH(E92, 몬스터계수[[#Data],[타입]],0),1)*C92,
IF(E92="회피형",INDEX(몬스터계수[[#Data],[행운계수]],MATCH(E92, 몬스터계수[[#Data],[타입]],0),1)*C92,
IF(E92="체력형",INDEX(몬스터계수[[#Data],[행운계수]],MATCH(E92, 몬스터계수[[#Data],[타입]],0),1)*C92,0))))</f>
        <v>223.25</v>
      </c>
      <c r="K92" s="34">
        <f>ROUND(
(($F92)*참고!$D$5)
+(($G92)*참고!$D$6)
+(($H92)*참고!$D$7)
+(($I92)*참고!$D$8)
+(($J92))*참고!$D$9,0)</f>
        <v>34715</v>
      </c>
      <c r="L92" s="34">
        <f>ROUND(
(($F92)*참고!$E$5)
+(($G92)*참고!$E$6)
+(($H92)*참고!$E$7)
+(($I92)*참고!$E$8)
+(($J92))*참고!$E$9,0)</f>
        <v>19869</v>
      </c>
      <c r="M92" s="34">
        <f>ROUND(
(($F92)*참고!$F$5)
+(($G92)*참고!$F$6)
+(($H92)*참고!$F$7)
+(($I92)*참고!$F$8)
+(($J92))*참고!$F$9,0)</f>
        <v>5581</v>
      </c>
      <c r="N92" s="34">
        <f>ROUND(
(($F92)*참고!$G$5)
+(($G92)*참고!$G$6)
+(($H92)*참고!$G$7)
+(($I92)*참고!$G$8)
+(($J92))*참고!$G$9,0)</f>
        <v>156</v>
      </c>
      <c r="O92" s="34">
        <f>ROUND(
(($F92)*참고!$H$5)
+(($G92)*참고!$H$6)
+(($H92)*참고!$H$7)
+(($I92)*참고!$H$8)
+(($J92))*참고!$H$9,0)</f>
        <v>3684</v>
      </c>
      <c r="P92" s="34">
        <f>ROUND(
(($F92)*참고!$I$5)
+(($G92)*참고!$I$6)
+(($H92)*참고!$I$7)
+(($I92)*참고!$I$8)
+(($J92))*참고!$I$9,0)</f>
        <v>6474</v>
      </c>
      <c r="Q92" s="34">
        <f>ROUND(
(($F92)*참고!$J$5)
+(($G92)*참고!$J$6)
+(($H92)*참고!$J$7)
+(($I92)*참고!$J$8)
+(($J92))*참고!$J$9,0)</f>
        <v>4465</v>
      </c>
      <c r="R92" s="34">
        <f>IF(E92="공격형",(INDEX(몬스터계수[[#Data],[속도]],MATCH(E92, 몬스터계수[[#Data],[타입]],0),1)*속도핸들러_곱계수)*(INT(몬스터밸런스[[#This Row],[Lv]]/속도핸들러_합계수+1)),
IF(E92="방어형",(INDEX(몬스터계수[[#Data],[속도]],MATCH(E92, 몬스터계수[[#Data],[타입]],0),1)*속도핸들러_곱계수)*(INT(몬스터밸런스[[#This Row],[Lv]]/속도핸들러_합계수+1)),
IF(E92="회피형",(INDEX(몬스터계수[[#Data],[속도]],MATCH(E92, 몬스터계수[[#Data],[타입]],0),1)*속도핸들러_곱계수)*(INT(몬스터밸런스[[#This Row],[Lv]]/속도핸들러_합계수+1)),
IF(E92="기본형",(INDEX(몬스터계수[[#Data],[속도]],MATCH(E92, 몬스터계수[[#Data],[타입]],0),1)*속도핸들러_곱계수)*(INT(몬스터밸런스[[#This Row],[Lv]]/속도핸들러_합계수+1)),0))))</f>
        <v>0</v>
      </c>
      <c r="S92">
        <f t="shared" si="4"/>
        <v>1191882.5</v>
      </c>
      <c r="U92">
        <v>3</v>
      </c>
      <c r="V92">
        <v>90</v>
      </c>
      <c r="W92">
        <f>$Z$1*몬스터밸런스9[[#This Row],[단계]]</f>
        <v>15</v>
      </c>
      <c r="X92" t="s">
        <v>51</v>
      </c>
      <c r="AE92" s="34">
        <f>몬스터밸런스[[#This Row],[Hp]]*0.3</f>
        <v>10414.5</v>
      </c>
      <c r="AF92" s="34"/>
      <c r="AG92" s="34"/>
      <c r="AH92" s="34"/>
      <c r="AI92" s="34"/>
      <c r="AJ92" s="34"/>
      <c r="AK92" s="34">
        <f>몬스터밸런스[[#This Row],[DodgeRate]]*0.5</f>
        <v>2232.5</v>
      </c>
      <c r="AL92">
        <f t="shared" si="5"/>
        <v>226903.75</v>
      </c>
    </row>
    <row r="93" spans="1:38">
      <c r="A93">
        <v>900</v>
      </c>
      <c r="B93">
        <v>91</v>
      </c>
      <c r="C93">
        <f>$F$1*몬스터밸런스[[#This Row],[Lv]]+15</f>
        <v>4515</v>
      </c>
      <c r="E93" t="s">
        <v>479</v>
      </c>
      <c r="F93">
        <f>IF(E93="공격형",INDEX(몬스터계수[[#Data],[생명계수]],MATCH(E93,몬스터계수[[#Data],[타입]],0),1)*C93,
IF(E93="방어형",INDEX(몬스터계수[[#Data],[생명계수]],MATCH(E93,몬스터계수[[#Data],[타입]],0),1)*C93,
IF(E93="회피형",INDEX(몬스터계수[[#Data],[생명계수]],MATCH(E93,몬스터계수[[#Data],[타입]],0),1)*C93,
IF(E93="체력형",INDEX(몬스터계수[[#Data],[생명계수]],MATCH(E93,몬스터계수[[#Data],[타입]],0),1)*C93,0))))*IF(몬스터밸런스[[#This Row],[보스]]=TRUE,2,1)</f>
        <v>2257.5</v>
      </c>
      <c r="G93">
        <f>IF(E93="공격형",INDEX(몬스터계수[[#Data],[힘계수]],MATCH(E93, 몬스터계수[[#Data],[타입]],0),1)*C93,
IF(E93="방어형",INDEX(몬스터계수[[#Data],[힘계수]],MATCH(E93, 몬스터계수[[#Data],[타입]],0),1)*C93,
IF(E93="회피형",INDEX(몬스터계수[[#Data],[힘계수]],MATCH(E93, 몬스터계수[[#Data],[타입]],0),1)*C93,
IF(E93="체력형",INDEX(몬스터계수[[#Data],[힘계수]],MATCH(E93, 몬스터계수[[#Data],[타입]],0),1)*C93,0))))</f>
        <v>1128.75</v>
      </c>
      <c r="H93">
        <f>IF(E93="공격형",INDEX(몬스터계수[[#Data],[근력게수]],MATCH(E93,몬스터계수[[#Data],[타입]],0),1)*C93,
IF(E93="방어형",INDEX(몬스터계수[[#Data],[근력게수]],MATCH(E93,몬스터계수[[#Data],[타입]],0),1)*C93,
IF(E93="회피형",INDEX(몬스터계수[[#Data],[근력게수]],MATCH(E93,몬스터계수[[#Data],[타입]],0),1)*C93,
IF(E93="체력형",INDEX(몬스터계수[[#Data],[근력게수]],MATCH(E93,몬스터계수[[#Data],[타입]],0),1)*C93,0))))</f>
        <v>225.75</v>
      </c>
      <c r="I93">
        <f>IF(E93="공격형",INDEX(몬스터계수[[#Data],[숙련도계수]],MATCH(E93,몬스터계수[[#Data],[타입]],0),1)*C93,
IF(E93="방어형",INDEX(몬스터계수[[#Data],[숙련도계수]],MATCH(E93,몬스터계수[[#Data],[타입]],0),1)*C93,
IF(E93="회피형",INDEX(몬스터계수[[#Data],[숙련도계수]],MATCH(E93,몬스터계수[[#Data],[타입]],0),1)*C93,
IF(E93="체력형",INDEX(몬스터계수[[#Data],[숙련도계수]],MATCH(E93,몬스터계수[[#Data],[타입]],0),1)*C93,0))))</f>
        <v>677.25</v>
      </c>
      <c r="J93">
        <f>IF(E93="공격형",INDEX(몬스터계수[[#Data],[행운계수]],MATCH(E93, 몬스터계수[[#Data],[타입]],0),1)*C93,
IF(E93="방어형",INDEX(몬스터계수[[#Data],[행운계수]],MATCH(E93, 몬스터계수[[#Data],[타입]],0),1)*C93,
IF(E93="회피형",INDEX(몬스터계수[[#Data],[행운계수]],MATCH(E93, 몬스터계수[[#Data],[타입]],0),1)*C93,
IF(E93="체력형",INDEX(몬스터계수[[#Data],[행운계수]],MATCH(E93, 몬스터계수[[#Data],[타입]],0),1)*C93,0))))</f>
        <v>225.75</v>
      </c>
      <c r="K93" s="34">
        <f>ROUND(
(($F93)*참고!$D$5)
+(($G93)*참고!$D$6)
+(($H93)*참고!$D$7)
+(($I93)*참고!$D$8)
+(($J93))*참고!$D$9,0)</f>
        <v>35104</v>
      </c>
      <c r="L93" s="34">
        <f>ROUND(
(($F93)*참고!$E$5)
+(($G93)*참고!$E$6)
+(($H93)*참고!$E$7)
+(($I93)*참고!$E$8)
+(($J93))*참고!$E$9,0)</f>
        <v>20092</v>
      </c>
      <c r="M93" s="34">
        <f>ROUND(
(($F93)*참고!$F$5)
+(($G93)*참고!$F$6)
+(($H93)*참고!$F$7)
+(($I93)*참고!$F$8)
+(($J93))*참고!$F$9,0)</f>
        <v>5644</v>
      </c>
      <c r="N93" s="34">
        <f>ROUND(
(($F93)*참고!$G$5)
+(($G93)*참고!$G$6)
+(($H93)*참고!$G$7)
+(($I93)*참고!$G$8)
+(($J93))*참고!$G$9,0)</f>
        <v>158</v>
      </c>
      <c r="O93" s="34">
        <f>ROUND(
(($F93)*참고!$H$5)
+(($G93)*참고!$H$6)
+(($H93)*참고!$H$7)
+(($I93)*참고!$H$8)
+(($J93))*참고!$H$9,0)</f>
        <v>3725</v>
      </c>
      <c r="P93" s="34">
        <f>ROUND(
(($F93)*참고!$I$5)
+(($G93)*참고!$I$6)
+(($H93)*참고!$I$7)
+(($I93)*참고!$I$8)
+(($J93))*참고!$I$9,0)</f>
        <v>6547</v>
      </c>
      <c r="Q93" s="34">
        <f>ROUND(
(($F93)*참고!$J$5)
+(($G93)*참고!$J$6)
+(($H93)*참고!$J$7)
+(($I93)*참고!$J$8)
+(($J93))*참고!$J$9,0)</f>
        <v>4515</v>
      </c>
      <c r="R93" s="34">
        <f>IF(E93="공격형",(INDEX(몬스터계수[[#Data],[속도]],MATCH(E93, 몬스터계수[[#Data],[타입]],0),1)*속도핸들러_곱계수)*(INT(몬스터밸런스[[#This Row],[Lv]]/속도핸들러_합계수+1)),
IF(E93="방어형",(INDEX(몬스터계수[[#Data],[속도]],MATCH(E93, 몬스터계수[[#Data],[타입]],0),1)*속도핸들러_곱계수)*(INT(몬스터밸런스[[#This Row],[Lv]]/속도핸들러_합계수+1)),
IF(E93="회피형",(INDEX(몬스터계수[[#Data],[속도]],MATCH(E93, 몬스터계수[[#Data],[타입]],0),1)*속도핸들러_곱계수)*(INT(몬스터밸런스[[#This Row],[Lv]]/속도핸들러_합계수+1)),
IF(E93="기본형",(INDEX(몬스터계수[[#Data],[속도]],MATCH(E93, 몬스터계수[[#Data],[타입]],0),1)*속도핸들러_곱계수)*(INT(몬스터밸런스[[#This Row],[Lv]]/속도핸들러_합계수+1)),0))))</f>
        <v>0</v>
      </c>
      <c r="S93">
        <f t="shared" si="4"/>
        <v>1205254.5</v>
      </c>
      <c r="U93">
        <v>4</v>
      </c>
      <c r="V93">
        <v>91</v>
      </c>
      <c r="W93">
        <f>$Z$1*몬스터밸런스9[[#This Row],[단계]]</f>
        <v>20</v>
      </c>
      <c r="X93" t="s">
        <v>51</v>
      </c>
      <c r="AE93" s="34">
        <f>몬스터밸런스[[#This Row],[Hp]]*0.3</f>
        <v>10531.199999999999</v>
      </c>
      <c r="AF93" s="34"/>
      <c r="AG93" s="34"/>
      <c r="AH93" s="34"/>
      <c r="AI93" s="34"/>
      <c r="AJ93" s="34"/>
      <c r="AK93" s="34">
        <f>몬스터밸런스[[#This Row],[DodgeRate]]*0.5</f>
        <v>2257.5</v>
      </c>
      <c r="AL93">
        <f t="shared" si="5"/>
        <v>229445.99999999997</v>
      </c>
    </row>
    <row r="94" spans="1:38">
      <c r="A94">
        <v>910</v>
      </c>
      <c r="B94">
        <v>92</v>
      </c>
      <c r="C94">
        <f>$F$1*몬스터밸런스[[#This Row],[Lv]]+15</f>
        <v>4565</v>
      </c>
      <c r="E94" t="s">
        <v>479</v>
      </c>
      <c r="F94">
        <f>IF(E94="공격형",INDEX(몬스터계수[[#Data],[생명계수]],MATCH(E94,몬스터계수[[#Data],[타입]],0),1)*C94,
IF(E94="방어형",INDEX(몬스터계수[[#Data],[생명계수]],MATCH(E94,몬스터계수[[#Data],[타입]],0),1)*C94,
IF(E94="회피형",INDEX(몬스터계수[[#Data],[생명계수]],MATCH(E94,몬스터계수[[#Data],[타입]],0),1)*C94,
IF(E94="체력형",INDEX(몬스터계수[[#Data],[생명계수]],MATCH(E94,몬스터계수[[#Data],[타입]],0),1)*C94,0))))*IF(몬스터밸런스[[#This Row],[보스]]=TRUE,2,1)</f>
        <v>2282.5</v>
      </c>
      <c r="G94">
        <f>IF(E94="공격형",INDEX(몬스터계수[[#Data],[힘계수]],MATCH(E94, 몬스터계수[[#Data],[타입]],0),1)*C94,
IF(E94="방어형",INDEX(몬스터계수[[#Data],[힘계수]],MATCH(E94, 몬스터계수[[#Data],[타입]],0),1)*C94,
IF(E94="회피형",INDEX(몬스터계수[[#Data],[힘계수]],MATCH(E94, 몬스터계수[[#Data],[타입]],0),1)*C94,
IF(E94="체력형",INDEX(몬스터계수[[#Data],[힘계수]],MATCH(E94, 몬스터계수[[#Data],[타입]],0),1)*C94,0))))</f>
        <v>1141.25</v>
      </c>
      <c r="H94">
        <f>IF(E94="공격형",INDEX(몬스터계수[[#Data],[근력게수]],MATCH(E94,몬스터계수[[#Data],[타입]],0),1)*C94,
IF(E94="방어형",INDEX(몬스터계수[[#Data],[근력게수]],MATCH(E94,몬스터계수[[#Data],[타입]],0),1)*C94,
IF(E94="회피형",INDEX(몬스터계수[[#Data],[근력게수]],MATCH(E94,몬스터계수[[#Data],[타입]],0),1)*C94,
IF(E94="체력형",INDEX(몬스터계수[[#Data],[근력게수]],MATCH(E94,몬스터계수[[#Data],[타입]],0),1)*C94,0))))</f>
        <v>228.25</v>
      </c>
      <c r="I94">
        <f>IF(E94="공격형",INDEX(몬스터계수[[#Data],[숙련도계수]],MATCH(E94,몬스터계수[[#Data],[타입]],0),1)*C94,
IF(E94="방어형",INDEX(몬스터계수[[#Data],[숙련도계수]],MATCH(E94,몬스터계수[[#Data],[타입]],0),1)*C94,
IF(E94="회피형",INDEX(몬스터계수[[#Data],[숙련도계수]],MATCH(E94,몬스터계수[[#Data],[타입]],0),1)*C94,
IF(E94="체력형",INDEX(몬스터계수[[#Data],[숙련도계수]],MATCH(E94,몬스터계수[[#Data],[타입]],0),1)*C94,0))))</f>
        <v>684.75</v>
      </c>
      <c r="J94">
        <f>IF(E94="공격형",INDEX(몬스터계수[[#Data],[행운계수]],MATCH(E94, 몬스터계수[[#Data],[타입]],0),1)*C94,
IF(E94="방어형",INDEX(몬스터계수[[#Data],[행운계수]],MATCH(E94, 몬스터계수[[#Data],[타입]],0),1)*C94,
IF(E94="회피형",INDEX(몬스터계수[[#Data],[행운계수]],MATCH(E94, 몬스터계수[[#Data],[타입]],0),1)*C94,
IF(E94="체력형",INDEX(몬스터계수[[#Data],[행운계수]],MATCH(E94, 몬스터계수[[#Data],[타입]],0),1)*C94,0))))</f>
        <v>228.25</v>
      </c>
      <c r="K94" s="34">
        <f>ROUND(
(($F94)*참고!$D$5)
+(($G94)*참고!$D$6)
+(($H94)*참고!$D$7)
+(($I94)*참고!$D$8)
+(($J94))*참고!$D$9,0)</f>
        <v>35493</v>
      </c>
      <c r="L94" s="34">
        <f>ROUND(
(($F94)*참고!$E$5)
+(($G94)*참고!$E$6)
+(($H94)*참고!$E$7)
+(($I94)*참고!$E$8)
+(($J94))*참고!$E$9,0)</f>
        <v>20314</v>
      </c>
      <c r="M94" s="34">
        <f>ROUND(
(($F94)*참고!$F$5)
+(($G94)*참고!$F$6)
+(($H94)*참고!$F$7)
+(($I94)*참고!$F$8)
+(($J94))*참고!$F$9,0)</f>
        <v>5706</v>
      </c>
      <c r="N94" s="34">
        <f>ROUND(
(($F94)*참고!$G$5)
+(($G94)*참고!$G$6)
+(($H94)*참고!$G$7)
+(($I94)*참고!$G$8)
+(($J94))*참고!$G$9,0)</f>
        <v>160</v>
      </c>
      <c r="O94" s="34">
        <f>ROUND(
(($F94)*참고!$H$5)
+(($G94)*참고!$H$6)
+(($H94)*참고!$H$7)
+(($I94)*참고!$H$8)
+(($J94))*참고!$H$9,0)</f>
        <v>3766</v>
      </c>
      <c r="P94" s="34">
        <f>ROUND(
(($F94)*참고!$I$5)
+(($G94)*참고!$I$6)
+(($H94)*참고!$I$7)
+(($I94)*참고!$I$8)
+(($J94))*참고!$I$9,0)</f>
        <v>6619</v>
      </c>
      <c r="Q94" s="34">
        <f>ROUND(
(($F94)*참고!$J$5)
+(($G94)*참고!$J$6)
+(($H94)*참고!$J$7)
+(($I94)*참고!$J$8)
+(($J94))*참고!$J$9,0)</f>
        <v>4565</v>
      </c>
      <c r="R94" s="34">
        <f>IF(E94="공격형",(INDEX(몬스터계수[[#Data],[속도]],MATCH(E94, 몬스터계수[[#Data],[타입]],0),1)*속도핸들러_곱계수)*(INT(몬스터밸런스[[#This Row],[Lv]]/속도핸들러_합계수+1)),
IF(E94="방어형",(INDEX(몬스터계수[[#Data],[속도]],MATCH(E94, 몬스터계수[[#Data],[타입]],0),1)*속도핸들러_곱계수)*(INT(몬스터밸런스[[#This Row],[Lv]]/속도핸들러_합계수+1)),
IF(E94="회피형",(INDEX(몬스터계수[[#Data],[속도]],MATCH(E94, 몬스터계수[[#Data],[타입]],0),1)*속도핸들러_곱계수)*(INT(몬스터밸런스[[#This Row],[Lv]]/속도핸들러_합계수+1)),
IF(E94="기본형",(INDEX(몬스터계수[[#Data],[속도]],MATCH(E94, 몬스터계수[[#Data],[타입]],0),1)*속도핸들러_곱계수)*(INT(몬스터밸런스[[#This Row],[Lv]]/속도핸들러_합계수+1)),0))))</f>
        <v>0</v>
      </c>
      <c r="S94">
        <f t="shared" si="4"/>
        <v>1218583.5</v>
      </c>
      <c r="U94">
        <v>4</v>
      </c>
      <c r="V94">
        <v>92</v>
      </c>
      <c r="W94">
        <f>$Z$1*몬스터밸런스9[[#This Row],[단계]]</f>
        <v>20</v>
      </c>
      <c r="X94" t="s">
        <v>51</v>
      </c>
      <c r="AE94" s="34">
        <f>몬스터밸런스[[#This Row],[Hp]]*0.3</f>
        <v>10647.9</v>
      </c>
      <c r="AF94" s="34"/>
      <c r="AG94" s="34"/>
      <c r="AH94" s="34"/>
      <c r="AI94" s="34"/>
      <c r="AJ94" s="34"/>
      <c r="AK94" s="34">
        <f>몬스터밸런스[[#This Row],[DodgeRate]]*0.5</f>
        <v>2282.5</v>
      </c>
      <c r="AL94">
        <f t="shared" si="5"/>
        <v>231988.25</v>
      </c>
    </row>
    <row r="95" spans="1:38">
      <c r="A95">
        <v>920</v>
      </c>
      <c r="B95">
        <v>93</v>
      </c>
      <c r="C95">
        <f>$F$1*몬스터밸런스[[#This Row],[Lv]]+15</f>
        <v>4615</v>
      </c>
      <c r="E95" t="s">
        <v>479</v>
      </c>
      <c r="F95">
        <f>IF(E95="공격형",INDEX(몬스터계수[[#Data],[생명계수]],MATCH(E95,몬스터계수[[#Data],[타입]],0),1)*C95,
IF(E95="방어형",INDEX(몬스터계수[[#Data],[생명계수]],MATCH(E95,몬스터계수[[#Data],[타입]],0),1)*C95,
IF(E95="회피형",INDEX(몬스터계수[[#Data],[생명계수]],MATCH(E95,몬스터계수[[#Data],[타입]],0),1)*C95,
IF(E95="체력형",INDEX(몬스터계수[[#Data],[생명계수]],MATCH(E95,몬스터계수[[#Data],[타입]],0),1)*C95,0))))*IF(몬스터밸런스[[#This Row],[보스]]=TRUE,2,1)</f>
        <v>2307.5</v>
      </c>
      <c r="G95">
        <f>IF(E95="공격형",INDEX(몬스터계수[[#Data],[힘계수]],MATCH(E95, 몬스터계수[[#Data],[타입]],0),1)*C95,
IF(E95="방어형",INDEX(몬스터계수[[#Data],[힘계수]],MATCH(E95, 몬스터계수[[#Data],[타입]],0),1)*C95,
IF(E95="회피형",INDEX(몬스터계수[[#Data],[힘계수]],MATCH(E95, 몬스터계수[[#Data],[타입]],0),1)*C95,
IF(E95="체력형",INDEX(몬스터계수[[#Data],[힘계수]],MATCH(E95, 몬스터계수[[#Data],[타입]],0),1)*C95,0))))</f>
        <v>1153.75</v>
      </c>
      <c r="H95">
        <f>IF(E95="공격형",INDEX(몬스터계수[[#Data],[근력게수]],MATCH(E95,몬스터계수[[#Data],[타입]],0),1)*C95,
IF(E95="방어형",INDEX(몬스터계수[[#Data],[근력게수]],MATCH(E95,몬스터계수[[#Data],[타입]],0),1)*C95,
IF(E95="회피형",INDEX(몬스터계수[[#Data],[근력게수]],MATCH(E95,몬스터계수[[#Data],[타입]],0),1)*C95,
IF(E95="체력형",INDEX(몬스터계수[[#Data],[근력게수]],MATCH(E95,몬스터계수[[#Data],[타입]],0),1)*C95,0))))</f>
        <v>230.75</v>
      </c>
      <c r="I95">
        <f>IF(E95="공격형",INDEX(몬스터계수[[#Data],[숙련도계수]],MATCH(E95,몬스터계수[[#Data],[타입]],0),1)*C95,
IF(E95="방어형",INDEX(몬스터계수[[#Data],[숙련도계수]],MATCH(E95,몬스터계수[[#Data],[타입]],0),1)*C95,
IF(E95="회피형",INDEX(몬스터계수[[#Data],[숙련도계수]],MATCH(E95,몬스터계수[[#Data],[타입]],0),1)*C95,
IF(E95="체력형",INDEX(몬스터계수[[#Data],[숙련도계수]],MATCH(E95,몬스터계수[[#Data],[타입]],0),1)*C95,0))))</f>
        <v>692.25</v>
      </c>
      <c r="J95">
        <f>IF(E95="공격형",INDEX(몬스터계수[[#Data],[행운계수]],MATCH(E95, 몬스터계수[[#Data],[타입]],0),1)*C95,
IF(E95="방어형",INDEX(몬스터계수[[#Data],[행운계수]],MATCH(E95, 몬스터계수[[#Data],[타입]],0),1)*C95,
IF(E95="회피형",INDEX(몬스터계수[[#Data],[행운계수]],MATCH(E95, 몬스터계수[[#Data],[타입]],0),1)*C95,
IF(E95="체력형",INDEX(몬스터계수[[#Data],[행운계수]],MATCH(E95, 몬스터계수[[#Data],[타입]],0),1)*C95,0))))</f>
        <v>230.75</v>
      </c>
      <c r="K95" s="34">
        <f>ROUND(
(($F95)*참고!$D$5)
+(($G95)*참고!$D$6)
+(($H95)*참고!$D$7)
+(($I95)*참고!$D$8)
+(($J95))*참고!$D$9,0)</f>
        <v>35882</v>
      </c>
      <c r="L95" s="34">
        <f>ROUND(
(($F95)*참고!$E$5)
+(($G95)*참고!$E$6)
+(($H95)*참고!$E$7)
+(($I95)*참고!$E$8)
+(($J95))*참고!$E$9,0)</f>
        <v>20537</v>
      </c>
      <c r="M95" s="34">
        <f>ROUND(
(($F95)*참고!$F$5)
+(($G95)*참고!$F$6)
+(($H95)*참고!$F$7)
+(($I95)*참고!$F$8)
+(($J95))*참고!$F$9,0)</f>
        <v>5769</v>
      </c>
      <c r="N95" s="34">
        <f>ROUND(
(($F95)*참고!$G$5)
+(($G95)*참고!$G$6)
+(($H95)*참고!$G$7)
+(($I95)*참고!$G$8)
+(($J95))*참고!$G$9,0)</f>
        <v>162</v>
      </c>
      <c r="O95" s="34">
        <f>ROUND(
(($F95)*참고!$H$5)
+(($G95)*참고!$H$6)
+(($H95)*참고!$H$7)
+(($I95)*참고!$H$8)
+(($J95))*참고!$H$9,0)</f>
        <v>3807</v>
      </c>
      <c r="P95" s="34">
        <f>ROUND(
(($F95)*참고!$I$5)
+(($G95)*참고!$I$6)
+(($H95)*참고!$I$7)
+(($I95)*참고!$I$8)
+(($J95))*참고!$I$9,0)</f>
        <v>6692</v>
      </c>
      <c r="Q95" s="34">
        <f>ROUND(
(($F95)*참고!$J$5)
+(($G95)*참고!$J$6)
+(($H95)*참고!$J$7)
+(($I95)*참고!$J$8)
+(($J95))*참고!$J$9,0)</f>
        <v>4615</v>
      </c>
      <c r="R95" s="34">
        <f>IF(E95="공격형",(INDEX(몬스터계수[[#Data],[속도]],MATCH(E95, 몬스터계수[[#Data],[타입]],0),1)*속도핸들러_곱계수)*(INT(몬스터밸런스[[#This Row],[Lv]]/속도핸들러_합계수+1)),
IF(E95="방어형",(INDEX(몬스터계수[[#Data],[속도]],MATCH(E95, 몬스터계수[[#Data],[타입]],0),1)*속도핸들러_곱계수)*(INT(몬스터밸런스[[#This Row],[Lv]]/속도핸들러_합계수+1)),
IF(E95="회피형",(INDEX(몬스터계수[[#Data],[속도]],MATCH(E95, 몬스터계수[[#Data],[타입]],0),1)*속도핸들러_곱계수)*(INT(몬스터밸런스[[#This Row],[Lv]]/속도핸들러_합계수+1)),
IF(E95="기본형",(INDEX(몬스터계수[[#Data],[속도]],MATCH(E95, 몬스터계수[[#Data],[타입]],0),1)*속도핸들러_곱계수)*(INT(몬스터밸런스[[#This Row],[Lv]]/속도핸들러_합계수+1)),0))))</f>
        <v>0</v>
      </c>
      <c r="S95">
        <f t="shared" si="4"/>
        <v>1231955.5</v>
      </c>
      <c r="U95">
        <v>4</v>
      </c>
      <c r="V95">
        <v>93</v>
      </c>
      <c r="W95">
        <f>$Z$1*몬스터밸런스9[[#This Row],[단계]]</f>
        <v>20</v>
      </c>
      <c r="X95" t="s">
        <v>51</v>
      </c>
      <c r="AE95" s="34">
        <f>몬스터밸런스[[#This Row],[Hp]]*0.3</f>
        <v>10764.6</v>
      </c>
      <c r="AF95" s="34"/>
      <c r="AG95" s="34"/>
      <c r="AH95" s="34"/>
      <c r="AI95" s="34"/>
      <c r="AJ95" s="34"/>
      <c r="AK95" s="34">
        <f>몬스터밸런스[[#This Row],[DodgeRate]]*0.5</f>
        <v>2307.5</v>
      </c>
      <c r="AL95">
        <f t="shared" si="5"/>
        <v>234530.5</v>
      </c>
    </row>
    <row r="96" spans="1:38">
      <c r="A96">
        <v>930</v>
      </c>
      <c r="B96">
        <v>94</v>
      </c>
      <c r="C96">
        <f>$F$1*몬스터밸런스[[#This Row],[Lv]]+15</f>
        <v>4665</v>
      </c>
      <c r="E96" t="s">
        <v>479</v>
      </c>
      <c r="F96">
        <f>IF(E96="공격형",INDEX(몬스터계수[[#Data],[생명계수]],MATCH(E96,몬스터계수[[#Data],[타입]],0),1)*C96,
IF(E96="방어형",INDEX(몬스터계수[[#Data],[생명계수]],MATCH(E96,몬스터계수[[#Data],[타입]],0),1)*C96,
IF(E96="회피형",INDEX(몬스터계수[[#Data],[생명계수]],MATCH(E96,몬스터계수[[#Data],[타입]],0),1)*C96,
IF(E96="체력형",INDEX(몬스터계수[[#Data],[생명계수]],MATCH(E96,몬스터계수[[#Data],[타입]],0),1)*C96,0))))*IF(몬스터밸런스[[#This Row],[보스]]=TRUE,2,1)</f>
        <v>2332.5</v>
      </c>
      <c r="G96">
        <f>IF(E96="공격형",INDEX(몬스터계수[[#Data],[힘계수]],MATCH(E96, 몬스터계수[[#Data],[타입]],0),1)*C96,
IF(E96="방어형",INDEX(몬스터계수[[#Data],[힘계수]],MATCH(E96, 몬스터계수[[#Data],[타입]],0),1)*C96,
IF(E96="회피형",INDEX(몬스터계수[[#Data],[힘계수]],MATCH(E96, 몬스터계수[[#Data],[타입]],0),1)*C96,
IF(E96="체력형",INDEX(몬스터계수[[#Data],[힘계수]],MATCH(E96, 몬스터계수[[#Data],[타입]],0),1)*C96,0))))</f>
        <v>1166.25</v>
      </c>
      <c r="H96">
        <f>IF(E96="공격형",INDEX(몬스터계수[[#Data],[근력게수]],MATCH(E96,몬스터계수[[#Data],[타입]],0),1)*C96,
IF(E96="방어형",INDEX(몬스터계수[[#Data],[근력게수]],MATCH(E96,몬스터계수[[#Data],[타입]],0),1)*C96,
IF(E96="회피형",INDEX(몬스터계수[[#Data],[근력게수]],MATCH(E96,몬스터계수[[#Data],[타입]],0),1)*C96,
IF(E96="체력형",INDEX(몬스터계수[[#Data],[근력게수]],MATCH(E96,몬스터계수[[#Data],[타입]],0),1)*C96,0))))</f>
        <v>233.25</v>
      </c>
      <c r="I96">
        <f>IF(E96="공격형",INDEX(몬스터계수[[#Data],[숙련도계수]],MATCH(E96,몬스터계수[[#Data],[타입]],0),1)*C96,
IF(E96="방어형",INDEX(몬스터계수[[#Data],[숙련도계수]],MATCH(E96,몬스터계수[[#Data],[타입]],0),1)*C96,
IF(E96="회피형",INDEX(몬스터계수[[#Data],[숙련도계수]],MATCH(E96,몬스터계수[[#Data],[타입]],0),1)*C96,
IF(E96="체력형",INDEX(몬스터계수[[#Data],[숙련도계수]],MATCH(E96,몬스터계수[[#Data],[타입]],0),1)*C96,0))))</f>
        <v>699.75</v>
      </c>
      <c r="J96">
        <f>IF(E96="공격형",INDEX(몬스터계수[[#Data],[행운계수]],MATCH(E96, 몬스터계수[[#Data],[타입]],0),1)*C96,
IF(E96="방어형",INDEX(몬스터계수[[#Data],[행운계수]],MATCH(E96, 몬스터계수[[#Data],[타입]],0),1)*C96,
IF(E96="회피형",INDEX(몬스터계수[[#Data],[행운계수]],MATCH(E96, 몬스터계수[[#Data],[타입]],0),1)*C96,
IF(E96="체력형",INDEX(몬스터계수[[#Data],[행운계수]],MATCH(E96, 몬스터계수[[#Data],[타입]],0),1)*C96,0))))</f>
        <v>233.25</v>
      </c>
      <c r="K96" s="34">
        <f>ROUND(
(($F96)*참고!$D$5)
+(($G96)*참고!$D$6)
+(($H96)*참고!$D$7)
+(($I96)*참고!$D$8)
+(($J96))*참고!$D$9,0)</f>
        <v>36270</v>
      </c>
      <c r="L96" s="34">
        <f>ROUND(
(($F96)*참고!$E$5)
+(($G96)*참고!$E$6)
+(($H96)*참고!$E$7)
+(($I96)*참고!$E$8)
+(($J96))*참고!$E$9,0)</f>
        <v>20759</v>
      </c>
      <c r="M96" s="34">
        <f>ROUND(
(($F96)*참고!$F$5)
+(($G96)*참고!$F$6)
+(($H96)*참고!$F$7)
+(($I96)*참고!$F$8)
+(($J96))*참고!$F$9,0)</f>
        <v>5831</v>
      </c>
      <c r="N96" s="34">
        <f>ROUND(
(($F96)*참고!$G$5)
+(($G96)*참고!$G$6)
+(($H96)*참고!$G$7)
+(($I96)*참고!$G$8)
+(($J96))*참고!$G$9,0)</f>
        <v>163</v>
      </c>
      <c r="O96" s="34">
        <f>ROUND(
(($F96)*참고!$H$5)
+(($G96)*참고!$H$6)
+(($H96)*참고!$H$7)
+(($I96)*참고!$H$8)
+(($J96))*참고!$H$9,0)</f>
        <v>3849</v>
      </c>
      <c r="P96" s="34">
        <f>ROUND(
(($F96)*참고!$I$5)
+(($G96)*참고!$I$6)
+(($H96)*참고!$I$7)
+(($I96)*참고!$I$8)
+(($J96))*참고!$I$9,0)</f>
        <v>6764</v>
      </c>
      <c r="Q96" s="34">
        <f>ROUND(
(($F96)*참고!$J$5)
+(($G96)*참고!$J$6)
+(($H96)*참고!$J$7)
+(($I96)*참고!$J$8)
+(($J96))*참고!$J$9,0)</f>
        <v>4665</v>
      </c>
      <c r="R96" s="34">
        <f>IF(E96="공격형",(INDEX(몬스터계수[[#Data],[속도]],MATCH(E96, 몬스터계수[[#Data],[타입]],0),1)*속도핸들러_곱계수)*(INT(몬스터밸런스[[#This Row],[Lv]]/속도핸들러_합계수+1)),
IF(E96="방어형",(INDEX(몬스터계수[[#Data],[속도]],MATCH(E96, 몬스터계수[[#Data],[타입]],0),1)*속도핸들러_곱계수)*(INT(몬스터밸런스[[#This Row],[Lv]]/속도핸들러_합계수+1)),
IF(E96="회피형",(INDEX(몬스터계수[[#Data],[속도]],MATCH(E96, 몬스터계수[[#Data],[타입]],0),1)*속도핸들러_곱계수)*(INT(몬스터밸런스[[#This Row],[Lv]]/속도핸들러_합계수+1)),
IF(E96="기본형",(INDEX(몬스터계수[[#Data],[속도]],MATCH(E96, 몬스터계수[[#Data],[타입]],0),1)*속도핸들러_곱계수)*(INT(몬스터밸런스[[#This Row],[Lv]]/속도핸들러_합계수+1)),0))))</f>
        <v>0</v>
      </c>
      <c r="S96">
        <f t="shared" si="4"/>
        <v>1245271</v>
      </c>
      <c r="U96">
        <v>4</v>
      </c>
      <c r="V96">
        <v>94</v>
      </c>
      <c r="W96">
        <f>$Z$1*몬스터밸런스9[[#This Row],[단계]]</f>
        <v>20</v>
      </c>
      <c r="X96" t="s">
        <v>51</v>
      </c>
      <c r="AE96" s="34">
        <f>몬스터밸런스[[#This Row],[Hp]]*0.3</f>
        <v>10881</v>
      </c>
      <c r="AF96" s="34"/>
      <c r="AG96" s="34"/>
      <c r="AH96" s="34"/>
      <c r="AI96" s="34"/>
      <c r="AJ96" s="34"/>
      <c r="AK96" s="34">
        <f>몬스터밸런스[[#This Row],[DodgeRate]]*0.5</f>
        <v>2332.5</v>
      </c>
      <c r="AL96">
        <f t="shared" si="5"/>
        <v>237067.5</v>
      </c>
    </row>
    <row r="97" spans="1:38">
      <c r="A97">
        <v>940</v>
      </c>
      <c r="B97">
        <v>95</v>
      </c>
      <c r="C97">
        <f>$F$1*몬스터밸런스[[#This Row],[Lv]]+15</f>
        <v>4715</v>
      </c>
      <c r="E97" t="s">
        <v>479</v>
      </c>
      <c r="F97">
        <f>IF(E97="공격형",INDEX(몬스터계수[[#Data],[생명계수]],MATCH(E97,몬스터계수[[#Data],[타입]],0),1)*C97,
IF(E97="방어형",INDEX(몬스터계수[[#Data],[생명계수]],MATCH(E97,몬스터계수[[#Data],[타입]],0),1)*C97,
IF(E97="회피형",INDEX(몬스터계수[[#Data],[생명계수]],MATCH(E97,몬스터계수[[#Data],[타입]],0),1)*C97,
IF(E97="체력형",INDEX(몬스터계수[[#Data],[생명계수]],MATCH(E97,몬스터계수[[#Data],[타입]],0),1)*C97,0))))*IF(몬스터밸런스[[#This Row],[보스]]=TRUE,2,1)</f>
        <v>2357.5</v>
      </c>
      <c r="G97">
        <f>IF(E97="공격형",INDEX(몬스터계수[[#Data],[힘계수]],MATCH(E97, 몬스터계수[[#Data],[타입]],0),1)*C97,
IF(E97="방어형",INDEX(몬스터계수[[#Data],[힘계수]],MATCH(E97, 몬스터계수[[#Data],[타입]],0),1)*C97,
IF(E97="회피형",INDEX(몬스터계수[[#Data],[힘계수]],MATCH(E97, 몬스터계수[[#Data],[타입]],0),1)*C97,
IF(E97="체력형",INDEX(몬스터계수[[#Data],[힘계수]],MATCH(E97, 몬스터계수[[#Data],[타입]],0),1)*C97,0))))</f>
        <v>1178.75</v>
      </c>
      <c r="H97">
        <f>IF(E97="공격형",INDEX(몬스터계수[[#Data],[근력게수]],MATCH(E97,몬스터계수[[#Data],[타입]],0),1)*C97,
IF(E97="방어형",INDEX(몬스터계수[[#Data],[근력게수]],MATCH(E97,몬스터계수[[#Data],[타입]],0),1)*C97,
IF(E97="회피형",INDEX(몬스터계수[[#Data],[근력게수]],MATCH(E97,몬스터계수[[#Data],[타입]],0),1)*C97,
IF(E97="체력형",INDEX(몬스터계수[[#Data],[근력게수]],MATCH(E97,몬스터계수[[#Data],[타입]],0),1)*C97,0))))</f>
        <v>235.75</v>
      </c>
      <c r="I97">
        <f>IF(E97="공격형",INDEX(몬스터계수[[#Data],[숙련도계수]],MATCH(E97,몬스터계수[[#Data],[타입]],0),1)*C97,
IF(E97="방어형",INDEX(몬스터계수[[#Data],[숙련도계수]],MATCH(E97,몬스터계수[[#Data],[타입]],0),1)*C97,
IF(E97="회피형",INDEX(몬스터계수[[#Data],[숙련도계수]],MATCH(E97,몬스터계수[[#Data],[타입]],0),1)*C97,
IF(E97="체력형",INDEX(몬스터계수[[#Data],[숙련도계수]],MATCH(E97,몬스터계수[[#Data],[타입]],0),1)*C97,0))))</f>
        <v>707.25</v>
      </c>
      <c r="J97">
        <f>IF(E97="공격형",INDEX(몬스터계수[[#Data],[행운계수]],MATCH(E97, 몬스터계수[[#Data],[타입]],0),1)*C97,
IF(E97="방어형",INDEX(몬스터계수[[#Data],[행운계수]],MATCH(E97, 몬스터계수[[#Data],[타입]],0),1)*C97,
IF(E97="회피형",INDEX(몬스터계수[[#Data],[행운계수]],MATCH(E97, 몬스터계수[[#Data],[타입]],0),1)*C97,
IF(E97="체력형",INDEX(몬스터계수[[#Data],[행운계수]],MATCH(E97, 몬스터계수[[#Data],[타입]],0),1)*C97,0))))</f>
        <v>235.75</v>
      </c>
      <c r="K97" s="34">
        <f>ROUND(
(($F97)*참고!$D$5)
+(($G97)*참고!$D$6)
+(($H97)*참고!$D$7)
+(($I97)*참고!$D$8)
+(($J97))*참고!$D$9,0)</f>
        <v>36659</v>
      </c>
      <c r="L97" s="34">
        <f>ROUND(
(($F97)*참고!$E$5)
+(($G97)*참고!$E$6)
+(($H97)*참고!$E$7)
+(($I97)*참고!$E$8)
+(($J97))*참고!$E$9,0)</f>
        <v>20982</v>
      </c>
      <c r="M97" s="34">
        <f>ROUND(
(($F97)*참고!$F$5)
+(($G97)*참고!$F$6)
+(($H97)*참고!$F$7)
+(($I97)*참고!$F$8)
+(($J97))*참고!$F$9,0)</f>
        <v>5894</v>
      </c>
      <c r="N97" s="34">
        <f>ROUND(
(($F97)*참고!$G$5)
+(($G97)*참고!$G$6)
+(($H97)*참고!$G$7)
+(($I97)*참고!$G$8)
+(($J97))*참고!$G$9,0)</f>
        <v>165</v>
      </c>
      <c r="O97" s="34">
        <f>ROUND(
(($F97)*참고!$H$5)
+(($G97)*참고!$H$6)
+(($H97)*참고!$H$7)
+(($I97)*참고!$H$8)
+(($J97))*참고!$H$9,0)</f>
        <v>3890</v>
      </c>
      <c r="P97" s="34">
        <f>ROUND(
(($F97)*참고!$I$5)
+(($G97)*참고!$I$6)
+(($H97)*참고!$I$7)
+(($I97)*참고!$I$8)
+(($J97))*참고!$I$9,0)</f>
        <v>6837</v>
      </c>
      <c r="Q97" s="34">
        <f>ROUND(
(($F97)*참고!$J$5)
+(($G97)*참고!$J$6)
+(($H97)*참고!$J$7)
+(($I97)*참고!$J$8)
+(($J97))*참고!$J$9,0)</f>
        <v>4715</v>
      </c>
      <c r="R97" s="34">
        <f>IF(E97="공격형",(INDEX(몬스터계수[[#Data],[속도]],MATCH(E97, 몬스터계수[[#Data],[타입]],0),1)*속도핸들러_곱계수)*(INT(몬스터밸런스[[#This Row],[Lv]]/속도핸들러_합계수+1)),
IF(E97="방어형",(INDEX(몬스터계수[[#Data],[속도]],MATCH(E97, 몬스터계수[[#Data],[타입]],0),1)*속도핸들러_곱계수)*(INT(몬스터밸런스[[#This Row],[Lv]]/속도핸들러_합계수+1)),
IF(E97="회피형",(INDEX(몬스터계수[[#Data],[속도]],MATCH(E97, 몬스터계수[[#Data],[타입]],0),1)*속도핸들러_곱계수)*(INT(몬스터밸런스[[#This Row],[Lv]]/속도핸들러_합계수+1)),
IF(E97="기본형",(INDEX(몬스터계수[[#Data],[속도]],MATCH(E97, 몬스터계수[[#Data],[타입]],0),1)*속도핸들러_곱계수)*(INT(몬스터밸런스[[#This Row],[Lv]]/속도핸들러_합계수+1)),0))))</f>
        <v>0</v>
      </c>
      <c r="S97">
        <f t="shared" si="4"/>
        <v>1258643</v>
      </c>
      <c r="U97">
        <v>4</v>
      </c>
      <c r="V97">
        <v>95</v>
      </c>
      <c r="W97">
        <f>$Z$1*몬스터밸런스9[[#This Row],[단계]]</f>
        <v>20</v>
      </c>
      <c r="X97" t="s">
        <v>51</v>
      </c>
      <c r="AE97" s="34">
        <f>몬스터밸런스[[#This Row],[Hp]]*0.3</f>
        <v>10997.699999999999</v>
      </c>
      <c r="AF97" s="34"/>
      <c r="AG97" s="34"/>
      <c r="AH97" s="34"/>
      <c r="AI97" s="34"/>
      <c r="AJ97" s="34"/>
      <c r="AK97" s="34">
        <f>몬스터밸런스[[#This Row],[DodgeRate]]*0.5</f>
        <v>2357.5</v>
      </c>
      <c r="AL97">
        <f t="shared" si="5"/>
        <v>239609.74999999997</v>
      </c>
    </row>
    <row r="98" spans="1:38">
      <c r="A98">
        <v>950</v>
      </c>
      <c r="B98">
        <v>96</v>
      </c>
      <c r="C98">
        <f>$F$1*몬스터밸런스[[#This Row],[Lv]]+15</f>
        <v>4765</v>
      </c>
      <c r="E98" t="s">
        <v>479</v>
      </c>
      <c r="F98">
        <f>IF(E98="공격형",INDEX(몬스터계수[[#Data],[생명계수]],MATCH(E98,몬스터계수[[#Data],[타입]],0),1)*C98,
IF(E98="방어형",INDEX(몬스터계수[[#Data],[생명계수]],MATCH(E98,몬스터계수[[#Data],[타입]],0),1)*C98,
IF(E98="회피형",INDEX(몬스터계수[[#Data],[생명계수]],MATCH(E98,몬스터계수[[#Data],[타입]],0),1)*C98,
IF(E98="체력형",INDEX(몬스터계수[[#Data],[생명계수]],MATCH(E98,몬스터계수[[#Data],[타입]],0),1)*C98,0))))*IF(몬스터밸런스[[#This Row],[보스]]=TRUE,2,1)</f>
        <v>2382.5</v>
      </c>
      <c r="G98">
        <f>IF(E98="공격형",INDEX(몬스터계수[[#Data],[힘계수]],MATCH(E98, 몬스터계수[[#Data],[타입]],0),1)*C98,
IF(E98="방어형",INDEX(몬스터계수[[#Data],[힘계수]],MATCH(E98, 몬스터계수[[#Data],[타입]],0),1)*C98,
IF(E98="회피형",INDEX(몬스터계수[[#Data],[힘계수]],MATCH(E98, 몬스터계수[[#Data],[타입]],0),1)*C98,
IF(E98="체력형",INDEX(몬스터계수[[#Data],[힘계수]],MATCH(E98, 몬스터계수[[#Data],[타입]],0),1)*C98,0))))</f>
        <v>1191.25</v>
      </c>
      <c r="H98">
        <f>IF(E98="공격형",INDEX(몬스터계수[[#Data],[근력게수]],MATCH(E98,몬스터계수[[#Data],[타입]],0),1)*C98,
IF(E98="방어형",INDEX(몬스터계수[[#Data],[근력게수]],MATCH(E98,몬스터계수[[#Data],[타입]],0),1)*C98,
IF(E98="회피형",INDEX(몬스터계수[[#Data],[근력게수]],MATCH(E98,몬스터계수[[#Data],[타입]],0),1)*C98,
IF(E98="체력형",INDEX(몬스터계수[[#Data],[근력게수]],MATCH(E98,몬스터계수[[#Data],[타입]],0),1)*C98,0))))</f>
        <v>238.25</v>
      </c>
      <c r="I98">
        <f>IF(E98="공격형",INDEX(몬스터계수[[#Data],[숙련도계수]],MATCH(E98,몬스터계수[[#Data],[타입]],0),1)*C98,
IF(E98="방어형",INDEX(몬스터계수[[#Data],[숙련도계수]],MATCH(E98,몬스터계수[[#Data],[타입]],0),1)*C98,
IF(E98="회피형",INDEX(몬스터계수[[#Data],[숙련도계수]],MATCH(E98,몬스터계수[[#Data],[타입]],0),1)*C98,
IF(E98="체력형",INDEX(몬스터계수[[#Data],[숙련도계수]],MATCH(E98,몬스터계수[[#Data],[타입]],0),1)*C98,0))))</f>
        <v>714.75</v>
      </c>
      <c r="J98">
        <f>IF(E98="공격형",INDEX(몬스터계수[[#Data],[행운계수]],MATCH(E98, 몬스터계수[[#Data],[타입]],0),1)*C98,
IF(E98="방어형",INDEX(몬스터계수[[#Data],[행운계수]],MATCH(E98, 몬스터계수[[#Data],[타입]],0),1)*C98,
IF(E98="회피형",INDEX(몬스터계수[[#Data],[행운계수]],MATCH(E98, 몬스터계수[[#Data],[타입]],0),1)*C98,
IF(E98="체력형",INDEX(몬스터계수[[#Data],[행운계수]],MATCH(E98, 몬스터계수[[#Data],[타입]],0),1)*C98,0))))</f>
        <v>238.25</v>
      </c>
      <c r="K98" s="34">
        <f>ROUND(
(($F98)*참고!$D$5)
+(($G98)*참고!$D$6)
+(($H98)*참고!$D$7)
+(($I98)*참고!$D$8)
+(($J98))*참고!$D$9,0)</f>
        <v>37048</v>
      </c>
      <c r="L98" s="34">
        <f>ROUND(
(($F98)*참고!$E$5)
+(($G98)*참고!$E$6)
+(($H98)*참고!$E$7)
+(($I98)*참고!$E$8)
+(($J98))*참고!$E$9,0)</f>
        <v>21204</v>
      </c>
      <c r="M98" s="34">
        <f>ROUND(
(($F98)*참고!$F$5)
+(($G98)*참고!$F$6)
+(($H98)*참고!$F$7)
+(($I98)*참고!$F$8)
+(($J98))*참고!$F$9,0)</f>
        <v>5956</v>
      </c>
      <c r="N98" s="34">
        <f>ROUND(
(($F98)*참고!$G$5)
+(($G98)*참고!$G$6)
+(($H98)*참고!$G$7)
+(($I98)*참고!$G$8)
+(($J98))*참고!$G$9,0)</f>
        <v>167</v>
      </c>
      <c r="O98" s="34">
        <f>ROUND(
(($F98)*참고!$H$5)
+(($G98)*참고!$H$6)
+(($H98)*참고!$H$7)
+(($I98)*참고!$H$8)
+(($J98))*참고!$H$9,0)</f>
        <v>3931</v>
      </c>
      <c r="P98" s="34">
        <f>ROUND(
(($F98)*참고!$I$5)
+(($G98)*참고!$I$6)
+(($H98)*참고!$I$7)
+(($I98)*참고!$I$8)
+(($J98))*참고!$I$9,0)</f>
        <v>6909</v>
      </c>
      <c r="Q98" s="34">
        <f>ROUND(
(($F98)*참고!$J$5)
+(($G98)*참고!$J$6)
+(($H98)*참고!$J$7)
+(($I98)*참고!$J$8)
+(($J98))*참고!$J$9,0)</f>
        <v>4765</v>
      </c>
      <c r="R98" s="34">
        <f>IF(E98="공격형",(INDEX(몬스터계수[[#Data],[속도]],MATCH(E98, 몬스터계수[[#Data],[타입]],0),1)*속도핸들러_곱계수)*(INT(몬스터밸런스[[#This Row],[Lv]]/속도핸들러_합계수+1)),
IF(E98="방어형",(INDEX(몬스터계수[[#Data],[속도]],MATCH(E98, 몬스터계수[[#Data],[타입]],0),1)*속도핸들러_곱계수)*(INT(몬스터밸런스[[#This Row],[Lv]]/속도핸들러_합계수+1)),
IF(E98="회피형",(INDEX(몬스터계수[[#Data],[속도]],MATCH(E98, 몬스터계수[[#Data],[타입]],0),1)*속도핸들러_곱계수)*(INT(몬스터밸런스[[#This Row],[Lv]]/속도핸들러_합계수+1)),
IF(E98="기본형",(INDEX(몬스터계수[[#Data],[속도]],MATCH(E98, 몬스터계수[[#Data],[타입]],0),1)*속도핸들러_곱계수)*(INT(몬스터밸런스[[#This Row],[Lv]]/속도핸들러_합계수+1)),0))))</f>
        <v>0</v>
      </c>
      <c r="S98">
        <f t="shared" si="4"/>
        <v>1271972</v>
      </c>
      <c r="U98">
        <v>5</v>
      </c>
      <c r="V98">
        <v>96</v>
      </c>
      <c r="W98">
        <f>$Z$1*몬스터밸런스9[[#This Row],[단계]]</f>
        <v>25</v>
      </c>
      <c r="X98" t="s">
        <v>51</v>
      </c>
      <c r="AE98" s="34">
        <f>몬스터밸런스[[#This Row],[Hp]]*0.3</f>
        <v>11114.4</v>
      </c>
      <c r="AF98" s="34"/>
      <c r="AG98" s="34"/>
      <c r="AH98" s="34"/>
      <c r="AI98" s="34"/>
      <c r="AJ98" s="34"/>
      <c r="AK98" s="34">
        <f>몬스터밸런스[[#This Row],[DodgeRate]]*0.5</f>
        <v>2382.5</v>
      </c>
      <c r="AL98">
        <f t="shared" si="5"/>
        <v>242152</v>
      </c>
    </row>
    <row r="99" spans="1:38">
      <c r="A99">
        <v>960</v>
      </c>
      <c r="B99">
        <v>97</v>
      </c>
      <c r="C99">
        <f>$F$1*몬스터밸런스[[#This Row],[Lv]]+15</f>
        <v>4815</v>
      </c>
      <c r="E99" t="s">
        <v>479</v>
      </c>
      <c r="F99">
        <f>IF(E99="공격형",INDEX(몬스터계수[[#Data],[생명계수]],MATCH(E99,몬스터계수[[#Data],[타입]],0),1)*C99,
IF(E99="방어형",INDEX(몬스터계수[[#Data],[생명계수]],MATCH(E99,몬스터계수[[#Data],[타입]],0),1)*C99,
IF(E99="회피형",INDEX(몬스터계수[[#Data],[생명계수]],MATCH(E99,몬스터계수[[#Data],[타입]],0),1)*C99,
IF(E99="체력형",INDEX(몬스터계수[[#Data],[생명계수]],MATCH(E99,몬스터계수[[#Data],[타입]],0),1)*C99,0))))*IF(몬스터밸런스[[#This Row],[보스]]=TRUE,2,1)</f>
        <v>2407.5</v>
      </c>
      <c r="G99">
        <f>IF(E99="공격형",INDEX(몬스터계수[[#Data],[힘계수]],MATCH(E99, 몬스터계수[[#Data],[타입]],0),1)*C99,
IF(E99="방어형",INDEX(몬스터계수[[#Data],[힘계수]],MATCH(E99, 몬스터계수[[#Data],[타입]],0),1)*C99,
IF(E99="회피형",INDEX(몬스터계수[[#Data],[힘계수]],MATCH(E99, 몬스터계수[[#Data],[타입]],0),1)*C99,
IF(E99="체력형",INDEX(몬스터계수[[#Data],[힘계수]],MATCH(E99, 몬스터계수[[#Data],[타입]],0),1)*C99,0))))</f>
        <v>1203.75</v>
      </c>
      <c r="H99">
        <f>IF(E99="공격형",INDEX(몬스터계수[[#Data],[근력게수]],MATCH(E99,몬스터계수[[#Data],[타입]],0),1)*C99,
IF(E99="방어형",INDEX(몬스터계수[[#Data],[근력게수]],MATCH(E99,몬스터계수[[#Data],[타입]],0),1)*C99,
IF(E99="회피형",INDEX(몬스터계수[[#Data],[근력게수]],MATCH(E99,몬스터계수[[#Data],[타입]],0),1)*C99,
IF(E99="체력형",INDEX(몬스터계수[[#Data],[근력게수]],MATCH(E99,몬스터계수[[#Data],[타입]],0),1)*C99,0))))</f>
        <v>240.75</v>
      </c>
      <c r="I99">
        <f>IF(E99="공격형",INDEX(몬스터계수[[#Data],[숙련도계수]],MATCH(E99,몬스터계수[[#Data],[타입]],0),1)*C99,
IF(E99="방어형",INDEX(몬스터계수[[#Data],[숙련도계수]],MATCH(E99,몬스터계수[[#Data],[타입]],0),1)*C99,
IF(E99="회피형",INDEX(몬스터계수[[#Data],[숙련도계수]],MATCH(E99,몬스터계수[[#Data],[타입]],0),1)*C99,
IF(E99="체력형",INDEX(몬스터계수[[#Data],[숙련도계수]],MATCH(E99,몬스터계수[[#Data],[타입]],0),1)*C99,0))))</f>
        <v>722.25</v>
      </c>
      <c r="J99">
        <f>IF(E99="공격형",INDEX(몬스터계수[[#Data],[행운계수]],MATCH(E99, 몬스터계수[[#Data],[타입]],0),1)*C99,
IF(E99="방어형",INDEX(몬스터계수[[#Data],[행운계수]],MATCH(E99, 몬스터계수[[#Data],[타입]],0),1)*C99,
IF(E99="회피형",INDEX(몬스터계수[[#Data],[행운계수]],MATCH(E99, 몬스터계수[[#Data],[타입]],0),1)*C99,
IF(E99="체력형",INDEX(몬스터계수[[#Data],[행운계수]],MATCH(E99, 몬스터계수[[#Data],[타입]],0),1)*C99,0))))</f>
        <v>240.75</v>
      </c>
      <c r="K99" s="34">
        <f>ROUND(
(($F99)*참고!$D$5)
+(($G99)*참고!$D$6)
+(($H99)*참고!$D$7)
+(($I99)*참고!$D$8)
+(($J99))*참고!$D$9,0)</f>
        <v>37437</v>
      </c>
      <c r="L99" s="34">
        <f>ROUND(
(($F99)*참고!$E$5)
+(($G99)*참고!$E$6)
+(($H99)*참고!$E$7)
+(($I99)*참고!$E$8)
+(($J99))*참고!$E$9,0)</f>
        <v>21427</v>
      </c>
      <c r="M99" s="34">
        <f>ROUND(
(($F99)*참고!$F$5)
+(($G99)*참고!$F$6)
+(($H99)*참고!$F$7)
+(($I99)*참고!$F$8)
+(($J99))*참고!$F$9,0)</f>
        <v>6019</v>
      </c>
      <c r="N99" s="34">
        <f>ROUND(
(($F99)*참고!$G$5)
+(($G99)*참고!$G$6)
+(($H99)*참고!$G$7)
+(($I99)*참고!$G$8)
+(($J99))*참고!$G$9,0)</f>
        <v>169</v>
      </c>
      <c r="O99" s="34">
        <f>ROUND(
(($F99)*참고!$H$5)
+(($G99)*참고!$H$6)
+(($H99)*참고!$H$7)
+(($I99)*참고!$H$8)
+(($J99))*참고!$H$9,0)</f>
        <v>3972</v>
      </c>
      <c r="P99" s="34">
        <f>ROUND(
(($F99)*참고!$I$5)
+(($G99)*참고!$I$6)
+(($H99)*참고!$I$7)
+(($I99)*참고!$I$8)
+(($J99))*참고!$I$9,0)</f>
        <v>6982</v>
      </c>
      <c r="Q99" s="34">
        <f>ROUND(
(($F99)*참고!$J$5)
+(($G99)*참고!$J$6)
+(($H99)*참고!$J$7)
+(($I99)*참고!$J$8)
+(($J99))*참고!$J$9,0)</f>
        <v>4815</v>
      </c>
      <c r="R99" s="34">
        <f>IF(E99="공격형",(INDEX(몬스터계수[[#Data],[속도]],MATCH(E99, 몬스터계수[[#Data],[타입]],0),1)*속도핸들러_곱계수)*(INT(몬스터밸런스[[#This Row],[Lv]]/속도핸들러_합계수+1)),
IF(E99="방어형",(INDEX(몬스터계수[[#Data],[속도]],MATCH(E99, 몬스터계수[[#Data],[타입]],0),1)*속도핸들러_곱계수)*(INT(몬스터밸런스[[#This Row],[Lv]]/속도핸들러_합계수+1)),
IF(E99="회피형",(INDEX(몬스터계수[[#Data],[속도]],MATCH(E99, 몬스터계수[[#Data],[타입]],0),1)*속도핸들러_곱계수)*(INT(몬스터밸런스[[#This Row],[Lv]]/속도핸들러_합계수+1)),
IF(E99="기본형",(INDEX(몬스터계수[[#Data],[속도]],MATCH(E99, 몬스터계수[[#Data],[타입]],0),1)*속도핸들러_곱계수)*(INT(몬스터밸런스[[#This Row],[Lv]]/속도핸들러_합계수+1)),0))))</f>
        <v>0</v>
      </c>
      <c r="S99">
        <f t="shared" si="4"/>
        <v>1285344</v>
      </c>
      <c r="U99">
        <v>5</v>
      </c>
      <c r="V99">
        <v>97</v>
      </c>
      <c r="W99">
        <f>$Z$1*몬스터밸런스9[[#This Row],[단계]]</f>
        <v>25</v>
      </c>
      <c r="X99" t="s">
        <v>51</v>
      </c>
      <c r="AE99" s="34">
        <f>몬스터밸런스[[#This Row],[Hp]]*0.3</f>
        <v>11231.1</v>
      </c>
      <c r="AF99" s="34"/>
      <c r="AG99" s="34"/>
      <c r="AH99" s="34"/>
      <c r="AI99" s="34"/>
      <c r="AJ99" s="34"/>
      <c r="AK99" s="34">
        <f>몬스터밸런스[[#This Row],[DodgeRate]]*0.5</f>
        <v>2407.5</v>
      </c>
      <c r="AL99">
        <f t="shared" si="5"/>
        <v>244694.25</v>
      </c>
    </row>
    <row r="100" spans="1:38">
      <c r="A100">
        <v>970</v>
      </c>
      <c r="B100">
        <v>98</v>
      </c>
      <c r="C100">
        <f>$F$1*몬스터밸런스[[#This Row],[Lv]]+15</f>
        <v>4865</v>
      </c>
      <c r="E100" t="s">
        <v>479</v>
      </c>
      <c r="F100">
        <f>IF(E100="공격형",INDEX(몬스터계수[[#Data],[생명계수]],MATCH(E100,몬스터계수[[#Data],[타입]],0),1)*C100,
IF(E100="방어형",INDEX(몬스터계수[[#Data],[생명계수]],MATCH(E100,몬스터계수[[#Data],[타입]],0),1)*C100,
IF(E100="회피형",INDEX(몬스터계수[[#Data],[생명계수]],MATCH(E100,몬스터계수[[#Data],[타입]],0),1)*C100,
IF(E100="체력형",INDEX(몬스터계수[[#Data],[생명계수]],MATCH(E100,몬스터계수[[#Data],[타입]],0),1)*C100,0))))*IF(몬스터밸런스[[#This Row],[보스]]=TRUE,2,1)</f>
        <v>2432.5</v>
      </c>
      <c r="G100">
        <f>IF(E100="공격형",INDEX(몬스터계수[[#Data],[힘계수]],MATCH(E100, 몬스터계수[[#Data],[타입]],0),1)*C100,
IF(E100="방어형",INDEX(몬스터계수[[#Data],[힘계수]],MATCH(E100, 몬스터계수[[#Data],[타입]],0),1)*C100,
IF(E100="회피형",INDEX(몬스터계수[[#Data],[힘계수]],MATCH(E100, 몬스터계수[[#Data],[타입]],0),1)*C100,
IF(E100="체력형",INDEX(몬스터계수[[#Data],[힘계수]],MATCH(E100, 몬스터계수[[#Data],[타입]],0),1)*C100,0))))</f>
        <v>1216.25</v>
      </c>
      <c r="H100">
        <f>IF(E100="공격형",INDEX(몬스터계수[[#Data],[근력게수]],MATCH(E100,몬스터계수[[#Data],[타입]],0),1)*C100,
IF(E100="방어형",INDEX(몬스터계수[[#Data],[근력게수]],MATCH(E100,몬스터계수[[#Data],[타입]],0),1)*C100,
IF(E100="회피형",INDEX(몬스터계수[[#Data],[근력게수]],MATCH(E100,몬스터계수[[#Data],[타입]],0),1)*C100,
IF(E100="체력형",INDEX(몬스터계수[[#Data],[근력게수]],MATCH(E100,몬스터계수[[#Data],[타입]],0),1)*C100,0))))</f>
        <v>243.25</v>
      </c>
      <c r="I100">
        <f>IF(E100="공격형",INDEX(몬스터계수[[#Data],[숙련도계수]],MATCH(E100,몬스터계수[[#Data],[타입]],0),1)*C100,
IF(E100="방어형",INDEX(몬스터계수[[#Data],[숙련도계수]],MATCH(E100,몬스터계수[[#Data],[타입]],0),1)*C100,
IF(E100="회피형",INDEX(몬스터계수[[#Data],[숙련도계수]],MATCH(E100,몬스터계수[[#Data],[타입]],0),1)*C100,
IF(E100="체력형",INDEX(몬스터계수[[#Data],[숙련도계수]],MATCH(E100,몬스터계수[[#Data],[타입]],0),1)*C100,0))))</f>
        <v>729.75</v>
      </c>
      <c r="J100">
        <f>IF(E100="공격형",INDEX(몬스터계수[[#Data],[행운계수]],MATCH(E100, 몬스터계수[[#Data],[타입]],0),1)*C100,
IF(E100="방어형",INDEX(몬스터계수[[#Data],[행운계수]],MATCH(E100, 몬스터계수[[#Data],[타입]],0),1)*C100,
IF(E100="회피형",INDEX(몬스터계수[[#Data],[행운계수]],MATCH(E100, 몬스터계수[[#Data],[타입]],0),1)*C100,
IF(E100="체력형",INDEX(몬스터계수[[#Data],[행운계수]],MATCH(E100, 몬스터계수[[#Data],[타입]],0),1)*C100,0))))</f>
        <v>243.25</v>
      </c>
      <c r="K100" s="34">
        <f>ROUND(
(($F100)*참고!$D$5)
+(($G100)*참고!$D$6)
+(($H100)*참고!$D$7)
+(($I100)*참고!$D$8)
+(($J100))*참고!$D$9,0)</f>
        <v>37825</v>
      </c>
      <c r="L100" s="34">
        <f>ROUND(
(($F100)*참고!$E$5)
+(($G100)*참고!$E$6)
+(($H100)*참고!$E$7)
+(($I100)*참고!$E$8)
+(($J100))*참고!$E$9,0)</f>
        <v>21649</v>
      </c>
      <c r="M100" s="34">
        <f>ROUND(
(($F100)*참고!$F$5)
+(($G100)*참고!$F$6)
+(($H100)*참고!$F$7)
+(($I100)*참고!$F$8)
+(($J100))*참고!$F$9,0)</f>
        <v>6081</v>
      </c>
      <c r="N100" s="34">
        <f>ROUND(
(($F100)*참고!$G$5)
+(($G100)*참고!$G$6)
+(($H100)*참고!$G$7)
+(($I100)*참고!$G$8)
+(($J100))*참고!$G$9,0)</f>
        <v>170</v>
      </c>
      <c r="O100" s="34">
        <f>ROUND(
(($F100)*참고!$H$5)
+(($G100)*참고!$H$6)
+(($H100)*참고!$H$7)
+(($I100)*참고!$H$8)
+(($J100))*참고!$H$9,0)</f>
        <v>4014</v>
      </c>
      <c r="P100" s="34">
        <f>ROUND(
(($F100)*참고!$I$5)
+(($G100)*참고!$I$6)
+(($H100)*참고!$I$7)
+(($I100)*참고!$I$8)
+(($J100))*참고!$I$9,0)</f>
        <v>7054</v>
      </c>
      <c r="Q100" s="34">
        <f>ROUND(
(($F100)*참고!$J$5)
+(($G100)*참고!$J$6)
+(($H100)*참고!$J$7)
+(($I100)*참고!$J$8)
+(($J100))*참고!$J$9,0)</f>
        <v>4865</v>
      </c>
      <c r="R100" s="34">
        <f>IF(E100="공격형",(INDEX(몬스터계수[[#Data],[속도]],MATCH(E100, 몬스터계수[[#Data],[타입]],0),1)*속도핸들러_곱계수)*(INT(몬스터밸런스[[#This Row],[Lv]]/속도핸들러_합계수+1)),
IF(E100="방어형",(INDEX(몬스터계수[[#Data],[속도]],MATCH(E100, 몬스터계수[[#Data],[타입]],0),1)*속도핸들러_곱계수)*(INT(몬스터밸런스[[#This Row],[Lv]]/속도핸들러_합계수+1)),
IF(E100="회피형",(INDEX(몬스터계수[[#Data],[속도]],MATCH(E100, 몬스터계수[[#Data],[타입]],0),1)*속도핸들러_곱계수)*(INT(몬스터밸런스[[#This Row],[Lv]]/속도핸들러_합계수+1)),
IF(E100="기본형",(INDEX(몬스터계수[[#Data],[속도]],MATCH(E100, 몬스터계수[[#Data],[타입]],0),1)*속도핸들러_곱계수)*(INT(몬스터밸런스[[#This Row],[Lv]]/속도핸들러_합계수+1)),0))))</f>
        <v>0</v>
      </c>
      <c r="S100">
        <f t="shared" si="4"/>
        <v>1298659.5</v>
      </c>
      <c r="U100">
        <v>5</v>
      </c>
      <c r="V100">
        <v>98</v>
      </c>
      <c r="W100">
        <f>$Z$1*몬스터밸런스9[[#This Row],[단계]]</f>
        <v>25</v>
      </c>
      <c r="X100" t="s">
        <v>51</v>
      </c>
      <c r="AE100" s="34">
        <f>몬스터밸런스[[#This Row],[Hp]]*0.3</f>
        <v>11347.5</v>
      </c>
      <c r="AF100" s="34"/>
      <c r="AG100" s="34"/>
      <c r="AH100" s="34"/>
      <c r="AI100" s="34"/>
      <c r="AJ100" s="34"/>
      <c r="AK100" s="34">
        <f>몬스터밸런스[[#This Row],[DodgeRate]]*0.5</f>
        <v>2432.5</v>
      </c>
      <c r="AL100">
        <f t="shared" si="5"/>
        <v>247231.25</v>
      </c>
    </row>
    <row r="101" spans="1:38">
      <c r="A101">
        <v>980</v>
      </c>
      <c r="B101">
        <v>99</v>
      </c>
      <c r="C101">
        <f>$F$1*몬스터밸런스[[#This Row],[Lv]]+15</f>
        <v>4915</v>
      </c>
      <c r="E101" t="s">
        <v>479</v>
      </c>
      <c r="F101">
        <f>IF(E101="공격형",INDEX(몬스터계수[[#Data],[생명계수]],MATCH(E101,몬스터계수[[#Data],[타입]],0),1)*C101,
IF(E101="방어형",INDEX(몬스터계수[[#Data],[생명계수]],MATCH(E101,몬스터계수[[#Data],[타입]],0),1)*C101,
IF(E101="회피형",INDEX(몬스터계수[[#Data],[생명계수]],MATCH(E101,몬스터계수[[#Data],[타입]],0),1)*C101,
IF(E101="체력형",INDEX(몬스터계수[[#Data],[생명계수]],MATCH(E101,몬스터계수[[#Data],[타입]],0),1)*C101,0))))*IF(몬스터밸런스[[#This Row],[보스]]=TRUE,2,1)</f>
        <v>2457.5</v>
      </c>
      <c r="G101">
        <f>IF(E101="공격형",INDEX(몬스터계수[[#Data],[힘계수]],MATCH(E101, 몬스터계수[[#Data],[타입]],0),1)*C101,
IF(E101="방어형",INDEX(몬스터계수[[#Data],[힘계수]],MATCH(E101, 몬스터계수[[#Data],[타입]],0),1)*C101,
IF(E101="회피형",INDEX(몬스터계수[[#Data],[힘계수]],MATCH(E101, 몬스터계수[[#Data],[타입]],0),1)*C101,
IF(E101="체력형",INDEX(몬스터계수[[#Data],[힘계수]],MATCH(E101, 몬스터계수[[#Data],[타입]],0),1)*C101,0))))</f>
        <v>1228.75</v>
      </c>
      <c r="H101">
        <f>IF(E101="공격형",INDEX(몬스터계수[[#Data],[근력게수]],MATCH(E101,몬스터계수[[#Data],[타입]],0),1)*C101,
IF(E101="방어형",INDEX(몬스터계수[[#Data],[근력게수]],MATCH(E101,몬스터계수[[#Data],[타입]],0),1)*C101,
IF(E101="회피형",INDEX(몬스터계수[[#Data],[근력게수]],MATCH(E101,몬스터계수[[#Data],[타입]],0),1)*C101,
IF(E101="체력형",INDEX(몬스터계수[[#Data],[근력게수]],MATCH(E101,몬스터계수[[#Data],[타입]],0),1)*C101,0))))</f>
        <v>245.75</v>
      </c>
      <c r="I101">
        <f>IF(E101="공격형",INDEX(몬스터계수[[#Data],[숙련도계수]],MATCH(E101,몬스터계수[[#Data],[타입]],0),1)*C101,
IF(E101="방어형",INDEX(몬스터계수[[#Data],[숙련도계수]],MATCH(E101,몬스터계수[[#Data],[타입]],0),1)*C101,
IF(E101="회피형",INDEX(몬스터계수[[#Data],[숙련도계수]],MATCH(E101,몬스터계수[[#Data],[타입]],0),1)*C101,
IF(E101="체력형",INDEX(몬스터계수[[#Data],[숙련도계수]],MATCH(E101,몬스터계수[[#Data],[타입]],0),1)*C101,0))))</f>
        <v>737.25</v>
      </c>
      <c r="J101">
        <f>IF(E101="공격형",INDEX(몬스터계수[[#Data],[행운계수]],MATCH(E101, 몬스터계수[[#Data],[타입]],0),1)*C101,
IF(E101="방어형",INDEX(몬스터계수[[#Data],[행운계수]],MATCH(E101, 몬스터계수[[#Data],[타입]],0),1)*C101,
IF(E101="회피형",INDEX(몬스터계수[[#Data],[행운계수]],MATCH(E101, 몬스터계수[[#Data],[타입]],0),1)*C101,
IF(E101="체력형",INDEX(몬스터계수[[#Data],[행운계수]],MATCH(E101, 몬스터계수[[#Data],[타입]],0),1)*C101,0))))</f>
        <v>245.75</v>
      </c>
      <c r="K101" s="34">
        <f>ROUND(
(($F101)*참고!$D$5)
+(($G101)*참고!$D$6)
+(($H101)*참고!$D$7)
+(($I101)*참고!$D$8)
+(($J101))*참고!$D$9,0)</f>
        <v>38214</v>
      </c>
      <c r="L101" s="34">
        <f>ROUND(
(($F101)*참고!$E$5)
+(($G101)*참고!$E$6)
+(($H101)*참고!$E$7)
+(($I101)*참고!$E$8)
+(($J101))*참고!$E$9,0)</f>
        <v>21872</v>
      </c>
      <c r="M101" s="34">
        <f>ROUND(
(($F101)*참고!$F$5)
+(($G101)*참고!$F$6)
+(($H101)*참고!$F$7)
+(($I101)*참고!$F$8)
+(($J101))*참고!$F$9,0)</f>
        <v>6144</v>
      </c>
      <c r="N101" s="34">
        <f>ROUND(
(($F101)*참고!$G$5)
+(($G101)*참고!$G$6)
+(($H101)*참고!$G$7)
+(($I101)*참고!$G$8)
+(($J101))*참고!$G$9,0)</f>
        <v>172</v>
      </c>
      <c r="O101" s="34">
        <f>ROUND(
(($F101)*참고!$H$5)
+(($G101)*참고!$H$6)
+(($H101)*참고!$H$7)
+(($I101)*참고!$H$8)
+(($J101))*참고!$H$9,0)</f>
        <v>4055</v>
      </c>
      <c r="P101" s="34">
        <f>ROUND(
(($F101)*참고!$I$5)
+(($G101)*참고!$I$6)
+(($H101)*참고!$I$7)
+(($I101)*참고!$I$8)
+(($J101))*참고!$I$9,0)</f>
        <v>7127</v>
      </c>
      <c r="Q101" s="34">
        <f>ROUND(
(($F101)*참고!$J$5)
+(($G101)*참고!$J$6)
+(($H101)*참고!$J$7)
+(($I101)*참고!$J$8)
+(($J101))*참고!$J$9,0)</f>
        <v>4915</v>
      </c>
      <c r="R101" s="34">
        <f>IF(E101="공격형",(INDEX(몬스터계수[[#Data],[속도]],MATCH(E101, 몬스터계수[[#Data],[타입]],0),1)*속도핸들러_곱계수)*(INT(몬스터밸런스[[#This Row],[Lv]]/속도핸들러_합계수+1)),
IF(E101="방어형",(INDEX(몬스터계수[[#Data],[속도]],MATCH(E101, 몬스터계수[[#Data],[타입]],0),1)*속도핸들러_곱계수)*(INT(몬스터밸런스[[#This Row],[Lv]]/속도핸들러_합계수+1)),
IF(E101="회피형",(INDEX(몬스터계수[[#Data],[속도]],MATCH(E101, 몬스터계수[[#Data],[타입]],0),1)*속도핸들러_곱계수)*(INT(몬스터밸런스[[#This Row],[Lv]]/속도핸들러_합계수+1)),
IF(E101="기본형",(INDEX(몬스터계수[[#Data],[속도]],MATCH(E101, 몬스터계수[[#Data],[타입]],0),1)*속도핸들러_곱계수)*(INT(몬스터밸런스[[#This Row],[Lv]]/속도핸들러_합계수+1)),0))))</f>
        <v>0</v>
      </c>
      <c r="S101">
        <f t="shared" si="4"/>
        <v>1312031.5</v>
      </c>
      <c r="U101">
        <v>5</v>
      </c>
      <c r="V101">
        <v>99</v>
      </c>
      <c r="W101">
        <f>$Z$1*몬스터밸런스9[[#This Row],[단계]]</f>
        <v>25</v>
      </c>
      <c r="X101" t="s">
        <v>51</v>
      </c>
      <c r="AE101" s="34">
        <f>몬스터밸런스[[#This Row],[Hp]]*0.3</f>
        <v>11464.199999999999</v>
      </c>
      <c r="AF101" s="34"/>
      <c r="AG101" s="34"/>
      <c r="AH101" s="34"/>
      <c r="AI101" s="34"/>
      <c r="AJ101" s="34"/>
      <c r="AK101" s="34">
        <f>몬스터밸런스[[#This Row],[DodgeRate]]*0.5</f>
        <v>2457.5</v>
      </c>
      <c r="AL101">
        <f t="shared" si="5"/>
        <v>249773.49999999997</v>
      </c>
    </row>
    <row r="102" spans="1:38">
      <c r="A102">
        <v>990</v>
      </c>
      <c r="B102">
        <v>100</v>
      </c>
      <c r="C102">
        <f>$F$1*몬스터밸런스[[#This Row],[Lv]]+15</f>
        <v>4965</v>
      </c>
      <c r="E102" t="s">
        <v>479</v>
      </c>
      <c r="F102">
        <f>IF(E102="공격형",INDEX(몬스터계수[[#Data],[생명계수]],MATCH(E102,몬스터계수[[#Data],[타입]],0),1)*C102,
IF(E102="방어형",INDEX(몬스터계수[[#Data],[생명계수]],MATCH(E102,몬스터계수[[#Data],[타입]],0),1)*C102,
IF(E102="회피형",INDEX(몬스터계수[[#Data],[생명계수]],MATCH(E102,몬스터계수[[#Data],[타입]],0),1)*C102,
IF(E102="체력형",INDEX(몬스터계수[[#Data],[생명계수]],MATCH(E102,몬스터계수[[#Data],[타입]],0),1)*C102,0))))*IF(몬스터밸런스[[#This Row],[보스]]=TRUE,2,1)</f>
        <v>2482.5</v>
      </c>
      <c r="G102">
        <f>IF(E102="공격형",INDEX(몬스터계수[[#Data],[힘계수]],MATCH(E102, 몬스터계수[[#Data],[타입]],0),1)*C102,
IF(E102="방어형",INDEX(몬스터계수[[#Data],[힘계수]],MATCH(E102, 몬스터계수[[#Data],[타입]],0),1)*C102,
IF(E102="회피형",INDEX(몬스터계수[[#Data],[힘계수]],MATCH(E102, 몬스터계수[[#Data],[타입]],0),1)*C102,
IF(E102="체력형",INDEX(몬스터계수[[#Data],[힘계수]],MATCH(E102, 몬스터계수[[#Data],[타입]],0),1)*C102,0))))</f>
        <v>1241.25</v>
      </c>
      <c r="H102">
        <f>IF(E102="공격형",INDEX(몬스터계수[[#Data],[근력게수]],MATCH(E102,몬스터계수[[#Data],[타입]],0),1)*C102,
IF(E102="방어형",INDEX(몬스터계수[[#Data],[근력게수]],MATCH(E102,몬스터계수[[#Data],[타입]],0),1)*C102,
IF(E102="회피형",INDEX(몬스터계수[[#Data],[근력게수]],MATCH(E102,몬스터계수[[#Data],[타입]],0),1)*C102,
IF(E102="체력형",INDEX(몬스터계수[[#Data],[근력게수]],MATCH(E102,몬스터계수[[#Data],[타입]],0),1)*C102,0))))</f>
        <v>248.25</v>
      </c>
      <c r="I102">
        <f>IF(E102="공격형",INDEX(몬스터계수[[#Data],[숙련도계수]],MATCH(E102,몬스터계수[[#Data],[타입]],0),1)*C102,
IF(E102="방어형",INDEX(몬스터계수[[#Data],[숙련도계수]],MATCH(E102,몬스터계수[[#Data],[타입]],0),1)*C102,
IF(E102="회피형",INDEX(몬스터계수[[#Data],[숙련도계수]],MATCH(E102,몬스터계수[[#Data],[타입]],0),1)*C102,
IF(E102="체력형",INDEX(몬스터계수[[#Data],[숙련도계수]],MATCH(E102,몬스터계수[[#Data],[타입]],0),1)*C102,0))))</f>
        <v>744.75</v>
      </c>
      <c r="J102">
        <f>IF(E102="공격형",INDEX(몬스터계수[[#Data],[행운계수]],MATCH(E102, 몬스터계수[[#Data],[타입]],0),1)*C102,
IF(E102="방어형",INDEX(몬스터계수[[#Data],[행운계수]],MATCH(E102, 몬스터계수[[#Data],[타입]],0),1)*C102,
IF(E102="회피형",INDEX(몬스터계수[[#Data],[행운계수]],MATCH(E102, 몬스터계수[[#Data],[타입]],0),1)*C102,
IF(E102="체력형",INDEX(몬스터계수[[#Data],[행운계수]],MATCH(E102, 몬스터계수[[#Data],[타입]],0),1)*C102,0))))</f>
        <v>248.25</v>
      </c>
      <c r="K102" s="34">
        <f>ROUND(
(($F102)*참고!$D$5)
+(($G102)*참고!$D$6)
+(($H102)*참고!$D$7)
+(($I102)*참고!$D$8)
+(($J102))*참고!$D$9,0)</f>
        <v>38603</v>
      </c>
      <c r="L102" s="34">
        <f>ROUND(
(($F102)*참고!$E$5)
+(($G102)*참고!$E$6)
+(($H102)*참고!$E$7)
+(($I102)*참고!$E$8)
+(($J102))*참고!$E$9,0)</f>
        <v>22094</v>
      </c>
      <c r="M102" s="34">
        <f>ROUND(
(($F102)*참고!$F$5)
+(($G102)*참고!$F$6)
+(($H102)*참고!$F$7)
+(($I102)*참고!$F$8)
+(($J102))*참고!$F$9,0)</f>
        <v>6206</v>
      </c>
      <c r="N102" s="34">
        <f>ROUND(
(($F102)*참고!$G$5)
+(($G102)*참고!$G$6)
+(($H102)*참고!$G$7)
+(($I102)*참고!$G$8)
+(($J102))*참고!$G$9,0)</f>
        <v>174</v>
      </c>
      <c r="O102" s="34">
        <f>ROUND(
(($F102)*참고!$H$5)
+(($G102)*참고!$H$6)
+(($H102)*참고!$H$7)
+(($I102)*참고!$H$8)
+(($J102))*참고!$H$9,0)</f>
        <v>4096</v>
      </c>
      <c r="P102" s="34">
        <f>ROUND(
(($F102)*참고!$I$5)
+(($G102)*참고!$I$6)
+(($H102)*참고!$I$7)
+(($I102)*참고!$I$8)
+(($J102))*참고!$I$9,0)</f>
        <v>7199</v>
      </c>
      <c r="Q102" s="34">
        <f>ROUND(
(($F102)*참고!$J$5)
+(($G102)*참고!$J$6)
+(($H102)*참고!$J$7)
+(($I102)*참고!$J$8)
+(($J102))*참고!$J$9,0)</f>
        <v>4965</v>
      </c>
      <c r="R102" s="34">
        <f>IF(E102="공격형",(INDEX(몬스터계수[[#Data],[속도]],MATCH(E102, 몬스터계수[[#Data],[타입]],0),1)*속도핸들러_곱계수)*(INT(몬스터밸런스[[#This Row],[Lv]]/속도핸들러_합계수+1)),
IF(E102="방어형",(INDEX(몬스터계수[[#Data],[속도]],MATCH(E102, 몬스터계수[[#Data],[타입]],0),1)*속도핸들러_곱계수)*(INT(몬스터밸런스[[#This Row],[Lv]]/속도핸들러_합계수+1)),
IF(E102="회피형",(INDEX(몬스터계수[[#Data],[속도]],MATCH(E102, 몬스터계수[[#Data],[타입]],0),1)*속도핸들러_곱계수)*(INT(몬스터밸런스[[#This Row],[Lv]]/속도핸들러_합계수+1)),
IF(E102="기본형",(INDEX(몬스터계수[[#Data],[속도]],MATCH(E102, 몬스터계수[[#Data],[타입]],0),1)*속도핸들러_곱계수)*(INT(몬스터밸런스[[#This Row],[Lv]]/속도핸들러_합계수+1)),0))))</f>
        <v>0</v>
      </c>
      <c r="S102">
        <f t="shared" si="4"/>
        <v>1325360.5</v>
      </c>
      <c r="U102">
        <v>5</v>
      </c>
      <c r="V102">
        <v>100</v>
      </c>
      <c r="W102">
        <f>$Z$1*몬스터밸런스9[[#This Row],[단계]]</f>
        <v>25</v>
      </c>
      <c r="X102" t="s">
        <v>51</v>
      </c>
      <c r="AE102" s="34">
        <f>몬스터밸런스[[#This Row],[Hp]]*0.3</f>
        <v>11580.9</v>
      </c>
      <c r="AF102" s="34"/>
      <c r="AG102" s="34"/>
      <c r="AH102" s="34"/>
      <c r="AI102" s="34"/>
      <c r="AJ102" s="34"/>
      <c r="AK102" s="34">
        <f>몬스터밸런스[[#This Row],[DodgeRate]]*0.5</f>
        <v>2482.5</v>
      </c>
      <c r="AL102">
        <f t="shared" si="5"/>
        <v>252315.75</v>
      </c>
    </row>
    <row r="103" spans="1:38">
      <c r="A103">
        <v>1000</v>
      </c>
      <c r="B103">
        <v>101</v>
      </c>
      <c r="C103">
        <f>$F$1*몬스터밸런스[[#This Row],[Lv]]+15</f>
        <v>5015</v>
      </c>
      <c r="E103" t="s">
        <v>479</v>
      </c>
      <c r="F103">
        <f>IF(E103="공격형",INDEX(몬스터계수[[#Data],[생명계수]],MATCH(E103,몬스터계수[[#Data],[타입]],0),1)*C103,
IF(E103="방어형",INDEX(몬스터계수[[#Data],[생명계수]],MATCH(E103,몬스터계수[[#Data],[타입]],0),1)*C103,
IF(E103="회피형",INDEX(몬스터계수[[#Data],[생명계수]],MATCH(E103,몬스터계수[[#Data],[타입]],0),1)*C103,
IF(E103="체력형",INDEX(몬스터계수[[#Data],[생명계수]],MATCH(E103,몬스터계수[[#Data],[타입]],0),1)*C103,0))))*IF(몬스터밸런스[[#This Row],[보스]]=TRUE,2,1)</f>
        <v>2507.5</v>
      </c>
      <c r="G103">
        <f>IF(E103="공격형",INDEX(몬스터계수[[#Data],[힘계수]],MATCH(E103, 몬스터계수[[#Data],[타입]],0),1)*C103,
IF(E103="방어형",INDEX(몬스터계수[[#Data],[힘계수]],MATCH(E103, 몬스터계수[[#Data],[타입]],0),1)*C103,
IF(E103="회피형",INDEX(몬스터계수[[#Data],[힘계수]],MATCH(E103, 몬스터계수[[#Data],[타입]],0),1)*C103,
IF(E103="체력형",INDEX(몬스터계수[[#Data],[힘계수]],MATCH(E103, 몬스터계수[[#Data],[타입]],0),1)*C103,0))))</f>
        <v>1253.75</v>
      </c>
      <c r="H103">
        <f>IF(E103="공격형",INDEX(몬스터계수[[#Data],[근력게수]],MATCH(E103,몬스터계수[[#Data],[타입]],0),1)*C103,
IF(E103="방어형",INDEX(몬스터계수[[#Data],[근력게수]],MATCH(E103,몬스터계수[[#Data],[타입]],0),1)*C103,
IF(E103="회피형",INDEX(몬스터계수[[#Data],[근력게수]],MATCH(E103,몬스터계수[[#Data],[타입]],0),1)*C103,
IF(E103="체력형",INDEX(몬스터계수[[#Data],[근력게수]],MATCH(E103,몬스터계수[[#Data],[타입]],0),1)*C103,0))))</f>
        <v>250.75</v>
      </c>
      <c r="I103">
        <f>IF(E103="공격형",INDEX(몬스터계수[[#Data],[숙련도계수]],MATCH(E103,몬스터계수[[#Data],[타입]],0),1)*C103,
IF(E103="방어형",INDEX(몬스터계수[[#Data],[숙련도계수]],MATCH(E103,몬스터계수[[#Data],[타입]],0),1)*C103,
IF(E103="회피형",INDEX(몬스터계수[[#Data],[숙련도계수]],MATCH(E103,몬스터계수[[#Data],[타입]],0),1)*C103,
IF(E103="체력형",INDEX(몬스터계수[[#Data],[숙련도계수]],MATCH(E103,몬스터계수[[#Data],[타입]],0),1)*C103,0))))</f>
        <v>752.25</v>
      </c>
      <c r="J103">
        <f>IF(E103="공격형",INDEX(몬스터계수[[#Data],[행운계수]],MATCH(E103, 몬스터계수[[#Data],[타입]],0),1)*C103,
IF(E103="방어형",INDEX(몬스터계수[[#Data],[행운계수]],MATCH(E103, 몬스터계수[[#Data],[타입]],0),1)*C103,
IF(E103="회피형",INDEX(몬스터계수[[#Data],[행운계수]],MATCH(E103, 몬스터계수[[#Data],[타입]],0),1)*C103,
IF(E103="체력형",INDEX(몬스터계수[[#Data],[행운계수]],MATCH(E103, 몬스터계수[[#Data],[타입]],0),1)*C103,0))))</f>
        <v>250.75</v>
      </c>
      <c r="K103" s="34">
        <f>ROUND(
(($F103)*참고!$D$5)
+(($G103)*참고!$D$6)
+(($H103)*참고!$D$7)
+(($I103)*참고!$D$8)
+(($J103))*참고!$D$9,0)</f>
        <v>38992</v>
      </c>
      <c r="L103" s="34">
        <f>ROUND(
(($F103)*참고!$E$5)
+(($G103)*참고!$E$6)
+(($H103)*참고!$E$7)
+(($I103)*참고!$E$8)
+(($J103))*참고!$E$9,0)</f>
        <v>22317</v>
      </c>
      <c r="M103" s="34">
        <f>ROUND(
(($F103)*참고!$F$5)
+(($G103)*참고!$F$6)
+(($H103)*참고!$F$7)
+(($I103)*참고!$F$8)
+(($J103))*참고!$F$9,0)</f>
        <v>6269</v>
      </c>
      <c r="N103" s="34">
        <f>ROUND(
(($F103)*참고!$G$5)
+(($G103)*참고!$G$6)
+(($H103)*참고!$G$7)
+(($I103)*참고!$G$8)
+(($J103))*참고!$G$9,0)</f>
        <v>176</v>
      </c>
      <c r="O103" s="34">
        <f>ROUND(
(($F103)*참고!$H$5)
+(($G103)*참고!$H$6)
+(($H103)*참고!$H$7)
+(($I103)*참고!$H$8)
+(($J103))*참고!$H$9,0)</f>
        <v>4137</v>
      </c>
      <c r="P103" s="34">
        <f>ROUND(
(($F103)*참고!$I$5)
+(($G103)*참고!$I$6)
+(($H103)*참고!$I$7)
+(($I103)*참고!$I$8)
+(($J103))*참고!$I$9,0)</f>
        <v>7272</v>
      </c>
      <c r="Q103" s="34">
        <f>ROUND(
(($F103)*참고!$J$5)
+(($G103)*참고!$J$6)
+(($H103)*참고!$J$7)
+(($I103)*참고!$J$8)
+(($J103))*참고!$J$9,0)</f>
        <v>5015</v>
      </c>
      <c r="R103" s="34">
        <f>IF(E103="공격형",(INDEX(몬스터계수[[#Data],[속도]],MATCH(E103, 몬스터계수[[#Data],[타입]],0),1)*속도핸들러_곱계수)*(INT(몬스터밸런스[[#This Row],[Lv]]/속도핸들러_합계수+1)),
IF(E103="방어형",(INDEX(몬스터계수[[#Data],[속도]],MATCH(E103, 몬스터계수[[#Data],[타입]],0),1)*속도핸들러_곱계수)*(INT(몬스터밸런스[[#This Row],[Lv]]/속도핸들러_합계수+1)),
IF(E103="회피형",(INDEX(몬스터계수[[#Data],[속도]],MATCH(E103, 몬스터계수[[#Data],[타입]],0),1)*속도핸들러_곱계수)*(INT(몬스터밸런스[[#This Row],[Lv]]/속도핸들러_합계수+1)),
IF(E103="기본형",(INDEX(몬스터계수[[#Data],[속도]],MATCH(E103, 몬스터계수[[#Data],[타입]],0),1)*속도핸들러_곱계수)*(INT(몬스터밸런스[[#This Row],[Lv]]/속도핸들러_합계수+1)),0))))</f>
        <v>0</v>
      </c>
      <c r="S103">
        <f t="shared" si="4"/>
        <v>1338732.5</v>
      </c>
      <c r="U103">
        <v>1</v>
      </c>
      <c r="V103">
        <v>101</v>
      </c>
      <c r="W103">
        <f>$Z$1*몬스터밸런스9[[#This Row],[단계]]</f>
        <v>5</v>
      </c>
      <c r="X103" t="s">
        <v>49</v>
      </c>
      <c r="AE103" s="34"/>
      <c r="AF103" s="34"/>
      <c r="AG103" s="34"/>
      <c r="AH103" s="34">
        <f>몬스터밸런스[[#This Row],[CriticalRate]]</f>
        <v>176</v>
      </c>
      <c r="AI103" s="34"/>
      <c r="AJ103" s="34"/>
      <c r="AK103" s="34"/>
      <c r="AL103">
        <f t="shared" si="5"/>
        <v>88</v>
      </c>
    </row>
    <row r="104" spans="1:38">
      <c r="A104">
        <v>1010</v>
      </c>
      <c r="B104">
        <v>102</v>
      </c>
      <c r="C104">
        <f>$F$1*몬스터밸런스[[#This Row],[Lv]]+15</f>
        <v>5065</v>
      </c>
      <c r="E104" t="s">
        <v>479</v>
      </c>
      <c r="F104">
        <f>IF(E104="공격형",INDEX(몬스터계수[[#Data],[생명계수]],MATCH(E104,몬스터계수[[#Data],[타입]],0),1)*C104,
IF(E104="방어형",INDEX(몬스터계수[[#Data],[생명계수]],MATCH(E104,몬스터계수[[#Data],[타입]],0),1)*C104,
IF(E104="회피형",INDEX(몬스터계수[[#Data],[생명계수]],MATCH(E104,몬스터계수[[#Data],[타입]],0),1)*C104,
IF(E104="체력형",INDEX(몬스터계수[[#Data],[생명계수]],MATCH(E104,몬스터계수[[#Data],[타입]],0),1)*C104,0))))*IF(몬스터밸런스[[#This Row],[보스]]=TRUE,2,1)</f>
        <v>2532.5</v>
      </c>
      <c r="G104">
        <f>IF(E104="공격형",INDEX(몬스터계수[[#Data],[힘계수]],MATCH(E104, 몬스터계수[[#Data],[타입]],0),1)*C104,
IF(E104="방어형",INDEX(몬스터계수[[#Data],[힘계수]],MATCH(E104, 몬스터계수[[#Data],[타입]],0),1)*C104,
IF(E104="회피형",INDEX(몬스터계수[[#Data],[힘계수]],MATCH(E104, 몬스터계수[[#Data],[타입]],0),1)*C104,
IF(E104="체력형",INDEX(몬스터계수[[#Data],[힘계수]],MATCH(E104, 몬스터계수[[#Data],[타입]],0),1)*C104,0))))</f>
        <v>1266.25</v>
      </c>
      <c r="H104">
        <f>IF(E104="공격형",INDEX(몬스터계수[[#Data],[근력게수]],MATCH(E104,몬스터계수[[#Data],[타입]],0),1)*C104,
IF(E104="방어형",INDEX(몬스터계수[[#Data],[근력게수]],MATCH(E104,몬스터계수[[#Data],[타입]],0),1)*C104,
IF(E104="회피형",INDEX(몬스터계수[[#Data],[근력게수]],MATCH(E104,몬스터계수[[#Data],[타입]],0),1)*C104,
IF(E104="체력형",INDEX(몬스터계수[[#Data],[근력게수]],MATCH(E104,몬스터계수[[#Data],[타입]],0),1)*C104,0))))</f>
        <v>253.25</v>
      </c>
      <c r="I104">
        <f>IF(E104="공격형",INDEX(몬스터계수[[#Data],[숙련도계수]],MATCH(E104,몬스터계수[[#Data],[타입]],0),1)*C104,
IF(E104="방어형",INDEX(몬스터계수[[#Data],[숙련도계수]],MATCH(E104,몬스터계수[[#Data],[타입]],0),1)*C104,
IF(E104="회피형",INDEX(몬스터계수[[#Data],[숙련도계수]],MATCH(E104,몬스터계수[[#Data],[타입]],0),1)*C104,
IF(E104="체력형",INDEX(몬스터계수[[#Data],[숙련도계수]],MATCH(E104,몬스터계수[[#Data],[타입]],0),1)*C104,0))))</f>
        <v>759.75</v>
      </c>
      <c r="J104">
        <f>IF(E104="공격형",INDEX(몬스터계수[[#Data],[행운계수]],MATCH(E104, 몬스터계수[[#Data],[타입]],0),1)*C104,
IF(E104="방어형",INDEX(몬스터계수[[#Data],[행운계수]],MATCH(E104, 몬스터계수[[#Data],[타입]],0),1)*C104,
IF(E104="회피형",INDEX(몬스터계수[[#Data],[행운계수]],MATCH(E104, 몬스터계수[[#Data],[타입]],0),1)*C104,
IF(E104="체력형",INDEX(몬스터계수[[#Data],[행운계수]],MATCH(E104, 몬스터계수[[#Data],[타입]],0),1)*C104,0))))</f>
        <v>253.25</v>
      </c>
      <c r="K104" s="34">
        <f>ROUND(
(($F104)*참고!$D$5)
+(($G104)*참고!$D$6)
+(($H104)*참고!$D$7)
+(($I104)*참고!$D$8)
+(($J104))*참고!$D$9,0)</f>
        <v>39380</v>
      </c>
      <c r="L104" s="34">
        <f>ROUND(
(($F104)*참고!$E$5)
+(($G104)*참고!$E$6)
+(($H104)*참고!$E$7)
+(($I104)*참고!$E$8)
+(($J104))*참고!$E$9,0)</f>
        <v>22539</v>
      </c>
      <c r="M104" s="34">
        <f>ROUND(
(($F104)*참고!$F$5)
+(($G104)*참고!$F$6)
+(($H104)*참고!$F$7)
+(($I104)*참고!$F$8)
+(($J104))*참고!$F$9,0)</f>
        <v>6331</v>
      </c>
      <c r="N104" s="34">
        <f>ROUND(
(($F104)*참고!$G$5)
+(($G104)*참고!$G$6)
+(($H104)*참고!$G$7)
+(($I104)*참고!$G$8)
+(($J104))*참고!$G$9,0)</f>
        <v>177</v>
      </c>
      <c r="O104" s="34">
        <f>ROUND(
(($F104)*참고!$H$5)
+(($G104)*참고!$H$6)
+(($H104)*참고!$H$7)
+(($I104)*참고!$H$8)
+(($J104))*참고!$H$9,0)</f>
        <v>4179</v>
      </c>
      <c r="P104" s="34">
        <f>ROUND(
(($F104)*참고!$I$5)
+(($G104)*참고!$I$6)
+(($H104)*참고!$I$7)
+(($I104)*참고!$I$8)
+(($J104))*참고!$I$9,0)</f>
        <v>7344</v>
      </c>
      <c r="Q104" s="34">
        <f>ROUND(
(($F104)*참고!$J$5)
+(($G104)*참고!$J$6)
+(($H104)*참고!$J$7)
+(($I104)*참고!$J$8)
+(($J104))*참고!$J$9,0)</f>
        <v>5065</v>
      </c>
      <c r="R104" s="34">
        <f>IF(E104="공격형",(INDEX(몬스터계수[[#Data],[속도]],MATCH(E104, 몬스터계수[[#Data],[타입]],0),1)*속도핸들러_곱계수)*(INT(몬스터밸런스[[#This Row],[Lv]]/속도핸들러_합계수+1)),
IF(E104="방어형",(INDEX(몬스터계수[[#Data],[속도]],MATCH(E104, 몬스터계수[[#Data],[타입]],0),1)*속도핸들러_곱계수)*(INT(몬스터밸런스[[#This Row],[Lv]]/속도핸들러_합계수+1)),
IF(E104="회피형",(INDEX(몬스터계수[[#Data],[속도]],MATCH(E104, 몬스터계수[[#Data],[타입]],0),1)*속도핸들러_곱계수)*(INT(몬스터밸런스[[#This Row],[Lv]]/속도핸들러_합계수+1)),
IF(E104="기본형",(INDEX(몬스터계수[[#Data],[속도]],MATCH(E104, 몬스터계수[[#Data],[타입]],0),1)*속도핸들러_곱계수)*(INT(몬스터밸런스[[#This Row],[Lv]]/속도핸들러_합계수+1)),0))))</f>
        <v>0</v>
      </c>
      <c r="S104">
        <f t="shared" si="4"/>
        <v>1352048</v>
      </c>
      <c r="U104">
        <v>1</v>
      </c>
      <c r="V104">
        <v>102</v>
      </c>
      <c r="W104">
        <f>$Z$1*몬스터밸런스9[[#This Row],[단계]]</f>
        <v>5</v>
      </c>
      <c r="X104" t="s">
        <v>49</v>
      </c>
      <c r="AE104" s="34"/>
      <c r="AF104" s="34"/>
      <c r="AG104" s="34"/>
      <c r="AH104" s="34"/>
      <c r="AI104" s="34">
        <f>몬스터밸런스[[#This Row],[CriticalDamage]]</f>
        <v>4179</v>
      </c>
      <c r="AJ104" s="34"/>
      <c r="AK104" s="34"/>
      <c r="AL104">
        <f t="shared" si="5"/>
        <v>18805.5</v>
      </c>
    </row>
    <row r="105" spans="1:38">
      <c r="A105">
        <v>1020</v>
      </c>
      <c r="B105">
        <v>103</v>
      </c>
      <c r="C105">
        <f>$F$1*몬스터밸런스[[#This Row],[Lv]]+15</f>
        <v>5115</v>
      </c>
      <c r="E105" t="s">
        <v>479</v>
      </c>
      <c r="F105">
        <f>IF(E105="공격형",INDEX(몬스터계수[[#Data],[생명계수]],MATCH(E105,몬스터계수[[#Data],[타입]],0),1)*C105,
IF(E105="방어형",INDEX(몬스터계수[[#Data],[생명계수]],MATCH(E105,몬스터계수[[#Data],[타입]],0),1)*C105,
IF(E105="회피형",INDEX(몬스터계수[[#Data],[생명계수]],MATCH(E105,몬스터계수[[#Data],[타입]],0),1)*C105,
IF(E105="체력형",INDEX(몬스터계수[[#Data],[생명계수]],MATCH(E105,몬스터계수[[#Data],[타입]],0),1)*C105,0))))*IF(몬스터밸런스[[#This Row],[보스]]=TRUE,2,1)</f>
        <v>2557.5</v>
      </c>
      <c r="G105">
        <f>IF(E105="공격형",INDEX(몬스터계수[[#Data],[힘계수]],MATCH(E105, 몬스터계수[[#Data],[타입]],0),1)*C105,
IF(E105="방어형",INDEX(몬스터계수[[#Data],[힘계수]],MATCH(E105, 몬스터계수[[#Data],[타입]],0),1)*C105,
IF(E105="회피형",INDEX(몬스터계수[[#Data],[힘계수]],MATCH(E105, 몬스터계수[[#Data],[타입]],0),1)*C105,
IF(E105="체력형",INDEX(몬스터계수[[#Data],[힘계수]],MATCH(E105, 몬스터계수[[#Data],[타입]],0),1)*C105,0))))</f>
        <v>1278.75</v>
      </c>
      <c r="H105">
        <f>IF(E105="공격형",INDEX(몬스터계수[[#Data],[근력게수]],MATCH(E105,몬스터계수[[#Data],[타입]],0),1)*C105,
IF(E105="방어형",INDEX(몬스터계수[[#Data],[근력게수]],MATCH(E105,몬스터계수[[#Data],[타입]],0),1)*C105,
IF(E105="회피형",INDEX(몬스터계수[[#Data],[근력게수]],MATCH(E105,몬스터계수[[#Data],[타입]],0),1)*C105,
IF(E105="체력형",INDEX(몬스터계수[[#Data],[근력게수]],MATCH(E105,몬스터계수[[#Data],[타입]],0),1)*C105,0))))</f>
        <v>255.75</v>
      </c>
      <c r="I105">
        <f>IF(E105="공격형",INDEX(몬스터계수[[#Data],[숙련도계수]],MATCH(E105,몬스터계수[[#Data],[타입]],0),1)*C105,
IF(E105="방어형",INDEX(몬스터계수[[#Data],[숙련도계수]],MATCH(E105,몬스터계수[[#Data],[타입]],0),1)*C105,
IF(E105="회피형",INDEX(몬스터계수[[#Data],[숙련도계수]],MATCH(E105,몬스터계수[[#Data],[타입]],0),1)*C105,
IF(E105="체력형",INDEX(몬스터계수[[#Data],[숙련도계수]],MATCH(E105,몬스터계수[[#Data],[타입]],0),1)*C105,0))))</f>
        <v>767.25</v>
      </c>
      <c r="J105">
        <f>IF(E105="공격형",INDEX(몬스터계수[[#Data],[행운계수]],MATCH(E105, 몬스터계수[[#Data],[타입]],0),1)*C105,
IF(E105="방어형",INDEX(몬스터계수[[#Data],[행운계수]],MATCH(E105, 몬스터계수[[#Data],[타입]],0),1)*C105,
IF(E105="회피형",INDEX(몬스터계수[[#Data],[행운계수]],MATCH(E105, 몬스터계수[[#Data],[타입]],0),1)*C105,
IF(E105="체력형",INDEX(몬스터계수[[#Data],[행운계수]],MATCH(E105, 몬스터계수[[#Data],[타입]],0),1)*C105,0))))</f>
        <v>255.75</v>
      </c>
      <c r="K105" s="34">
        <f>ROUND(
(($F105)*참고!$D$5)
+(($G105)*참고!$D$6)
+(($H105)*참고!$D$7)
+(($I105)*참고!$D$8)
+(($J105))*참고!$D$9,0)</f>
        <v>39769</v>
      </c>
      <c r="L105" s="34">
        <f>ROUND(
(($F105)*참고!$E$5)
+(($G105)*참고!$E$6)
+(($H105)*참고!$E$7)
+(($I105)*참고!$E$8)
+(($J105))*참고!$E$9,0)</f>
        <v>22762</v>
      </c>
      <c r="M105" s="34">
        <f>ROUND(
(($F105)*참고!$F$5)
+(($G105)*참고!$F$6)
+(($H105)*참고!$F$7)
+(($I105)*참고!$F$8)
+(($J105))*참고!$F$9,0)</f>
        <v>6394</v>
      </c>
      <c r="N105" s="34">
        <f>ROUND(
(($F105)*참고!$G$5)
+(($G105)*참고!$G$6)
+(($H105)*참고!$G$7)
+(($I105)*참고!$G$8)
+(($J105))*참고!$G$9,0)</f>
        <v>179</v>
      </c>
      <c r="O105" s="34">
        <f>ROUND(
(($F105)*참고!$H$5)
+(($G105)*참고!$H$6)
+(($H105)*참고!$H$7)
+(($I105)*참고!$H$8)
+(($J105))*참고!$H$9,0)</f>
        <v>4220</v>
      </c>
      <c r="P105" s="34">
        <f>ROUND(
(($F105)*참고!$I$5)
+(($G105)*참고!$I$6)
+(($H105)*참고!$I$7)
+(($I105)*참고!$I$8)
+(($J105))*참고!$I$9,0)</f>
        <v>7417</v>
      </c>
      <c r="Q105" s="34">
        <f>ROUND(
(($F105)*참고!$J$5)
+(($G105)*참고!$J$6)
+(($H105)*참고!$J$7)
+(($I105)*참고!$J$8)
+(($J105))*참고!$J$9,0)</f>
        <v>5115</v>
      </c>
      <c r="R105" s="34">
        <f>IF(E105="공격형",(INDEX(몬스터계수[[#Data],[속도]],MATCH(E105, 몬스터계수[[#Data],[타입]],0),1)*속도핸들러_곱계수)*(INT(몬스터밸런스[[#This Row],[Lv]]/속도핸들러_합계수+1)),
IF(E105="방어형",(INDEX(몬스터계수[[#Data],[속도]],MATCH(E105, 몬스터계수[[#Data],[타입]],0),1)*속도핸들러_곱계수)*(INT(몬스터밸런스[[#This Row],[Lv]]/속도핸들러_합계수+1)),
IF(E105="회피형",(INDEX(몬스터계수[[#Data],[속도]],MATCH(E105, 몬스터계수[[#Data],[타입]],0),1)*속도핸들러_곱계수)*(INT(몬스터밸런스[[#This Row],[Lv]]/속도핸들러_합계수+1)),
IF(E105="기본형",(INDEX(몬스터계수[[#Data],[속도]],MATCH(E105, 몬스터계수[[#Data],[타입]],0),1)*속도핸들러_곱계수)*(INT(몬스터밸런스[[#This Row],[Lv]]/속도핸들러_합계수+1)),0))))</f>
        <v>0</v>
      </c>
      <c r="S105">
        <f t="shared" si="4"/>
        <v>1365420</v>
      </c>
      <c r="U105">
        <v>1</v>
      </c>
      <c r="V105">
        <v>103</v>
      </c>
      <c r="W105">
        <f>$Z$1*몬스터밸런스9[[#This Row],[단계]]</f>
        <v>5</v>
      </c>
      <c r="X105" t="s">
        <v>49</v>
      </c>
      <c r="AE105" s="34"/>
      <c r="AF105" s="34"/>
      <c r="AG105" s="34"/>
      <c r="AH105" s="34">
        <f>몬스터밸런스[[#This Row],[CriticalRate]]</f>
        <v>179</v>
      </c>
      <c r="AI105" s="34"/>
      <c r="AJ105" s="34"/>
      <c r="AK105" s="34"/>
      <c r="AL105">
        <f t="shared" si="5"/>
        <v>89.5</v>
      </c>
    </row>
    <row r="106" spans="1:38">
      <c r="A106">
        <v>1030</v>
      </c>
      <c r="B106">
        <v>104</v>
      </c>
      <c r="C106">
        <f>$F$1*몬스터밸런스[[#This Row],[Lv]]+15</f>
        <v>5165</v>
      </c>
      <c r="E106" t="s">
        <v>479</v>
      </c>
      <c r="F106">
        <f>IF(E106="공격형",INDEX(몬스터계수[[#Data],[생명계수]],MATCH(E106,몬스터계수[[#Data],[타입]],0),1)*C106,
IF(E106="방어형",INDEX(몬스터계수[[#Data],[생명계수]],MATCH(E106,몬스터계수[[#Data],[타입]],0),1)*C106,
IF(E106="회피형",INDEX(몬스터계수[[#Data],[생명계수]],MATCH(E106,몬스터계수[[#Data],[타입]],0),1)*C106,
IF(E106="체력형",INDEX(몬스터계수[[#Data],[생명계수]],MATCH(E106,몬스터계수[[#Data],[타입]],0),1)*C106,0))))*IF(몬스터밸런스[[#This Row],[보스]]=TRUE,2,1)</f>
        <v>2582.5</v>
      </c>
      <c r="G106">
        <f>IF(E106="공격형",INDEX(몬스터계수[[#Data],[힘계수]],MATCH(E106, 몬스터계수[[#Data],[타입]],0),1)*C106,
IF(E106="방어형",INDEX(몬스터계수[[#Data],[힘계수]],MATCH(E106, 몬스터계수[[#Data],[타입]],0),1)*C106,
IF(E106="회피형",INDEX(몬스터계수[[#Data],[힘계수]],MATCH(E106, 몬스터계수[[#Data],[타입]],0),1)*C106,
IF(E106="체력형",INDEX(몬스터계수[[#Data],[힘계수]],MATCH(E106, 몬스터계수[[#Data],[타입]],0),1)*C106,0))))</f>
        <v>1291.25</v>
      </c>
      <c r="H106">
        <f>IF(E106="공격형",INDEX(몬스터계수[[#Data],[근력게수]],MATCH(E106,몬스터계수[[#Data],[타입]],0),1)*C106,
IF(E106="방어형",INDEX(몬스터계수[[#Data],[근력게수]],MATCH(E106,몬스터계수[[#Data],[타입]],0),1)*C106,
IF(E106="회피형",INDEX(몬스터계수[[#Data],[근력게수]],MATCH(E106,몬스터계수[[#Data],[타입]],0),1)*C106,
IF(E106="체력형",INDEX(몬스터계수[[#Data],[근력게수]],MATCH(E106,몬스터계수[[#Data],[타입]],0),1)*C106,0))))</f>
        <v>258.25</v>
      </c>
      <c r="I106">
        <f>IF(E106="공격형",INDEX(몬스터계수[[#Data],[숙련도계수]],MATCH(E106,몬스터계수[[#Data],[타입]],0),1)*C106,
IF(E106="방어형",INDEX(몬스터계수[[#Data],[숙련도계수]],MATCH(E106,몬스터계수[[#Data],[타입]],0),1)*C106,
IF(E106="회피형",INDEX(몬스터계수[[#Data],[숙련도계수]],MATCH(E106,몬스터계수[[#Data],[타입]],0),1)*C106,
IF(E106="체력형",INDEX(몬스터계수[[#Data],[숙련도계수]],MATCH(E106,몬스터계수[[#Data],[타입]],0),1)*C106,0))))</f>
        <v>774.75</v>
      </c>
      <c r="J106">
        <f>IF(E106="공격형",INDEX(몬스터계수[[#Data],[행운계수]],MATCH(E106, 몬스터계수[[#Data],[타입]],0),1)*C106,
IF(E106="방어형",INDEX(몬스터계수[[#Data],[행운계수]],MATCH(E106, 몬스터계수[[#Data],[타입]],0),1)*C106,
IF(E106="회피형",INDEX(몬스터계수[[#Data],[행운계수]],MATCH(E106, 몬스터계수[[#Data],[타입]],0),1)*C106,
IF(E106="체력형",INDEX(몬스터계수[[#Data],[행운계수]],MATCH(E106, 몬스터계수[[#Data],[타입]],0),1)*C106,0))))</f>
        <v>258.25</v>
      </c>
      <c r="K106" s="34">
        <f>ROUND(
(($F106)*참고!$D$5)
+(($G106)*참고!$D$6)
+(($H106)*참고!$D$7)
+(($I106)*참고!$D$8)
+(($J106))*참고!$D$9,0)</f>
        <v>40158</v>
      </c>
      <c r="L106" s="34">
        <f>ROUND(
(($F106)*참고!$E$5)
+(($G106)*참고!$E$6)
+(($H106)*참고!$E$7)
+(($I106)*참고!$E$8)
+(($J106))*참고!$E$9,0)</f>
        <v>22984</v>
      </c>
      <c r="M106" s="34">
        <f>ROUND(
(($F106)*참고!$F$5)
+(($G106)*참고!$F$6)
+(($H106)*참고!$F$7)
+(($I106)*참고!$F$8)
+(($J106))*참고!$F$9,0)</f>
        <v>6456</v>
      </c>
      <c r="N106" s="34">
        <f>ROUND(
(($F106)*참고!$G$5)
+(($G106)*참고!$G$6)
+(($H106)*참고!$G$7)
+(($I106)*참고!$G$8)
+(($J106))*참고!$G$9,0)</f>
        <v>181</v>
      </c>
      <c r="O106" s="34">
        <f>ROUND(
(($F106)*참고!$H$5)
+(($G106)*참고!$H$6)
+(($H106)*참고!$H$7)
+(($I106)*참고!$H$8)
+(($J106))*참고!$H$9,0)</f>
        <v>4261</v>
      </c>
      <c r="P106" s="34">
        <f>ROUND(
(($F106)*참고!$I$5)
+(($G106)*참고!$I$6)
+(($H106)*참고!$I$7)
+(($I106)*참고!$I$8)
+(($J106))*참고!$I$9,0)</f>
        <v>7489</v>
      </c>
      <c r="Q106" s="34">
        <f>ROUND(
(($F106)*참고!$J$5)
+(($G106)*참고!$J$6)
+(($H106)*참고!$J$7)
+(($I106)*참고!$J$8)
+(($J106))*참고!$J$9,0)</f>
        <v>5165</v>
      </c>
      <c r="R106" s="34">
        <f>IF(E106="공격형",(INDEX(몬스터계수[[#Data],[속도]],MATCH(E106, 몬스터계수[[#Data],[타입]],0),1)*속도핸들러_곱계수)*(INT(몬스터밸런스[[#This Row],[Lv]]/속도핸들러_합계수+1)),
IF(E106="방어형",(INDEX(몬스터계수[[#Data],[속도]],MATCH(E106, 몬스터계수[[#Data],[타입]],0),1)*속도핸들러_곱계수)*(INT(몬스터밸런스[[#This Row],[Lv]]/속도핸들러_합계수+1)),
IF(E106="회피형",(INDEX(몬스터계수[[#Data],[속도]],MATCH(E106, 몬스터계수[[#Data],[타입]],0),1)*속도핸들러_곱계수)*(INT(몬스터밸런스[[#This Row],[Lv]]/속도핸들러_합계수+1)),
IF(E106="기본형",(INDEX(몬스터계수[[#Data],[속도]],MATCH(E106, 몬스터계수[[#Data],[타입]],0),1)*속도핸들러_곱계수)*(INT(몬스터밸런스[[#This Row],[Lv]]/속도핸들러_합계수+1)),0))))</f>
        <v>0</v>
      </c>
      <c r="S106">
        <f t="shared" si="4"/>
        <v>1378749</v>
      </c>
      <c r="U106">
        <v>1</v>
      </c>
      <c r="V106">
        <v>104</v>
      </c>
      <c r="W106">
        <f>$Z$1*몬스터밸런스9[[#This Row],[단계]]</f>
        <v>5</v>
      </c>
      <c r="X106" t="s">
        <v>49</v>
      </c>
      <c r="AE106" s="34"/>
      <c r="AF106" s="34"/>
      <c r="AG106" s="34"/>
      <c r="AH106" s="34"/>
      <c r="AI106" s="34">
        <f>몬스터밸런스[[#This Row],[CriticalDamage]]</f>
        <v>4261</v>
      </c>
      <c r="AJ106" s="34"/>
      <c r="AK106" s="34"/>
      <c r="AL106">
        <f t="shared" si="5"/>
        <v>19174.5</v>
      </c>
    </row>
    <row r="107" spans="1:38">
      <c r="A107">
        <v>1040</v>
      </c>
      <c r="B107">
        <v>105</v>
      </c>
      <c r="C107">
        <f>$F$1*몬스터밸런스[[#This Row],[Lv]]+15</f>
        <v>5215</v>
      </c>
      <c r="E107" t="s">
        <v>479</v>
      </c>
      <c r="F107">
        <f>IF(E107="공격형",INDEX(몬스터계수[[#Data],[생명계수]],MATCH(E107,몬스터계수[[#Data],[타입]],0),1)*C107,
IF(E107="방어형",INDEX(몬스터계수[[#Data],[생명계수]],MATCH(E107,몬스터계수[[#Data],[타입]],0),1)*C107,
IF(E107="회피형",INDEX(몬스터계수[[#Data],[생명계수]],MATCH(E107,몬스터계수[[#Data],[타입]],0),1)*C107,
IF(E107="체력형",INDEX(몬스터계수[[#Data],[생명계수]],MATCH(E107,몬스터계수[[#Data],[타입]],0),1)*C107,0))))*IF(몬스터밸런스[[#This Row],[보스]]=TRUE,2,1)</f>
        <v>2607.5</v>
      </c>
      <c r="G107">
        <f>IF(E107="공격형",INDEX(몬스터계수[[#Data],[힘계수]],MATCH(E107, 몬스터계수[[#Data],[타입]],0),1)*C107,
IF(E107="방어형",INDEX(몬스터계수[[#Data],[힘계수]],MATCH(E107, 몬스터계수[[#Data],[타입]],0),1)*C107,
IF(E107="회피형",INDEX(몬스터계수[[#Data],[힘계수]],MATCH(E107, 몬스터계수[[#Data],[타입]],0),1)*C107,
IF(E107="체력형",INDEX(몬스터계수[[#Data],[힘계수]],MATCH(E107, 몬스터계수[[#Data],[타입]],0),1)*C107,0))))</f>
        <v>1303.75</v>
      </c>
      <c r="H107">
        <f>IF(E107="공격형",INDEX(몬스터계수[[#Data],[근력게수]],MATCH(E107,몬스터계수[[#Data],[타입]],0),1)*C107,
IF(E107="방어형",INDEX(몬스터계수[[#Data],[근력게수]],MATCH(E107,몬스터계수[[#Data],[타입]],0),1)*C107,
IF(E107="회피형",INDEX(몬스터계수[[#Data],[근력게수]],MATCH(E107,몬스터계수[[#Data],[타입]],0),1)*C107,
IF(E107="체력형",INDEX(몬스터계수[[#Data],[근력게수]],MATCH(E107,몬스터계수[[#Data],[타입]],0),1)*C107,0))))</f>
        <v>260.75</v>
      </c>
      <c r="I107">
        <f>IF(E107="공격형",INDEX(몬스터계수[[#Data],[숙련도계수]],MATCH(E107,몬스터계수[[#Data],[타입]],0),1)*C107,
IF(E107="방어형",INDEX(몬스터계수[[#Data],[숙련도계수]],MATCH(E107,몬스터계수[[#Data],[타입]],0),1)*C107,
IF(E107="회피형",INDEX(몬스터계수[[#Data],[숙련도계수]],MATCH(E107,몬스터계수[[#Data],[타입]],0),1)*C107,
IF(E107="체력형",INDEX(몬스터계수[[#Data],[숙련도계수]],MATCH(E107,몬스터계수[[#Data],[타입]],0),1)*C107,0))))</f>
        <v>782.25</v>
      </c>
      <c r="J107">
        <f>IF(E107="공격형",INDEX(몬스터계수[[#Data],[행운계수]],MATCH(E107, 몬스터계수[[#Data],[타입]],0),1)*C107,
IF(E107="방어형",INDEX(몬스터계수[[#Data],[행운계수]],MATCH(E107, 몬스터계수[[#Data],[타입]],0),1)*C107,
IF(E107="회피형",INDEX(몬스터계수[[#Data],[행운계수]],MATCH(E107, 몬스터계수[[#Data],[타입]],0),1)*C107,
IF(E107="체력형",INDEX(몬스터계수[[#Data],[행운계수]],MATCH(E107, 몬스터계수[[#Data],[타입]],0),1)*C107,0))))</f>
        <v>260.75</v>
      </c>
      <c r="K107" s="34">
        <f>ROUND(
(($F107)*참고!$D$5)
+(($G107)*참고!$D$6)
+(($H107)*참고!$D$7)
+(($I107)*참고!$D$8)
+(($J107))*참고!$D$9,0)</f>
        <v>40547</v>
      </c>
      <c r="L107" s="34">
        <f>ROUND(
(($F107)*참고!$E$5)
+(($G107)*참고!$E$6)
+(($H107)*참고!$E$7)
+(($I107)*참고!$E$8)
+(($J107))*참고!$E$9,0)</f>
        <v>23207</v>
      </c>
      <c r="M107" s="34">
        <f>ROUND(
(($F107)*참고!$F$5)
+(($G107)*참고!$F$6)
+(($H107)*참고!$F$7)
+(($I107)*참고!$F$8)
+(($J107))*참고!$F$9,0)</f>
        <v>6519</v>
      </c>
      <c r="N107" s="34">
        <f>ROUND(
(($F107)*참고!$G$5)
+(($G107)*참고!$G$6)
+(($H107)*참고!$G$7)
+(($I107)*참고!$G$8)
+(($J107))*참고!$G$9,0)</f>
        <v>183</v>
      </c>
      <c r="O107" s="34">
        <f>ROUND(
(($F107)*참고!$H$5)
+(($G107)*참고!$H$6)
+(($H107)*참고!$H$7)
+(($I107)*참고!$H$8)
+(($J107))*참고!$H$9,0)</f>
        <v>4302</v>
      </c>
      <c r="P107" s="34">
        <f>ROUND(
(($F107)*참고!$I$5)
+(($G107)*참고!$I$6)
+(($H107)*참고!$I$7)
+(($I107)*참고!$I$8)
+(($J107))*참고!$I$9,0)</f>
        <v>7562</v>
      </c>
      <c r="Q107" s="34">
        <f>ROUND(
(($F107)*참고!$J$5)
+(($G107)*참고!$J$6)
+(($H107)*참고!$J$7)
+(($I107)*참고!$J$8)
+(($J107))*참고!$J$9,0)</f>
        <v>5215</v>
      </c>
      <c r="R107" s="34">
        <f>IF(E107="공격형",(INDEX(몬스터계수[[#Data],[속도]],MATCH(E107, 몬스터계수[[#Data],[타입]],0),1)*속도핸들러_곱계수)*(INT(몬스터밸런스[[#This Row],[Lv]]/속도핸들러_합계수+1)),
IF(E107="방어형",(INDEX(몬스터계수[[#Data],[속도]],MATCH(E107, 몬스터계수[[#Data],[타입]],0),1)*속도핸들러_곱계수)*(INT(몬스터밸런스[[#This Row],[Lv]]/속도핸들러_합계수+1)),
IF(E107="회피형",(INDEX(몬스터계수[[#Data],[속도]],MATCH(E107, 몬스터계수[[#Data],[타입]],0),1)*속도핸들러_곱계수)*(INT(몬스터밸런스[[#This Row],[Lv]]/속도핸들러_합계수+1)),
IF(E107="기본형",(INDEX(몬스터계수[[#Data],[속도]],MATCH(E107, 몬스터계수[[#Data],[타입]],0),1)*속도핸들러_곱계수)*(INT(몬스터밸런스[[#This Row],[Lv]]/속도핸들러_합계수+1)),0))))</f>
        <v>0</v>
      </c>
      <c r="S107">
        <f t="shared" si="4"/>
        <v>1392121</v>
      </c>
      <c r="U107">
        <v>1</v>
      </c>
      <c r="V107">
        <v>105</v>
      </c>
      <c r="W107">
        <f>$Z$1*몬스터밸런스9[[#This Row],[단계]]</f>
        <v>5</v>
      </c>
      <c r="X107" t="s">
        <v>49</v>
      </c>
      <c r="AE107" s="34"/>
      <c r="AF107" s="34"/>
      <c r="AG107" s="34"/>
      <c r="AH107" s="34">
        <f>몬스터밸런스[[#This Row],[CriticalRate]]</f>
        <v>183</v>
      </c>
      <c r="AI107" s="34"/>
      <c r="AJ107" s="34"/>
      <c r="AK107" s="34"/>
      <c r="AL107">
        <f t="shared" si="5"/>
        <v>91.5</v>
      </c>
    </row>
    <row r="108" spans="1:38">
      <c r="A108">
        <v>1050</v>
      </c>
      <c r="B108">
        <v>106</v>
      </c>
      <c r="C108">
        <f>$F$1*몬스터밸런스[[#This Row],[Lv]]+15</f>
        <v>5265</v>
      </c>
      <c r="E108" t="s">
        <v>479</v>
      </c>
      <c r="F108">
        <f>IF(E108="공격형",INDEX(몬스터계수[[#Data],[생명계수]],MATCH(E108,몬스터계수[[#Data],[타입]],0),1)*C108,
IF(E108="방어형",INDEX(몬스터계수[[#Data],[생명계수]],MATCH(E108,몬스터계수[[#Data],[타입]],0),1)*C108,
IF(E108="회피형",INDEX(몬스터계수[[#Data],[생명계수]],MATCH(E108,몬스터계수[[#Data],[타입]],0),1)*C108,
IF(E108="체력형",INDEX(몬스터계수[[#Data],[생명계수]],MATCH(E108,몬스터계수[[#Data],[타입]],0),1)*C108,0))))*IF(몬스터밸런스[[#This Row],[보스]]=TRUE,2,1)</f>
        <v>2632.5</v>
      </c>
      <c r="G108">
        <f>IF(E108="공격형",INDEX(몬스터계수[[#Data],[힘계수]],MATCH(E108, 몬스터계수[[#Data],[타입]],0),1)*C108,
IF(E108="방어형",INDEX(몬스터계수[[#Data],[힘계수]],MATCH(E108, 몬스터계수[[#Data],[타입]],0),1)*C108,
IF(E108="회피형",INDEX(몬스터계수[[#Data],[힘계수]],MATCH(E108, 몬스터계수[[#Data],[타입]],0),1)*C108,
IF(E108="체력형",INDEX(몬스터계수[[#Data],[힘계수]],MATCH(E108, 몬스터계수[[#Data],[타입]],0),1)*C108,0))))</f>
        <v>1316.25</v>
      </c>
      <c r="H108">
        <f>IF(E108="공격형",INDEX(몬스터계수[[#Data],[근력게수]],MATCH(E108,몬스터계수[[#Data],[타입]],0),1)*C108,
IF(E108="방어형",INDEX(몬스터계수[[#Data],[근력게수]],MATCH(E108,몬스터계수[[#Data],[타입]],0),1)*C108,
IF(E108="회피형",INDEX(몬스터계수[[#Data],[근력게수]],MATCH(E108,몬스터계수[[#Data],[타입]],0),1)*C108,
IF(E108="체력형",INDEX(몬스터계수[[#Data],[근력게수]],MATCH(E108,몬스터계수[[#Data],[타입]],0),1)*C108,0))))</f>
        <v>263.25</v>
      </c>
      <c r="I108">
        <f>IF(E108="공격형",INDEX(몬스터계수[[#Data],[숙련도계수]],MATCH(E108,몬스터계수[[#Data],[타입]],0),1)*C108,
IF(E108="방어형",INDEX(몬스터계수[[#Data],[숙련도계수]],MATCH(E108,몬스터계수[[#Data],[타입]],0),1)*C108,
IF(E108="회피형",INDEX(몬스터계수[[#Data],[숙련도계수]],MATCH(E108,몬스터계수[[#Data],[타입]],0),1)*C108,
IF(E108="체력형",INDEX(몬스터계수[[#Data],[숙련도계수]],MATCH(E108,몬스터계수[[#Data],[타입]],0),1)*C108,0))))</f>
        <v>789.75</v>
      </c>
      <c r="J108">
        <f>IF(E108="공격형",INDEX(몬스터계수[[#Data],[행운계수]],MATCH(E108, 몬스터계수[[#Data],[타입]],0),1)*C108,
IF(E108="방어형",INDEX(몬스터계수[[#Data],[행운계수]],MATCH(E108, 몬스터계수[[#Data],[타입]],0),1)*C108,
IF(E108="회피형",INDEX(몬스터계수[[#Data],[행운계수]],MATCH(E108, 몬스터계수[[#Data],[타입]],0),1)*C108,
IF(E108="체력형",INDEX(몬스터계수[[#Data],[행운계수]],MATCH(E108, 몬스터계수[[#Data],[타입]],0),1)*C108,0))))</f>
        <v>263.25</v>
      </c>
      <c r="K108" s="34">
        <f>ROUND(
(($F108)*참고!$D$5)
+(($G108)*참고!$D$6)
+(($H108)*참고!$D$7)
+(($I108)*참고!$D$8)
+(($J108))*참고!$D$9,0)</f>
        <v>40935</v>
      </c>
      <c r="L108" s="34">
        <f>ROUND(
(($F108)*참고!$E$5)
+(($G108)*참고!$E$6)
+(($H108)*참고!$E$7)
+(($I108)*참고!$E$8)
+(($J108))*참고!$E$9,0)</f>
        <v>23429</v>
      </c>
      <c r="M108" s="34">
        <f>ROUND(
(($F108)*참고!$F$5)
+(($G108)*참고!$F$6)
+(($H108)*참고!$F$7)
+(($I108)*참고!$F$8)
+(($J108))*참고!$F$9,0)</f>
        <v>6581</v>
      </c>
      <c r="N108" s="34">
        <f>ROUND(
(($F108)*참고!$G$5)
+(($G108)*참고!$G$6)
+(($H108)*참고!$G$7)
+(($I108)*참고!$G$8)
+(($J108))*참고!$G$9,0)</f>
        <v>184</v>
      </c>
      <c r="O108" s="34">
        <f>ROUND(
(($F108)*참고!$H$5)
+(($G108)*참고!$H$6)
+(($H108)*참고!$H$7)
+(($I108)*참고!$H$8)
+(($J108))*참고!$H$9,0)</f>
        <v>4344</v>
      </c>
      <c r="P108" s="34">
        <f>ROUND(
(($F108)*참고!$I$5)
+(($G108)*참고!$I$6)
+(($H108)*참고!$I$7)
+(($I108)*참고!$I$8)
+(($J108))*참고!$I$9,0)</f>
        <v>7634</v>
      </c>
      <c r="Q108" s="34">
        <f>ROUND(
(($F108)*참고!$J$5)
+(($G108)*참고!$J$6)
+(($H108)*참고!$J$7)
+(($I108)*참고!$J$8)
+(($J108))*참고!$J$9,0)</f>
        <v>5265</v>
      </c>
      <c r="R108" s="34">
        <f>IF(E108="공격형",(INDEX(몬스터계수[[#Data],[속도]],MATCH(E108, 몬스터계수[[#Data],[타입]],0),1)*속도핸들러_곱계수)*(INT(몬스터밸런스[[#This Row],[Lv]]/속도핸들러_합계수+1)),
IF(E108="방어형",(INDEX(몬스터계수[[#Data],[속도]],MATCH(E108, 몬스터계수[[#Data],[타입]],0),1)*속도핸들러_곱계수)*(INT(몬스터밸런스[[#This Row],[Lv]]/속도핸들러_합계수+1)),
IF(E108="회피형",(INDEX(몬스터계수[[#Data],[속도]],MATCH(E108, 몬스터계수[[#Data],[타입]],0),1)*속도핸들러_곱계수)*(INT(몬스터밸런스[[#This Row],[Lv]]/속도핸들러_합계수+1)),
IF(E108="기본형",(INDEX(몬스터계수[[#Data],[속도]],MATCH(E108, 몬스터계수[[#Data],[타입]],0),1)*속도핸들러_곱계수)*(INT(몬스터밸런스[[#This Row],[Lv]]/속도핸들러_합계수+1)),0))))</f>
        <v>0</v>
      </c>
      <c r="S108">
        <f t="shared" si="4"/>
        <v>1405436.5</v>
      </c>
      <c r="U108">
        <v>2</v>
      </c>
      <c r="V108">
        <v>106</v>
      </c>
      <c r="W108">
        <f>$Z$1*몬스터밸런스9[[#This Row],[단계]]</f>
        <v>10</v>
      </c>
      <c r="X108" t="s">
        <v>49</v>
      </c>
      <c r="AE108" s="34"/>
      <c r="AF108" s="34"/>
      <c r="AG108" s="34"/>
      <c r="AH108" s="34"/>
      <c r="AI108" s="34">
        <f>몬스터밸런스[[#This Row],[CriticalDamage]]</f>
        <v>4344</v>
      </c>
      <c r="AJ108" s="34"/>
      <c r="AK108" s="34"/>
      <c r="AL108">
        <f t="shared" si="5"/>
        <v>19548</v>
      </c>
    </row>
    <row r="109" spans="1:38">
      <c r="A109">
        <v>1060</v>
      </c>
      <c r="B109">
        <v>107</v>
      </c>
      <c r="C109">
        <f>$F$1*몬스터밸런스[[#This Row],[Lv]]+15</f>
        <v>5315</v>
      </c>
      <c r="E109" t="s">
        <v>479</v>
      </c>
      <c r="F109">
        <f>IF(E109="공격형",INDEX(몬스터계수[[#Data],[생명계수]],MATCH(E109,몬스터계수[[#Data],[타입]],0),1)*C109,
IF(E109="방어형",INDEX(몬스터계수[[#Data],[생명계수]],MATCH(E109,몬스터계수[[#Data],[타입]],0),1)*C109,
IF(E109="회피형",INDEX(몬스터계수[[#Data],[생명계수]],MATCH(E109,몬스터계수[[#Data],[타입]],0),1)*C109,
IF(E109="체력형",INDEX(몬스터계수[[#Data],[생명계수]],MATCH(E109,몬스터계수[[#Data],[타입]],0),1)*C109,0))))*IF(몬스터밸런스[[#This Row],[보스]]=TRUE,2,1)</f>
        <v>2657.5</v>
      </c>
      <c r="G109">
        <f>IF(E109="공격형",INDEX(몬스터계수[[#Data],[힘계수]],MATCH(E109, 몬스터계수[[#Data],[타입]],0),1)*C109,
IF(E109="방어형",INDEX(몬스터계수[[#Data],[힘계수]],MATCH(E109, 몬스터계수[[#Data],[타입]],0),1)*C109,
IF(E109="회피형",INDEX(몬스터계수[[#Data],[힘계수]],MATCH(E109, 몬스터계수[[#Data],[타입]],0),1)*C109,
IF(E109="체력형",INDEX(몬스터계수[[#Data],[힘계수]],MATCH(E109, 몬스터계수[[#Data],[타입]],0),1)*C109,0))))</f>
        <v>1328.75</v>
      </c>
      <c r="H109">
        <f>IF(E109="공격형",INDEX(몬스터계수[[#Data],[근력게수]],MATCH(E109,몬스터계수[[#Data],[타입]],0),1)*C109,
IF(E109="방어형",INDEX(몬스터계수[[#Data],[근력게수]],MATCH(E109,몬스터계수[[#Data],[타입]],0),1)*C109,
IF(E109="회피형",INDEX(몬스터계수[[#Data],[근력게수]],MATCH(E109,몬스터계수[[#Data],[타입]],0),1)*C109,
IF(E109="체력형",INDEX(몬스터계수[[#Data],[근력게수]],MATCH(E109,몬스터계수[[#Data],[타입]],0),1)*C109,0))))</f>
        <v>265.75</v>
      </c>
      <c r="I109">
        <f>IF(E109="공격형",INDEX(몬스터계수[[#Data],[숙련도계수]],MATCH(E109,몬스터계수[[#Data],[타입]],0),1)*C109,
IF(E109="방어형",INDEX(몬스터계수[[#Data],[숙련도계수]],MATCH(E109,몬스터계수[[#Data],[타입]],0),1)*C109,
IF(E109="회피형",INDEX(몬스터계수[[#Data],[숙련도계수]],MATCH(E109,몬스터계수[[#Data],[타입]],0),1)*C109,
IF(E109="체력형",INDEX(몬스터계수[[#Data],[숙련도계수]],MATCH(E109,몬스터계수[[#Data],[타입]],0),1)*C109,0))))</f>
        <v>797.25</v>
      </c>
      <c r="J109">
        <f>IF(E109="공격형",INDEX(몬스터계수[[#Data],[행운계수]],MATCH(E109, 몬스터계수[[#Data],[타입]],0),1)*C109,
IF(E109="방어형",INDEX(몬스터계수[[#Data],[행운계수]],MATCH(E109, 몬스터계수[[#Data],[타입]],0),1)*C109,
IF(E109="회피형",INDEX(몬스터계수[[#Data],[행운계수]],MATCH(E109, 몬스터계수[[#Data],[타입]],0),1)*C109,
IF(E109="체력형",INDEX(몬스터계수[[#Data],[행운계수]],MATCH(E109, 몬스터계수[[#Data],[타입]],0),1)*C109,0))))</f>
        <v>265.75</v>
      </c>
      <c r="K109" s="34">
        <f>ROUND(
(($F109)*참고!$D$5)
+(($G109)*참고!$D$6)
+(($H109)*참고!$D$7)
+(($I109)*참고!$D$8)
+(($J109))*참고!$D$9,0)</f>
        <v>41324</v>
      </c>
      <c r="L109" s="34">
        <f>ROUND(
(($F109)*참고!$E$5)
+(($G109)*참고!$E$6)
+(($H109)*참고!$E$7)
+(($I109)*참고!$E$8)
+(($J109))*참고!$E$9,0)</f>
        <v>23652</v>
      </c>
      <c r="M109" s="34">
        <f>ROUND(
(($F109)*참고!$F$5)
+(($G109)*참고!$F$6)
+(($H109)*참고!$F$7)
+(($I109)*참고!$F$8)
+(($J109))*참고!$F$9,0)</f>
        <v>6644</v>
      </c>
      <c r="N109" s="34">
        <f>ROUND(
(($F109)*참고!$G$5)
+(($G109)*참고!$G$6)
+(($H109)*참고!$G$7)
+(($I109)*참고!$G$8)
+(($J109))*참고!$G$9,0)</f>
        <v>186</v>
      </c>
      <c r="O109" s="34">
        <f>ROUND(
(($F109)*참고!$H$5)
+(($G109)*참고!$H$6)
+(($H109)*참고!$H$7)
+(($I109)*참고!$H$8)
+(($J109))*참고!$H$9,0)</f>
        <v>4385</v>
      </c>
      <c r="P109" s="34">
        <f>ROUND(
(($F109)*참고!$I$5)
+(($G109)*참고!$I$6)
+(($H109)*참고!$I$7)
+(($I109)*참고!$I$8)
+(($J109))*참고!$I$9,0)</f>
        <v>7707</v>
      </c>
      <c r="Q109" s="34">
        <f>ROUND(
(($F109)*참고!$J$5)
+(($G109)*참고!$J$6)
+(($H109)*참고!$J$7)
+(($I109)*참고!$J$8)
+(($J109))*참고!$J$9,0)</f>
        <v>5315</v>
      </c>
      <c r="R109" s="34">
        <f>IF(E109="공격형",(INDEX(몬스터계수[[#Data],[속도]],MATCH(E109, 몬스터계수[[#Data],[타입]],0),1)*속도핸들러_곱계수)*(INT(몬스터밸런스[[#This Row],[Lv]]/속도핸들러_합계수+1)),
IF(E109="방어형",(INDEX(몬스터계수[[#Data],[속도]],MATCH(E109, 몬스터계수[[#Data],[타입]],0),1)*속도핸들러_곱계수)*(INT(몬스터밸런스[[#This Row],[Lv]]/속도핸들러_합계수+1)),
IF(E109="회피형",(INDEX(몬스터계수[[#Data],[속도]],MATCH(E109, 몬스터계수[[#Data],[타입]],0),1)*속도핸들러_곱계수)*(INT(몬스터밸런스[[#This Row],[Lv]]/속도핸들러_합계수+1)),
IF(E109="기본형",(INDEX(몬스터계수[[#Data],[속도]],MATCH(E109, 몬스터계수[[#Data],[타입]],0),1)*속도핸들러_곱계수)*(INT(몬스터밸런스[[#This Row],[Lv]]/속도핸들러_합계수+1)),0))))</f>
        <v>0</v>
      </c>
      <c r="S109">
        <f t="shared" si="4"/>
        <v>1418808.5</v>
      </c>
      <c r="U109">
        <v>2</v>
      </c>
      <c r="V109">
        <v>107</v>
      </c>
      <c r="W109">
        <f>$Z$1*몬스터밸런스9[[#This Row],[단계]]</f>
        <v>10</v>
      </c>
      <c r="X109" t="s">
        <v>49</v>
      </c>
      <c r="AE109" s="34"/>
      <c r="AF109" s="34"/>
      <c r="AG109" s="34"/>
      <c r="AH109" s="34">
        <f>몬스터밸런스[[#This Row],[CriticalRate]]</f>
        <v>186</v>
      </c>
      <c r="AI109" s="34"/>
      <c r="AJ109" s="34"/>
      <c r="AK109" s="34"/>
      <c r="AL109">
        <f t="shared" si="5"/>
        <v>93</v>
      </c>
    </row>
    <row r="110" spans="1:38">
      <c r="A110">
        <v>1070</v>
      </c>
      <c r="B110">
        <v>108</v>
      </c>
      <c r="C110">
        <f>$F$1*몬스터밸런스[[#This Row],[Lv]]+15</f>
        <v>5365</v>
      </c>
      <c r="E110" t="s">
        <v>479</v>
      </c>
      <c r="F110">
        <f>IF(E110="공격형",INDEX(몬스터계수[[#Data],[생명계수]],MATCH(E110,몬스터계수[[#Data],[타입]],0),1)*C110,
IF(E110="방어형",INDEX(몬스터계수[[#Data],[생명계수]],MATCH(E110,몬스터계수[[#Data],[타입]],0),1)*C110,
IF(E110="회피형",INDEX(몬스터계수[[#Data],[생명계수]],MATCH(E110,몬스터계수[[#Data],[타입]],0),1)*C110,
IF(E110="체력형",INDEX(몬스터계수[[#Data],[생명계수]],MATCH(E110,몬스터계수[[#Data],[타입]],0),1)*C110,0))))*IF(몬스터밸런스[[#This Row],[보스]]=TRUE,2,1)</f>
        <v>2682.5</v>
      </c>
      <c r="G110">
        <f>IF(E110="공격형",INDEX(몬스터계수[[#Data],[힘계수]],MATCH(E110, 몬스터계수[[#Data],[타입]],0),1)*C110,
IF(E110="방어형",INDEX(몬스터계수[[#Data],[힘계수]],MATCH(E110, 몬스터계수[[#Data],[타입]],0),1)*C110,
IF(E110="회피형",INDEX(몬스터계수[[#Data],[힘계수]],MATCH(E110, 몬스터계수[[#Data],[타입]],0),1)*C110,
IF(E110="체력형",INDEX(몬스터계수[[#Data],[힘계수]],MATCH(E110, 몬스터계수[[#Data],[타입]],0),1)*C110,0))))</f>
        <v>1341.25</v>
      </c>
      <c r="H110">
        <f>IF(E110="공격형",INDEX(몬스터계수[[#Data],[근력게수]],MATCH(E110,몬스터계수[[#Data],[타입]],0),1)*C110,
IF(E110="방어형",INDEX(몬스터계수[[#Data],[근력게수]],MATCH(E110,몬스터계수[[#Data],[타입]],0),1)*C110,
IF(E110="회피형",INDEX(몬스터계수[[#Data],[근력게수]],MATCH(E110,몬스터계수[[#Data],[타입]],0),1)*C110,
IF(E110="체력형",INDEX(몬스터계수[[#Data],[근력게수]],MATCH(E110,몬스터계수[[#Data],[타입]],0),1)*C110,0))))</f>
        <v>268.25</v>
      </c>
      <c r="I110">
        <f>IF(E110="공격형",INDEX(몬스터계수[[#Data],[숙련도계수]],MATCH(E110,몬스터계수[[#Data],[타입]],0),1)*C110,
IF(E110="방어형",INDEX(몬스터계수[[#Data],[숙련도계수]],MATCH(E110,몬스터계수[[#Data],[타입]],0),1)*C110,
IF(E110="회피형",INDEX(몬스터계수[[#Data],[숙련도계수]],MATCH(E110,몬스터계수[[#Data],[타입]],0),1)*C110,
IF(E110="체력형",INDEX(몬스터계수[[#Data],[숙련도계수]],MATCH(E110,몬스터계수[[#Data],[타입]],0),1)*C110,0))))</f>
        <v>804.75</v>
      </c>
      <c r="J110">
        <f>IF(E110="공격형",INDEX(몬스터계수[[#Data],[행운계수]],MATCH(E110, 몬스터계수[[#Data],[타입]],0),1)*C110,
IF(E110="방어형",INDEX(몬스터계수[[#Data],[행운계수]],MATCH(E110, 몬스터계수[[#Data],[타입]],0),1)*C110,
IF(E110="회피형",INDEX(몬스터계수[[#Data],[행운계수]],MATCH(E110, 몬스터계수[[#Data],[타입]],0),1)*C110,
IF(E110="체력형",INDEX(몬스터계수[[#Data],[행운계수]],MATCH(E110, 몬스터계수[[#Data],[타입]],0),1)*C110,0))))</f>
        <v>268.25</v>
      </c>
      <c r="K110" s="34">
        <f>ROUND(
(($F110)*참고!$D$5)
+(($G110)*참고!$D$6)
+(($H110)*참고!$D$7)
+(($I110)*참고!$D$8)
+(($J110))*참고!$D$9,0)</f>
        <v>41713</v>
      </c>
      <c r="L110" s="34">
        <f>ROUND(
(($F110)*참고!$E$5)
+(($G110)*참고!$E$6)
+(($H110)*참고!$E$7)
+(($I110)*참고!$E$8)
+(($J110))*참고!$E$9,0)</f>
        <v>23874</v>
      </c>
      <c r="M110" s="34">
        <f>ROUND(
(($F110)*참고!$F$5)
+(($G110)*참고!$F$6)
+(($H110)*참고!$F$7)
+(($I110)*참고!$F$8)
+(($J110))*참고!$F$9,0)</f>
        <v>6706</v>
      </c>
      <c r="N110" s="34">
        <f>ROUND(
(($F110)*참고!$G$5)
+(($G110)*참고!$G$6)
+(($H110)*참고!$G$7)
+(($I110)*참고!$G$8)
+(($J110))*참고!$G$9,0)</f>
        <v>188</v>
      </c>
      <c r="O110" s="34">
        <f>ROUND(
(($F110)*참고!$H$5)
+(($G110)*참고!$H$6)
+(($H110)*참고!$H$7)
+(($I110)*참고!$H$8)
+(($J110))*참고!$H$9,0)</f>
        <v>4426</v>
      </c>
      <c r="P110" s="34">
        <f>ROUND(
(($F110)*참고!$I$5)
+(($G110)*참고!$I$6)
+(($H110)*참고!$I$7)
+(($I110)*참고!$I$8)
+(($J110))*참고!$I$9,0)</f>
        <v>7779</v>
      </c>
      <c r="Q110" s="34">
        <f>ROUND(
(($F110)*참고!$J$5)
+(($G110)*참고!$J$6)
+(($H110)*참고!$J$7)
+(($I110)*참고!$J$8)
+(($J110))*참고!$J$9,0)</f>
        <v>5365</v>
      </c>
      <c r="R110" s="34">
        <f>IF(E110="공격형",(INDEX(몬스터계수[[#Data],[속도]],MATCH(E110, 몬스터계수[[#Data],[타입]],0),1)*속도핸들러_곱계수)*(INT(몬스터밸런스[[#This Row],[Lv]]/속도핸들러_합계수+1)),
IF(E110="방어형",(INDEX(몬스터계수[[#Data],[속도]],MATCH(E110, 몬스터계수[[#Data],[타입]],0),1)*속도핸들러_곱계수)*(INT(몬스터밸런스[[#This Row],[Lv]]/속도핸들러_합계수+1)),
IF(E110="회피형",(INDEX(몬스터계수[[#Data],[속도]],MATCH(E110, 몬스터계수[[#Data],[타입]],0),1)*속도핸들러_곱계수)*(INT(몬스터밸런스[[#This Row],[Lv]]/속도핸들러_합계수+1)),
IF(E110="기본형",(INDEX(몬스터계수[[#Data],[속도]],MATCH(E110, 몬스터계수[[#Data],[타입]],0),1)*속도핸들러_곱계수)*(INT(몬스터밸런스[[#This Row],[Lv]]/속도핸들러_합계수+1)),0))))</f>
        <v>0</v>
      </c>
      <c r="S110">
        <f t="shared" si="4"/>
        <v>1432137.5</v>
      </c>
      <c r="U110">
        <v>2</v>
      </c>
      <c r="V110">
        <v>108</v>
      </c>
      <c r="W110">
        <f>$Z$1*몬스터밸런스9[[#This Row],[단계]]</f>
        <v>10</v>
      </c>
      <c r="X110" t="s">
        <v>49</v>
      </c>
      <c r="AE110" s="34"/>
      <c r="AF110" s="34"/>
      <c r="AG110" s="34"/>
      <c r="AH110" s="34"/>
      <c r="AI110" s="34">
        <f>몬스터밸런스[[#This Row],[CriticalDamage]]</f>
        <v>4426</v>
      </c>
      <c r="AJ110" s="34"/>
      <c r="AK110" s="34"/>
      <c r="AL110">
        <f t="shared" si="5"/>
        <v>19917</v>
      </c>
    </row>
    <row r="111" spans="1:38">
      <c r="A111">
        <v>1080</v>
      </c>
      <c r="B111">
        <v>109</v>
      </c>
      <c r="C111">
        <f>$F$1*몬스터밸런스[[#This Row],[Lv]]+15</f>
        <v>5415</v>
      </c>
      <c r="E111" t="s">
        <v>479</v>
      </c>
      <c r="F111">
        <f>IF(E111="공격형",INDEX(몬스터계수[[#Data],[생명계수]],MATCH(E111,몬스터계수[[#Data],[타입]],0),1)*C111,
IF(E111="방어형",INDEX(몬스터계수[[#Data],[생명계수]],MATCH(E111,몬스터계수[[#Data],[타입]],0),1)*C111,
IF(E111="회피형",INDEX(몬스터계수[[#Data],[생명계수]],MATCH(E111,몬스터계수[[#Data],[타입]],0),1)*C111,
IF(E111="체력형",INDEX(몬스터계수[[#Data],[생명계수]],MATCH(E111,몬스터계수[[#Data],[타입]],0),1)*C111,0))))*IF(몬스터밸런스[[#This Row],[보스]]=TRUE,2,1)</f>
        <v>2707.5</v>
      </c>
      <c r="G111">
        <f>IF(E111="공격형",INDEX(몬스터계수[[#Data],[힘계수]],MATCH(E111, 몬스터계수[[#Data],[타입]],0),1)*C111,
IF(E111="방어형",INDEX(몬스터계수[[#Data],[힘계수]],MATCH(E111, 몬스터계수[[#Data],[타입]],0),1)*C111,
IF(E111="회피형",INDEX(몬스터계수[[#Data],[힘계수]],MATCH(E111, 몬스터계수[[#Data],[타입]],0),1)*C111,
IF(E111="체력형",INDEX(몬스터계수[[#Data],[힘계수]],MATCH(E111, 몬스터계수[[#Data],[타입]],0),1)*C111,0))))</f>
        <v>1353.75</v>
      </c>
      <c r="H111">
        <f>IF(E111="공격형",INDEX(몬스터계수[[#Data],[근력게수]],MATCH(E111,몬스터계수[[#Data],[타입]],0),1)*C111,
IF(E111="방어형",INDEX(몬스터계수[[#Data],[근력게수]],MATCH(E111,몬스터계수[[#Data],[타입]],0),1)*C111,
IF(E111="회피형",INDEX(몬스터계수[[#Data],[근력게수]],MATCH(E111,몬스터계수[[#Data],[타입]],0),1)*C111,
IF(E111="체력형",INDEX(몬스터계수[[#Data],[근력게수]],MATCH(E111,몬스터계수[[#Data],[타입]],0),1)*C111,0))))</f>
        <v>270.75</v>
      </c>
      <c r="I111">
        <f>IF(E111="공격형",INDEX(몬스터계수[[#Data],[숙련도계수]],MATCH(E111,몬스터계수[[#Data],[타입]],0),1)*C111,
IF(E111="방어형",INDEX(몬스터계수[[#Data],[숙련도계수]],MATCH(E111,몬스터계수[[#Data],[타입]],0),1)*C111,
IF(E111="회피형",INDEX(몬스터계수[[#Data],[숙련도계수]],MATCH(E111,몬스터계수[[#Data],[타입]],0),1)*C111,
IF(E111="체력형",INDEX(몬스터계수[[#Data],[숙련도계수]],MATCH(E111,몬스터계수[[#Data],[타입]],0),1)*C111,0))))</f>
        <v>812.25</v>
      </c>
      <c r="J111">
        <f>IF(E111="공격형",INDEX(몬스터계수[[#Data],[행운계수]],MATCH(E111, 몬스터계수[[#Data],[타입]],0),1)*C111,
IF(E111="방어형",INDEX(몬스터계수[[#Data],[행운계수]],MATCH(E111, 몬스터계수[[#Data],[타입]],0),1)*C111,
IF(E111="회피형",INDEX(몬스터계수[[#Data],[행운계수]],MATCH(E111, 몬스터계수[[#Data],[타입]],0),1)*C111,
IF(E111="체력형",INDEX(몬스터계수[[#Data],[행운계수]],MATCH(E111, 몬스터계수[[#Data],[타입]],0),1)*C111,0))))</f>
        <v>270.75</v>
      </c>
      <c r="K111" s="34">
        <f>ROUND(
(($F111)*참고!$D$5)
+(($G111)*참고!$D$6)
+(($H111)*참고!$D$7)
+(($I111)*참고!$D$8)
+(($J111))*참고!$D$9,0)</f>
        <v>42102</v>
      </c>
      <c r="L111" s="34">
        <f>ROUND(
(($F111)*참고!$E$5)
+(($G111)*참고!$E$6)
+(($H111)*참고!$E$7)
+(($I111)*참고!$E$8)
+(($J111))*참고!$E$9,0)</f>
        <v>24097</v>
      </c>
      <c r="M111" s="34">
        <f>ROUND(
(($F111)*참고!$F$5)
+(($G111)*참고!$F$6)
+(($H111)*참고!$F$7)
+(($I111)*참고!$F$8)
+(($J111))*참고!$F$9,0)</f>
        <v>6769</v>
      </c>
      <c r="N111" s="34">
        <f>ROUND(
(($F111)*참고!$G$5)
+(($G111)*참고!$G$6)
+(($H111)*참고!$G$7)
+(($I111)*참고!$G$8)
+(($J111))*참고!$G$9,0)</f>
        <v>190</v>
      </c>
      <c r="O111" s="34">
        <f>ROUND(
(($F111)*참고!$H$5)
+(($G111)*참고!$H$6)
+(($H111)*참고!$H$7)
+(($I111)*참고!$H$8)
+(($J111))*참고!$H$9,0)</f>
        <v>4467</v>
      </c>
      <c r="P111" s="34">
        <f>ROUND(
(($F111)*참고!$I$5)
+(($G111)*참고!$I$6)
+(($H111)*참고!$I$7)
+(($I111)*참고!$I$8)
+(($J111))*참고!$I$9,0)</f>
        <v>7852</v>
      </c>
      <c r="Q111" s="34">
        <f>ROUND(
(($F111)*참고!$J$5)
+(($G111)*참고!$J$6)
+(($H111)*참고!$J$7)
+(($I111)*참고!$J$8)
+(($J111))*참고!$J$9,0)</f>
        <v>5415</v>
      </c>
      <c r="R111" s="34">
        <f>IF(E111="공격형",(INDEX(몬스터계수[[#Data],[속도]],MATCH(E111, 몬스터계수[[#Data],[타입]],0),1)*속도핸들러_곱계수)*(INT(몬스터밸런스[[#This Row],[Lv]]/속도핸들러_합계수+1)),
IF(E111="방어형",(INDEX(몬스터계수[[#Data],[속도]],MATCH(E111, 몬스터계수[[#Data],[타입]],0),1)*속도핸들러_곱계수)*(INT(몬스터밸런스[[#This Row],[Lv]]/속도핸들러_합계수+1)),
IF(E111="회피형",(INDEX(몬스터계수[[#Data],[속도]],MATCH(E111, 몬스터계수[[#Data],[타입]],0),1)*속도핸들러_곱계수)*(INT(몬스터밸런스[[#This Row],[Lv]]/속도핸들러_합계수+1)),
IF(E111="기본형",(INDEX(몬스터계수[[#Data],[속도]],MATCH(E111, 몬스터계수[[#Data],[타입]],0),1)*속도핸들러_곱계수)*(INT(몬스터밸런스[[#This Row],[Lv]]/속도핸들러_합계수+1)),0))))</f>
        <v>0</v>
      </c>
      <c r="S111">
        <f t="shared" si="4"/>
        <v>1445509.5</v>
      </c>
      <c r="U111">
        <v>2</v>
      </c>
      <c r="V111">
        <v>109</v>
      </c>
      <c r="W111">
        <f>$Z$1*몬스터밸런스9[[#This Row],[단계]]</f>
        <v>10</v>
      </c>
      <c r="X111" t="s">
        <v>49</v>
      </c>
      <c r="AE111" s="34"/>
      <c r="AF111" s="34"/>
      <c r="AG111" s="34"/>
      <c r="AH111" s="34"/>
      <c r="AI111" s="34">
        <f>몬스터밸런스[[#This Row],[CriticalDamage]]</f>
        <v>4467</v>
      </c>
      <c r="AJ111" s="34"/>
      <c r="AK111" s="34"/>
      <c r="AL111">
        <f t="shared" si="5"/>
        <v>20101.5</v>
      </c>
    </row>
    <row r="112" spans="1:38">
      <c r="A112">
        <v>1090</v>
      </c>
      <c r="B112">
        <v>110</v>
      </c>
      <c r="C112">
        <f>$F$1*몬스터밸런스[[#This Row],[Lv]]+15</f>
        <v>5465</v>
      </c>
      <c r="E112" t="s">
        <v>479</v>
      </c>
      <c r="F112">
        <f>IF(E112="공격형",INDEX(몬스터계수[[#Data],[생명계수]],MATCH(E112,몬스터계수[[#Data],[타입]],0),1)*C112,
IF(E112="방어형",INDEX(몬스터계수[[#Data],[생명계수]],MATCH(E112,몬스터계수[[#Data],[타입]],0),1)*C112,
IF(E112="회피형",INDEX(몬스터계수[[#Data],[생명계수]],MATCH(E112,몬스터계수[[#Data],[타입]],0),1)*C112,
IF(E112="체력형",INDEX(몬스터계수[[#Data],[생명계수]],MATCH(E112,몬스터계수[[#Data],[타입]],0),1)*C112,0))))*IF(몬스터밸런스[[#This Row],[보스]]=TRUE,2,1)</f>
        <v>2732.5</v>
      </c>
      <c r="G112">
        <f>IF(E112="공격형",INDEX(몬스터계수[[#Data],[힘계수]],MATCH(E112, 몬스터계수[[#Data],[타입]],0),1)*C112,
IF(E112="방어형",INDEX(몬스터계수[[#Data],[힘계수]],MATCH(E112, 몬스터계수[[#Data],[타입]],0),1)*C112,
IF(E112="회피형",INDEX(몬스터계수[[#Data],[힘계수]],MATCH(E112, 몬스터계수[[#Data],[타입]],0),1)*C112,
IF(E112="체력형",INDEX(몬스터계수[[#Data],[힘계수]],MATCH(E112, 몬스터계수[[#Data],[타입]],0),1)*C112,0))))</f>
        <v>1366.25</v>
      </c>
      <c r="H112">
        <f>IF(E112="공격형",INDEX(몬스터계수[[#Data],[근력게수]],MATCH(E112,몬스터계수[[#Data],[타입]],0),1)*C112,
IF(E112="방어형",INDEX(몬스터계수[[#Data],[근력게수]],MATCH(E112,몬스터계수[[#Data],[타입]],0),1)*C112,
IF(E112="회피형",INDEX(몬스터계수[[#Data],[근력게수]],MATCH(E112,몬스터계수[[#Data],[타입]],0),1)*C112,
IF(E112="체력형",INDEX(몬스터계수[[#Data],[근력게수]],MATCH(E112,몬스터계수[[#Data],[타입]],0),1)*C112,0))))</f>
        <v>273.25</v>
      </c>
      <c r="I112">
        <f>IF(E112="공격형",INDEX(몬스터계수[[#Data],[숙련도계수]],MATCH(E112,몬스터계수[[#Data],[타입]],0),1)*C112,
IF(E112="방어형",INDEX(몬스터계수[[#Data],[숙련도계수]],MATCH(E112,몬스터계수[[#Data],[타입]],0),1)*C112,
IF(E112="회피형",INDEX(몬스터계수[[#Data],[숙련도계수]],MATCH(E112,몬스터계수[[#Data],[타입]],0),1)*C112,
IF(E112="체력형",INDEX(몬스터계수[[#Data],[숙련도계수]],MATCH(E112,몬스터계수[[#Data],[타입]],0),1)*C112,0))))</f>
        <v>819.75</v>
      </c>
      <c r="J112">
        <f>IF(E112="공격형",INDEX(몬스터계수[[#Data],[행운계수]],MATCH(E112, 몬스터계수[[#Data],[타입]],0),1)*C112,
IF(E112="방어형",INDEX(몬스터계수[[#Data],[행운계수]],MATCH(E112, 몬스터계수[[#Data],[타입]],0),1)*C112,
IF(E112="회피형",INDEX(몬스터계수[[#Data],[행운계수]],MATCH(E112, 몬스터계수[[#Data],[타입]],0),1)*C112,
IF(E112="체력형",INDEX(몬스터계수[[#Data],[행운계수]],MATCH(E112, 몬스터계수[[#Data],[타입]],0),1)*C112,0))))</f>
        <v>273.25</v>
      </c>
      <c r="K112" s="34">
        <f>ROUND(
(($F112)*참고!$D$5)
+(($G112)*참고!$D$6)
+(($H112)*참고!$D$7)
+(($I112)*참고!$D$8)
+(($J112))*참고!$D$9,0)</f>
        <v>42490</v>
      </c>
      <c r="L112" s="34">
        <f>ROUND(
(($F112)*참고!$E$5)
+(($G112)*참고!$E$6)
+(($H112)*참고!$E$7)
+(($I112)*참고!$E$8)
+(($J112))*참고!$E$9,0)</f>
        <v>24319</v>
      </c>
      <c r="M112" s="34">
        <f>ROUND(
(($F112)*참고!$F$5)
+(($G112)*참고!$F$6)
+(($H112)*참고!$F$7)
+(($I112)*참고!$F$8)
+(($J112))*참고!$F$9,0)</f>
        <v>6831</v>
      </c>
      <c r="N112" s="34">
        <f>ROUND(
(($F112)*참고!$G$5)
+(($G112)*참고!$G$6)
+(($H112)*참고!$G$7)
+(($I112)*참고!$G$8)
+(($J112))*참고!$G$9,0)</f>
        <v>191</v>
      </c>
      <c r="O112" s="34">
        <f>ROUND(
(($F112)*참고!$H$5)
+(($G112)*참고!$H$6)
+(($H112)*참고!$H$7)
+(($I112)*참고!$H$8)
+(($J112))*참고!$H$9,0)</f>
        <v>4509</v>
      </c>
      <c r="P112" s="34">
        <f>ROUND(
(($F112)*참고!$I$5)
+(($G112)*참고!$I$6)
+(($H112)*참고!$I$7)
+(($I112)*참고!$I$8)
+(($J112))*참고!$I$9,0)</f>
        <v>7924</v>
      </c>
      <c r="Q112" s="34">
        <f>ROUND(
(($F112)*참고!$J$5)
+(($G112)*참고!$J$6)
+(($H112)*참고!$J$7)
+(($I112)*참고!$J$8)
+(($J112))*참고!$J$9,0)</f>
        <v>5465</v>
      </c>
      <c r="R112" s="34">
        <f>IF(E112="공격형",(INDEX(몬스터계수[[#Data],[속도]],MATCH(E112, 몬스터계수[[#Data],[타입]],0),1)*속도핸들러_곱계수)*(INT(몬스터밸런스[[#This Row],[Lv]]/속도핸들러_합계수+1)),
IF(E112="방어형",(INDEX(몬스터계수[[#Data],[속도]],MATCH(E112, 몬스터계수[[#Data],[타입]],0),1)*속도핸들러_곱계수)*(INT(몬스터밸런스[[#This Row],[Lv]]/속도핸들러_합계수+1)),
IF(E112="회피형",(INDEX(몬스터계수[[#Data],[속도]],MATCH(E112, 몬스터계수[[#Data],[타입]],0),1)*속도핸들러_곱계수)*(INT(몬스터밸런스[[#This Row],[Lv]]/속도핸들러_합계수+1)),
IF(E112="기본형",(INDEX(몬스터계수[[#Data],[속도]],MATCH(E112, 몬스터계수[[#Data],[타입]],0),1)*속도핸들러_곱계수)*(INT(몬스터밸런스[[#This Row],[Lv]]/속도핸들러_합계수+1)),0))))</f>
        <v>0</v>
      </c>
      <c r="S112">
        <f t="shared" si="4"/>
        <v>1458825</v>
      </c>
      <c r="U112">
        <v>2</v>
      </c>
      <c r="V112">
        <v>110</v>
      </c>
      <c r="W112">
        <f>$Z$1*몬스터밸런스9[[#This Row],[단계]]</f>
        <v>10</v>
      </c>
      <c r="X112" t="s">
        <v>49</v>
      </c>
      <c r="AE112" s="34"/>
      <c r="AF112" s="34"/>
      <c r="AG112" s="34"/>
      <c r="AH112" s="34">
        <f>몬스터밸런스[[#This Row],[CriticalRate]]</f>
        <v>191</v>
      </c>
      <c r="AI112" s="34"/>
      <c r="AJ112" s="34"/>
      <c r="AK112" s="34"/>
      <c r="AL112">
        <f t="shared" si="5"/>
        <v>95.5</v>
      </c>
    </row>
    <row r="113" spans="1:38">
      <c r="A113">
        <v>1100</v>
      </c>
      <c r="B113">
        <v>111</v>
      </c>
      <c r="C113">
        <f>$F$1*몬스터밸런스[[#This Row],[Lv]]+15</f>
        <v>5515</v>
      </c>
      <c r="E113" t="s">
        <v>479</v>
      </c>
      <c r="F113">
        <f>IF(E113="공격형",INDEX(몬스터계수[[#Data],[생명계수]],MATCH(E113,몬스터계수[[#Data],[타입]],0),1)*C113,
IF(E113="방어형",INDEX(몬스터계수[[#Data],[생명계수]],MATCH(E113,몬스터계수[[#Data],[타입]],0),1)*C113,
IF(E113="회피형",INDEX(몬스터계수[[#Data],[생명계수]],MATCH(E113,몬스터계수[[#Data],[타입]],0),1)*C113,
IF(E113="체력형",INDEX(몬스터계수[[#Data],[생명계수]],MATCH(E113,몬스터계수[[#Data],[타입]],0),1)*C113,0))))*IF(몬스터밸런스[[#This Row],[보스]]=TRUE,2,1)</f>
        <v>2757.5</v>
      </c>
      <c r="G113">
        <f>IF(E113="공격형",INDEX(몬스터계수[[#Data],[힘계수]],MATCH(E113, 몬스터계수[[#Data],[타입]],0),1)*C113,
IF(E113="방어형",INDEX(몬스터계수[[#Data],[힘계수]],MATCH(E113, 몬스터계수[[#Data],[타입]],0),1)*C113,
IF(E113="회피형",INDEX(몬스터계수[[#Data],[힘계수]],MATCH(E113, 몬스터계수[[#Data],[타입]],0),1)*C113,
IF(E113="체력형",INDEX(몬스터계수[[#Data],[힘계수]],MATCH(E113, 몬스터계수[[#Data],[타입]],0),1)*C113,0))))</f>
        <v>1378.75</v>
      </c>
      <c r="H113">
        <f>IF(E113="공격형",INDEX(몬스터계수[[#Data],[근력게수]],MATCH(E113,몬스터계수[[#Data],[타입]],0),1)*C113,
IF(E113="방어형",INDEX(몬스터계수[[#Data],[근력게수]],MATCH(E113,몬스터계수[[#Data],[타입]],0),1)*C113,
IF(E113="회피형",INDEX(몬스터계수[[#Data],[근력게수]],MATCH(E113,몬스터계수[[#Data],[타입]],0),1)*C113,
IF(E113="체력형",INDEX(몬스터계수[[#Data],[근력게수]],MATCH(E113,몬스터계수[[#Data],[타입]],0),1)*C113,0))))</f>
        <v>275.75</v>
      </c>
      <c r="I113">
        <f>IF(E113="공격형",INDEX(몬스터계수[[#Data],[숙련도계수]],MATCH(E113,몬스터계수[[#Data],[타입]],0),1)*C113,
IF(E113="방어형",INDEX(몬스터계수[[#Data],[숙련도계수]],MATCH(E113,몬스터계수[[#Data],[타입]],0),1)*C113,
IF(E113="회피형",INDEX(몬스터계수[[#Data],[숙련도계수]],MATCH(E113,몬스터계수[[#Data],[타입]],0),1)*C113,
IF(E113="체력형",INDEX(몬스터계수[[#Data],[숙련도계수]],MATCH(E113,몬스터계수[[#Data],[타입]],0),1)*C113,0))))</f>
        <v>827.25</v>
      </c>
      <c r="J113">
        <f>IF(E113="공격형",INDEX(몬스터계수[[#Data],[행운계수]],MATCH(E113, 몬스터계수[[#Data],[타입]],0),1)*C113,
IF(E113="방어형",INDEX(몬스터계수[[#Data],[행운계수]],MATCH(E113, 몬스터계수[[#Data],[타입]],0),1)*C113,
IF(E113="회피형",INDEX(몬스터계수[[#Data],[행운계수]],MATCH(E113, 몬스터계수[[#Data],[타입]],0),1)*C113,
IF(E113="체력형",INDEX(몬스터계수[[#Data],[행운계수]],MATCH(E113, 몬스터계수[[#Data],[타입]],0),1)*C113,0))))</f>
        <v>275.75</v>
      </c>
      <c r="K113" s="34">
        <f>ROUND(
(($F113)*참고!$D$5)
+(($G113)*참고!$D$6)
+(($H113)*참고!$D$7)
+(($I113)*참고!$D$8)
+(($J113))*참고!$D$9,0)</f>
        <v>42879</v>
      </c>
      <c r="L113" s="34">
        <f>ROUND(
(($F113)*참고!$E$5)
+(($G113)*참고!$E$6)
+(($H113)*참고!$E$7)
+(($I113)*참고!$E$8)
+(($J113))*참고!$E$9,0)</f>
        <v>24542</v>
      </c>
      <c r="M113" s="34">
        <f>ROUND(
(($F113)*참고!$F$5)
+(($G113)*참고!$F$6)
+(($H113)*참고!$F$7)
+(($I113)*참고!$F$8)
+(($J113))*참고!$F$9,0)</f>
        <v>6894</v>
      </c>
      <c r="N113" s="34">
        <f>ROUND(
(($F113)*참고!$G$5)
+(($G113)*참고!$G$6)
+(($H113)*참고!$G$7)
+(($I113)*참고!$G$8)
+(($J113))*참고!$G$9,0)</f>
        <v>193</v>
      </c>
      <c r="O113" s="34">
        <f>ROUND(
(($F113)*참고!$H$5)
+(($G113)*참고!$H$6)
+(($H113)*참고!$H$7)
+(($I113)*참고!$H$8)
+(($J113))*참고!$H$9,0)</f>
        <v>4550</v>
      </c>
      <c r="P113" s="34">
        <f>ROUND(
(($F113)*참고!$I$5)
+(($G113)*참고!$I$6)
+(($H113)*참고!$I$7)
+(($I113)*참고!$I$8)
+(($J113))*참고!$I$9,0)</f>
        <v>7997</v>
      </c>
      <c r="Q113" s="34">
        <f>ROUND(
(($F113)*참고!$J$5)
+(($G113)*참고!$J$6)
+(($H113)*참고!$J$7)
+(($I113)*참고!$J$8)
+(($J113))*참고!$J$9,0)</f>
        <v>5515</v>
      </c>
      <c r="R113" s="34">
        <f>IF(E113="공격형",(INDEX(몬스터계수[[#Data],[속도]],MATCH(E113, 몬스터계수[[#Data],[타입]],0),1)*속도핸들러_곱계수)*(INT(몬스터밸런스[[#This Row],[Lv]]/속도핸들러_합계수+1)),
IF(E113="방어형",(INDEX(몬스터계수[[#Data],[속도]],MATCH(E113, 몬스터계수[[#Data],[타입]],0),1)*속도핸들러_곱계수)*(INT(몬스터밸런스[[#This Row],[Lv]]/속도핸들러_합계수+1)),
IF(E113="회피형",(INDEX(몬스터계수[[#Data],[속도]],MATCH(E113, 몬스터계수[[#Data],[타입]],0),1)*속도핸들러_곱계수)*(INT(몬스터밸런스[[#This Row],[Lv]]/속도핸들러_합계수+1)),
IF(E113="기본형",(INDEX(몬스터계수[[#Data],[속도]],MATCH(E113, 몬스터계수[[#Data],[타입]],0),1)*속도핸들러_곱계수)*(INT(몬스터밸런스[[#This Row],[Lv]]/속도핸들러_합계수+1)),0))))</f>
        <v>0</v>
      </c>
      <c r="S113">
        <f t="shared" si="4"/>
        <v>1472197</v>
      </c>
      <c r="U113">
        <v>3</v>
      </c>
      <c r="V113">
        <v>111</v>
      </c>
      <c r="W113">
        <f>$Z$1*몬스터밸런스9[[#This Row],[단계]]</f>
        <v>15</v>
      </c>
      <c r="X113" t="s">
        <v>49</v>
      </c>
      <c r="AE113" s="34"/>
      <c r="AF113" s="34"/>
      <c r="AG113" s="34"/>
      <c r="AH113" s="34"/>
      <c r="AI113" s="34">
        <f>몬스터밸런스[[#This Row],[CriticalDamage]]</f>
        <v>4550</v>
      </c>
      <c r="AJ113" s="34"/>
      <c r="AK113" s="34"/>
      <c r="AL113">
        <f t="shared" si="5"/>
        <v>20475</v>
      </c>
    </row>
    <row r="114" spans="1:38">
      <c r="A114">
        <v>1110</v>
      </c>
      <c r="B114">
        <v>112</v>
      </c>
      <c r="C114">
        <f>$F$1*몬스터밸런스[[#This Row],[Lv]]+15</f>
        <v>5565</v>
      </c>
      <c r="E114" t="s">
        <v>479</v>
      </c>
      <c r="F114">
        <f>IF(E114="공격형",INDEX(몬스터계수[[#Data],[생명계수]],MATCH(E114,몬스터계수[[#Data],[타입]],0),1)*C114,
IF(E114="방어형",INDEX(몬스터계수[[#Data],[생명계수]],MATCH(E114,몬스터계수[[#Data],[타입]],0),1)*C114,
IF(E114="회피형",INDEX(몬스터계수[[#Data],[생명계수]],MATCH(E114,몬스터계수[[#Data],[타입]],0),1)*C114,
IF(E114="체력형",INDEX(몬스터계수[[#Data],[생명계수]],MATCH(E114,몬스터계수[[#Data],[타입]],0),1)*C114,0))))*IF(몬스터밸런스[[#This Row],[보스]]=TRUE,2,1)</f>
        <v>2782.5</v>
      </c>
      <c r="G114">
        <f>IF(E114="공격형",INDEX(몬스터계수[[#Data],[힘계수]],MATCH(E114, 몬스터계수[[#Data],[타입]],0),1)*C114,
IF(E114="방어형",INDEX(몬스터계수[[#Data],[힘계수]],MATCH(E114, 몬스터계수[[#Data],[타입]],0),1)*C114,
IF(E114="회피형",INDEX(몬스터계수[[#Data],[힘계수]],MATCH(E114, 몬스터계수[[#Data],[타입]],0),1)*C114,
IF(E114="체력형",INDEX(몬스터계수[[#Data],[힘계수]],MATCH(E114, 몬스터계수[[#Data],[타입]],0),1)*C114,0))))</f>
        <v>1391.25</v>
      </c>
      <c r="H114">
        <f>IF(E114="공격형",INDEX(몬스터계수[[#Data],[근력게수]],MATCH(E114,몬스터계수[[#Data],[타입]],0),1)*C114,
IF(E114="방어형",INDEX(몬스터계수[[#Data],[근력게수]],MATCH(E114,몬스터계수[[#Data],[타입]],0),1)*C114,
IF(E114="회피형",INDEX(몬스터계수[[#Data],[근력게수]],MATCH(E114,몬스터계수[[#Data],[타입]],0),1)*C114,
IF(E114="체력형",INDEX(몬스터계수[[#Data],[근력게수]],MATCH(E114,몬스터계수[[#Data],[타입]],0),1)*C114,0))))</f>
        <v>278.25</v>
      </c>
      <c r="I114">
        <f>IF(E114="공격형",INDEX(몬스터계수[[#Data],[숙련도계수]],MATCH(E114,몬스터계수[[#Data],[타입]],0),1)*C114,
IF(E114="방어형",INDEX(몬스터계수[[#Data],[숙련도계수]],MATCH(E114,몬스터계수[[#Data],[타입]],0),1)*C114,
IF(E114="회피형",INDEX(몬스터계수[[#Data],[숙련도계수]],MATCH(E114,몬스터계수[[#Data],[타입]],0),1)*C114,
IF(E114="체력형",INDEX(몬스터계수[[#Data],[숙련도계수]],MATCH(E114,몬스터계수[[#Data],[타입]],0),1)*C114,0))))</f>
        <v>834.75</v>
      </c>
      <c r="J114">
        <f>IF(E114="공격형",INDEX(몬스터계수[[#Data],[행운계수]],MATCH(E114, 몬스터계수[[#Data],[타입]],0),1)*C114,
IF(E114="방어형",INDEX(몬스터계수[[#Data],[행운계수]],MATCH(E114, 몬스터계수[[#Data],[타입]],0),1)*C114,
IF(E114="회피형",INDEX(몬스터계수[[#Data],[행운계수]],MATCH(E114, 몬스터계수[[#Data],[타입]],0),1)*C114,
IF(E114="체력형",INDEX(몬스터계수[[#Data],[행운계수]],MATCH(E114, 몬스터계수[[#Data],[타입]],0),1)*C114,0))))</f>
        <v>278.25</v>
      </c>
      <c r="K114" s="34">
        <f>ROUND(
(($F114)*참고!$D$5)
+(($G114)*참고!$D$6)
+(($H114)*참고!$D$7)
+(($I114)*참고!$D$8)
+(($J114))*참고!$D$9,0)</f>
        <v>43268</v>
      </c>
      <c r="L114" s="34">
        <f>ROUND(
(($F114)*참고!$E$5)
+(($G114)*참고!$E$6)
+(($H114)*참고!$E$7)
+(($I114)*참고!$E$8)
+(($J114))*참고!$E$9,0)</f>
        <v>24764</v>
      </c>
      <c r="M114" s="34">
        <f>ROUND(
(($F114)*참고!$F$5)
+(($G114)*참고!$F$6)
+(($H114)*참고!$F$7)
+(($I114)*참고!$F$8)
+(($J114))*참고!$F$9,0)</f>
        <v>6956</v>
      </c>
      <c r="N114" s="34">
        <f>ROUND(
(($F114)*참고!$G$5)
+(($G114)*참고!$G$6)
+(($H114)*참고!$G$7)
+(($I114)*참고!$G$8)
+(($J114))*참고!$G$9,0)</f>
        <v>195</v>
      </c>
      <c r="O114" s="34">
        <f>ROUND(
(($F114)*참고!$H$5)
+(($G114)*참고!$H$6)
+(($H114)*참고!$H$7)
+(($I114)*참고!$H$8)
+(($J114))*참고!$H$9,0)</f>
        <v>4591</v>
      </c>
      <c r="P114" s="34">
        <f>ROUND(
(($F114)*참고!$I$5)
+(($G114)*참고!$I$6)
+(($H114)*참고!$I$7)
+(($I114)*참고!$I$8)
+(($J114))*참고!$I$9,0)</f>
        <v>8069</v>
      </c>
      <c r="Q114" s="34">
        <f>ROUND(
(($F114)*참고!$J$5)
+(($G114)*참고!$J$6)
+(($H114)*참고!$J$7)
+(($I114)*참고!$J$8)
+(($J114))*참고!$J$9,0)</f>
        <v>5565</v>
      </c>
      <c r="R114" s="34">
        <f>IF(E114="공격형",(INDEX(몬스터계수[[#Data],[속도]],MATCH(E114, 몬스터계수[[#Data],[타입]],0),1)*속도핸들러_곱계수)*(INT(몬스터밸런스[[#This Row],[Lv]]/속도핸들러_합계수+1)),
IF(E114="방어형",(INDEX(몬스터계수[[#Data],[속도]],MATCH(E114, 몬스터계수[[#Data],[타입]],0),1)*속도핸들러_곱계수)*(INT(몬스터밸런스[[#This Row],[Lv]]/속도핸들러_합계수+1)),
IF(E114="회피형",(INDEX(몬스터계수[[#Data],[속도]],MATCH(E114, 몬스터계수[[#Data],[타입]],0),1)*속도핸들러_곱계수)*(INT(몬스터밸런스[[#This Row],[Lv]]/속도핸들러_합계수+1)),
IF(E114="기본형",(INDEX(몬스터계수[[#Data],[속도]],MATCH(E114, 몬스터계수[[#Data],[타입]],0),1)*속도핸들러_곱계수)*(INT(몬스터밸런스[[#This Row],[Lv]]/속도핸들러_합계수+1)),0))))</f>
        <v>0</v>
      </c>
      <c r="S114">
        <f t="shared" si="4"/>
        <v>1485526</v>
      </c>
      <c r="U114">
        <v>3</v>
      </c>
      <c r="V114">
        <v>112</v>
      </c>
      <c r="W114">
        <f>$Z$1*몬스터밸런스9[[#This Row],[단계]]</f>
        <v>15</v>
      </c>
      <c r="X114" t="s">
        <v>49</v>
      </c>
      <c r="AE114" s="34"/>
      <c r="AF114" s="34"/>
      <c r="AG114" s="34"/>
      <c r="AH114" s="34">
        <f>몬스터밸런스[[#This Row],[CriticalRate]]</f>
        <v>195</v>
      </c>
      <c r="AI114" s="34"/>
      <c r="AJ114" s="34"/>
      <c r="AK114" s="34"/>
      <c r="AL114">
        <f t="shared" si="5"/>
        <v>97.5</v>
      </c>
    </row>
    <row r="115" spans="1:38">
      <c r="A115">
        <v>1120</v>
      </c>
      <c r="B115">
        <v>113</v>
      </c>
      <c r="C115">
        <f>$F$1*몬스터밸런스[[#This Row],[Lv]]+15</f>
        <v>5615</v>
      </c>
      <c r="E115" t="s">
        <v>479</v>
      </c>
      <c r="F115">
        <f>IF(E115="공격형",INDEX(몬스터계수[[#Data],[생명계수]],MATCH(E115,몬스터계수[[#Data],[타입]],0),1)*C115,
IF(E115="방어형",INDEX(몬스터계수[[#Data],[생명계수]],MATCH(E115,몬스터계수[[#Data],[타입]],0),1)*C115,
IF(E115="회피형",INDEX(몬스터계수[[#Data],[생명계수]],MATCH(E115,몬스터계수[[#Data],[타입]],0),1)*C115,
IF(E115="체력형",INDEX(몬스터계수[[#Data],[생명계수]],MATCH(E115,몬스터계수[[#Data],[타입]],0),1)*C115,0))))*IF(몬스터밸런스[[#This Row],[보스]]=TRUE,2,1)</f>
        <v>2807.5</v>
      </c>
      <c r="G115">
        <f>IF(E115="공격형",INDEX(몬스터계수[[#Data],[힘계수]],MATCH(E115, 몬스터계수[[#Data],[타입]],0),1)*C115,
IF(E115="방어형",INDEX(몬스터계수[[#Data],[힘계수]],MATCH(E115, 몬스터계수[[#Data],[타입]],0),1)*C115,
IF(E115="회피형",INDEX(몬스터계수[[#Data],[힘계수]],MATCH(E115, 몬스터계수[[#Data],[타입]],0),1)*C115,
IF(E115="체력형",INDEX(몬스터계수[[#Data],[힘계수]],MATCH(E115, 몬스터계수[[#Data],[타입]],0),1)*C115,0))))</f>
        <v>1403.75</v>
      </c>
      <c r="H115">
        <f>IF(E115="공격형",INDEX(몬스터계수[[#Data],[근력게수]],MATCH(E115,몬스터계수[[#Data],[타입]],0),1)*C115,
IF(E115="방어형",INDEX(몬스터계수[[#Data],[근력게수]],MATCH(E115,몬스터계수[[#Data],[타입]],0),1)*C115,
IF(E115="회피형",INDEX(몬스터계수[[#Data],[근력게수]],MATCH(E115,몬스터계수[[#Data],[타입]],0),1)*C115,
IF(E115="체력형",INDEX(몬스터계수[[#Data],[근력게수]],MATCH(E115,몬스터계수[[#Data],[타입]],0),1)*C115,0))))</f>
        <v>280.75</v>
      </c>
      <c r="I115">
        <f>IF(E115="공격형",INDEX(몬스터계수[[#Data],[숙련도계수]],MATCH(E115,몬스터계수[[#Data],[타입]],0),1)*C115,
IF(E115="방어형",INDEX(몬스터계수[[#Data],[숙련도계수]],MATCH(E115,몬스터계수[[#Data],[타입]],0),1)*C115,
IF(E115="회피형",INDEX(몬스터계수[[#Data],[숙련도계수]],MATCH(E115,몬스터계수[[#Data],[타입]],0),1)*C115,
IF(E115="체력형",INDEX(몬스터계수[[#Data],[숙련도계수]],MATCH(E115,몬스터계수[[#Data],[타입]],0),1)*C115,0))))</f>
        <v>842.25</v>
      </c>
      <c r="J115">
        <f>IF(E115="공격형",INDEX(몬스터계수[[#Data],[행운계수]],MATCH(E115, 몬스터계수[[#Data],[타입]],0),1)*C115,
IF(E115="방어형",INDEX(몬스터계수[[#Data],[행운계수]],MATCH(E115, 몬스터계수[[#Data],[타입]],0),1)*C115,
IF(E115="회피형",INDEX(몬스터계수[[#Data],[행운계수]],MATCH(E115, 몬스터계수[[#Data],[타입]],0),1)*C115,
IF(E115="체력형",INDEX(몬스터계수[[#Data],[행운계수]],MATCH(E115, 몬스터계수[[#Data],[타입]],0),1)*C115,0))))</f>
        <v>280.75</v>
      </c>
      <c r="K115" s="34">
        <f>ROUND(
(($F115)*참고!$D$5)
+(($G115)*참고!$D$6)
+(($H115)*참고!$D$7)
+(($I115)*참고!$D$8)
+(($J115))*참고!$D$9,0)</f>
        <v>43657</v>
      </c>
      <c r="L115" s="34">
        <f>ROUND(
(($F115)*참고!$E$5)
+(($G115)*참고!$E$6)
+(($H115)*참고!$E$7)
+(($I115)*참고!$E$8)
+(($J115))*참고!$E$9,0)</f>
        <v>24987</v>
      </c>
      <c r="M115" s="34">
        <f>ROUND(
(($F115)*참고!$F$5)
+(($G115)*참고!$F$6)
+(($H115)*참고!$F$7)
+(($I115)*참고!$F$8)
+(($J115))*참고!$F$9,0)</f>
        <v>7019</v>
      </c>
      <c r="N115" s="34">
        <f>ROUND(
(($F115)*참고!$G$5)
+(($G115)*참고!$G$6)
+(($H115)*참고!$G$7)
+(($I115)*참고!$G$8)
+(($J115))*참고!$G$9,0)</f>
        <v>197</v>
      </c>
      <c r="O115" s="34">
        <f>ROUND(
(($F115)*참고!$H$5)
+(($G115)*참고!$H$6)
+(($H115)*참고!$H$7)
+(($I115)*참고!$H$8)
+(($J115))*참고!$H$9,0)</f>
        <v>4632</v>
      </c>
      <c r="P115" s="34">
        <f>ROUND(
(($F115)*참고!$I$5)
+(($G115)*참고!$I$6)
+(($H115)*참고!$I$7)
+(($I115)*참고!$I$8)
+(($J115))*참고!$I$9,0)</f>
        <v>8142</v>
      </c>
      <c r="Q115" s="34">
        <f>ROUND(
(($F115)*참고!$J$5)
+(($G115)*참고!$J$6)
+(($H115)*참고!$J$7)
+(($I115)*참고!$J$8)
+(($J115))*참고!$J$9,0)</f>
        <v>5615</v>
      </c>
      <c r="R115" s="34">
        <f>IF(E115="공격형",(INDEX(몬스터계수[[#Data],[속도]],MATCH(E115, 몬스터계수[[#Data],[타입]],0),1)*속도핸들러_곱계수)*(INT(몬스터밸런스[[#This Row],[Lv]]/속도핸들러_합계수+1)),
IF(E115="방어형",(INDEX(몬스터계수[[#Data],[속도]],MATCH(E115, 몬스터계수[[#Data],[타입]],0),1)*속도핸들러_곱계수)*(INT(몬스터밸런스[[#This Row],[Lv]]/속도핸들러_합계수+1)),
IF(E115="회피형",(INDEX(몬스터계수[[#Data],[속도]],MATCH(E115, 몬스터계수[[#Data],[타입]],0),1)*속도핸들러_곱계수)*(INT(몬스터밸런스[[#This Row],[Lv]]/속도핸들러_합계수+1)),
IF(E115="기본형",(INDEX(몬스터계수[[#Data],[속도]],MATCH(E115, 몬스터계수[[#Data],[타입]],0),1)*속도핸들러_곱계수)*(INT(몬스터밸런스[[#This Row],[Lv]]/속도핸들러_합계수+1)),0))))</f>
        <v>0</v>
      </c>
      <c r="S115">
        <f t="shared" si="4"/>
        <v>1498898</v>
      </c>
      <c r="U115">
        <v>3</v>
      </c>
      <c r="V115">
        <v>113</v>
      </c>
      <c r="W115">
        <f>$Z$1*몬스터밸런스9[[#This Row],[단계]]</f>
        <v>15</v>
      </c>
      <c r="X115" t="s">
        <v>49</v>
      </c>
      <c r="AE115" s="34"/>
      <c r="AF115" s="34"/>
      <c r="AG115" s="34"/>
      <c r="AH115" s="34">
        <f>몬스터밸런스[[#This Row],[CriticalRate]]</f>
        <v>197</v>
      </c>
      <c r="AI115" s="34"/>
      <c r="AJ115" s="34"/>
      <c r="AK115" s="34"/>
      <c r="AL115">
        <f t="shared" si="5"/>
        <v>98.5</v>
      </c>
    </row>
    <row r="116" spans="1:38">
      <c r="A116">
        <v>1130</v>
      </c>
      <c r="B116">
        <v>114</v>
      </c>
      <c r="C116">
        <f>$F$1*몬스터밸런스[[#This Row],[Lv]]+15</f>
        <v>5665</v>
      </c>
      <c r="E116" t="s">
        <v>479</v>
      </c>
      <c r="F116">
        <f>IF(E116="공격형",INDEX(몬스터계수[[#Data],[생명계수]],MATCH(E116,몬스터계수[[#Data],[타입]],0),1)*C116,
IF(E116="방어형",INDEX(몬스터계수[[#Data],[생명계수]],MATCH(E116,몬스터계수[[#Data],[타입]],0),1)*C116,
IF(E116="회피형",INDEX(몬스터계수[[#Data],[생명계수]],MATCH(E116,몬스터계수[[#Data],[타입]],0),1)*C116,
IF(E116="체력형",INDEX(몬스터계수[[#Data],[생명계수]],MATCH(E116,몬스터계수[[#Data],[타입]],0),1)*C116,0))))*IF(몬스터밸런스[[#This Row],[보스]]=TRUE,2,1)</f>
        <v>2832.5</v>
      </c>
      <c r="G116">
        <f>IF(E116="공격형",INDEX(몬스터계수[[#Data],[힘계수]],MATCH(E116, 몬스터계수[[#Data],[타입]],0),1)*C116,
IF(E116="방어형",INDEX(몬스터계수[[#Data],[힘계수]],MATCH(E116, 몬스터계수[[#Data],[타입]],0),1)*C116,
IF(E116="회피형",INDEX(몬스터계수[[#Data],[힘계수]],MATCH(E116, 몬스터계수[[#Data],[타입]],0),1)*C116,
IF(E116="체력형",INDEX(몬스터계수[[#Data],[힘계수]],MATCH(E116, 몬스터계수[[#Data],[타입]],0),1)*C116,0))))</f>
        <v>1416.25</v>
      </c>
      <c r="H116">
        <f>IF(E116="공격형",INDEX(몬스터계수[[#Data],[근력게수]],MATCH(E116,몬스터계수[[#Data],[타입]],0),1)*C116,
IF(E116="방어형",INDEX(몬스터계수[[#Data],[근력게수]],MATCH(E116,몬스터계수[[#Data],[타입]],0),1)*C116,
IF(E116="회피형",INDEX(몬스터계수[[#Data],[근력게수]],MATCH(E116,몬스터계수[[#Data],[타입]],0),1)*C116,
IF(E116="체력형",INDEX(몬스터계수[[#Data],[근력게수]],MATCH(E116,몬스터계수[[#Data],[타입]],0),1)*C116,0))))</f>
        <v>283.25</v>
      </c>
      <c r="I116">
        <f>IF(E116="공격형",INDEX(몬스터계수[[#Data],[숙련도계수]],MATCH(E116,몬스터계수[[#Data],[타입]],0),1)*C116,
IF(E116="방어형",INDEX(몬스터계수[[#Data],[숙련도계수]],MATCH(E116,몬스터계수[[#Data],[타입]],0),1)*C116,
IF(E116="회피형",INDEX(몬스터계수[[#Data],[숙련도계수]],MATCH(E116,몬스터계수[[#Data],[타입]],0),1)*C116,
IF(E116="체력형",INDEX(몬스터계수[[#Data],[숙련도계수]],MATCH(E116,몬스터계수[[#Data],[타입]],0),1)*C116,0))))</f>
        <v>849.75</v>
      </c>
      <c r="J116">
        <f>IF(E116="공격형",INDEX(몬스터계수[[#Data],[행운계수]],MATCH(E116, 몬스터계수[[#Data],[타입]],0),1)*C116,
IF(E116="방어형",INDEX(몬스터계수[[#Data],[행운계수]],MATCH(E116, 몬스터계수[[#Data],[타입]],0),1)*C116,
IF(E116="회피형",INDEX(몬스터계수[[#Data],[행운계수]],MATCH(E116, 몬스터계수[[#Data],[타입]],0),1)*C116,
IF(E116="체력형",INDEX(몬스터계수[[#Data],[행운계수]],MATCH(E116, 몬스터계수[[#Data],[타입]],0),1)*C116,0))))</f>
        <v>283.25</v>
      </c>
      <c r="K116" s="34">
        <f>ROUND(
(($F116)*참고!$D$5)
+(($G116)*참고!$D$6)
+(($H116)*참고!$D$7)
+(($I116)*참고!$D$8)
+(($J116))*참고!$D$9,0)</f>
        <v>44045</v>
      </c>
      <c r="L116" s="34">
        <f>ROUND(
(($F116)*참고!$E$5)
+(($G116)*참고!$E$6)
+(($H116)*참고!$E$7)
+(($I116)*참고!$E$8)
+(($J116))*참고!$E$9,0)</f>
        <v>25209</v>
      </c>
      <c r="M116" s="34">
        <f>ROUND(
(($F116)*참고!$F$5)
+(($G116)*참고!$F$6)
+(($H116)*참고!$F$7)
+(($I116)*참고!$F$8)
+(($J116))*참고!$F$9,0)</f>
        <v>7081</v>
      </c>
      <c r="N116" s="34">
        <f>ROUND(
(($F116)*참고!$G$5)
+(($G116)*참고!$G$6)
+(($H116)*참고!$G$7)
+(($I116)*참고!$G$8)
+(($J116))*참고!$G$9,0)</f>
        <v>198</v>
      </c>
      <c r="O116" s="34">
        <f>ROUND(
(($F116)*참고!$H$5)
+(($G116)*참고!$H$6)
+(($H116)*참고!$H$7)
+(($I116)*참고!$H$8)
+(($J116))*참고!$H$9,0)</f>
        <v>4674</v>
      </c>
      <c r="P116" s="34">
        <f>ROUND(
(($F116)*참고!$I$5)
+(($G116)*참고!$I$6)
+(($H116)*참고!$I$7)
+(($I116)*참고!$I$8)
+(($J116))*참고!$I$9,0)</f>
        <v>8214</v>
      </c>
      <c r="Q116" s="34">
        <f>ROUND(
(($F116)*참고!$J$5)
+(($G116)*참고!$J$6)
+(($H116)*참고!$J$7)
+(($I116)*참고!$J$8)
+(($J116))*참고!$J$9,0)</f>
        <v>5665</v>
      </c>
      <c r="R116" s="34">
        <f>IF(E116="공격형",(INDEX(몬스터계수[[#Data],[속도]],MATCH(E116, 몬스터계수[[#Data],[타입]],0),1)*속도핸들러_곱계수)*(INT(몬스터밸런스[[#This Row],[Lv]]/속도핸들러_합계수+1)),
IF(E116="방어형",(INDEX(몬스터계수[[#Data],[속도]],MATCH(E116, 몬스터계수[[#Data],[타입]],0),1)*속도핸들러_곱계수)*(INT(몬스터밸런스[[#This Row],[Lv]]/속도핸들러_합계수+1)),
IF(E116="회피형",(INDEX(몬스터계수[[#Data],[속도]],MATCH(E116, 몬스터계수[[#Data],[타입]],0),1)*속도핸들러_곱계수)*(INT(몬스터밸런스[[#This Row],[Lv]]/속도핸들러_합계수+1)),
IF(E116="기본형",(INDEX(몬스터계수[[#Data],[속도]],MATCH(E116, 몬스터계수[[#Data],[타입]],0),1)*속도핸들러_곱계수)*(INT(몬스터밸런스[[#This Row],[Lv]]/속도핸들러_합계수+1)),0))))</f>
        <v>0</v>
      </c>
      <c r="S116">
        <f t="shared" si="4"/>
        <v>1512213.5</v>
      </c>
      <c r="U116">
        <v>3</v>
      </c>
      <c r="V116">
        <v>114</v>
      </c>
      <c r="W116">
        <f>$Z$1*몬스터밸런스9[[#This Row],[단계]]</f>
        <v>15</v>
      </c>
      <c r="X116" t="s">
        <v>49</v>
      </c>
      <c r="AE116" s="34"/>
      <c r="AF116" s="34"/>
      <c r="AG116" s="34"/>
      <c r="AH116" s="34"/>
      <c r="AI116" s="34">
        <f>몬스터밸런스[[#This Row],[CriticalDamage]]</f>
        <v>4674</v>
      </c>
      <c r="AJ116" s="34"/>
      <c r="AK116" s="34"/>
      <c r="AL116">
        <f t="shared" si="5"/>
        <v>21033</v>
      </c>
    </row>
    <row r="117" spans="1:38">
      <c r="A117">
        <v>1140</v>
      </c>
      <c r="B117">
        <v>115</v>
      </c>
      <c r="C117">
        <f>$F$1*몬스터밸런스[[#This Row],[Lv]]+15</f>
        <v>5715</v>
      </c>
      <c r="E117" t="s">
        <v>479</v>
      </c>
      <c r="F117">
        <f>IF(E117="공격형",INDEX(몬스터계수[[#Data],[생명계수]],MATCH(E117,몬스터계수[[#Data],[타입]],0),1)*C117,
IF(E117="방어형",INDEX(몬스터계수[[#Data],[생명계수]],MATCH(E117,몬스터계수[[#Data],[타입]],0),1)*C117,
IF(E117="회피형",INDEX(몬스터계수[[#Data],[생명계수]],MATCH(E117,몬스터계수[[#Data],[타입]],0),1)*C117,
IF(E117="체력형",INDEX(몬스터계수[[#Data],[생명계수]],MATCH(E117,몬스터계수[[#Data],[타입]],0),1)*C117,0))))*IF(몬스터밸런스[[#This Row],[보스]]=TRUE,2,1)</f>
        <v>2857.5</v>
      </c>
      <c r="G117">
        <f>IF(E117="공격형",INDEX(몬스터계수[[#Data],[힘계수]],MATCH(E117, 몬스터계수[[#Data],[타입]],0),1)*C117,
IF(E117="방어형",INDEX(몬스터계수[[#Data],[힘계수]],MATCH(E117, 몬스터계수[[#Data],[타입]],0),1)*C117,
IF(E117="회피형",INDEX(몬스터계수[[#Data],[힘계수]],MATCH(E117, 몬스터계수[[#Data],[타입]],0),1)*C117,
IF(E117="체력형",INDEX(몬스터계수[[#Data],[힘계수]],MATCH(E117, 몬스터계수[[#Data],[타입]],0),1)*C117,0))))</f>
        <v>1428.75</v>
      </c>
      <c r="H117">
        <f>IF(E117="공격형",INDEX(몬스터계수[[#Data],[근력게수]],MATCH(E117,몬스터계수[[#Data],[타입]],0),1)*C117,
IF(E117="방어형",INDEX(몬스터계수[[#Data],[근력게수]],MATCH(E117,몬스터계수[[#Data],[타입]],0),1)*C117,
IF(E117="회피형",INDEX(몬스터계수[[#Data],[근력게수]],MATCH(E117,몬스터계수[[#Data],[타입]],0),1)*C117,
IF(E117="체력형",INDEX(몬스터계수[[#Data],[근력게수]],MATCH(E117,몬스터계수[[#Data],[타입]],0),1)*C117,0))))</f>
        <v>285.75</v>
      </c>
      <c r="I117">
        <f>IF(E117="공격형",INDEX(몬스터계수[[#Data],[숙련도계수]],MATCH(E117,몬스터계수[[#Data],[타입]],0),1)*C117,
IF(E117="방어형",INDEX(몬스터계수[[#Data],[숙련도계수]],MATCH(E117,몬스터계수[[#Data],[타입]],0),1)*C117,
IF(E117="회피형",INDEX(몬스터계수[[#Data],[숙련도계수]],MATCH(E117,몬스터계수[[#Data],[타입]],0),1)*C117,
IF(E117="체력형",INDEX(몬스터계수[[#Data],[숙련도계수]],MATCH(E117,몬스터계수[[#Data],[타입]],0),1)*C117,0))))</f>
        <v>857.25</v>
      </c>
      <c r="J117">
        <f>IF(E117="공격형",INDEX(몬스터계수[[#Data],[행운계수]],MATCH(E117, 몬스터계수[[#Data],[타입]],0),1)*C117,
IF(E117="방어형",INDEX(몬스터계수[[#Data],[행운계수]],MATCH(E117, 몬스터계수[[#Data],[타입]],0),1)*C117,
IF(E117="회피형",INDEX(몬스터계수[[#Data],[행운계수]],MATCH(E117, 몬스터계수[[#Data],[타입]],0),1)*C117,
IF(E117="체력형",INDEX(몬스터계수[[#Data],[행운계수]],MATCH(E117, 몬스터계수[[#Data],[타입]],0),1)*C117,0))))</f>
        <v>285.75</v>
      </c>
      <c r="K117" s="34">
        <f>ROUND(
(($F117)*참고!$D$5)
+(($G117)*참고!$D$6)
+(($H117)*참고!$D$7)
+(($I117)*참고!$D$8)
+(($J117))*참고!$D$9,0)</f>
        <v>44434</v>
      </c>
      <c r="L117" s="34">
        <f>ROUND(
(($F117)*참고!$E$5)
+(($G117)*참고!$E$6)
+(($H117)*참고!$E$7)
+(($I117)*참고!$E$8)
+(($J117))*참고!$E$9,0)</f>
        <v>25432</v>
      </c>
      <c r="M117" s="34">
        <f>ROUND(
(($F117)*참고!$F$5)
+(($G117)*참고!$F$6)
+(($H117)*참고!$F$7)
+(($I117)*참고!$F$8)
+(($J117))*참고!$F$9,0)</f>
        <v>7144</v>
      </c>
      <c r="N117" s="34">
        <f>ROUND(
(($F117)*참고!$G$5)
+(($G117)*참고!$G$6)
+(($H117)*참고!$G$7)
+(($I117)*참고!$G$8)
+(($J117))*참고!$G$9,0)</f>
        <v>200</v>
      </c>
      <c r="O117" s="34">
        <f>ROUND(
(($F117)*참고!$H$5)
+(($G117)*참고!$H$6)
+(($H117)*참고!$H$7)
+(($I117)*참고!$H$8)
+(($J117))*참고!$H$9,0)</f>
        <v>4715</v>
      </c>
      <c r="P117" s="34">
        <f>ROUND(
(($F117)*참고!$I$5)
+(($G117)*참고!$I$6)
+(($H117)*참고!$I$7)
+(($I117)*참고!$I$8)
+(($J117))*참고!$I$9,0)</f>
        <v>8287</v>
      </c>
      <c r="Q117" s="34">
        <f>ROUND(
(($F117)*참고!$J$5)
+(($G117)*참고!$J$6)
+(($H117)*참고!$J$7)
+(($I117)*참고!$J$8)
+(($J117))*참고!$J$9,0)</f>
        <v>5715</v>
      </c>
      <c r="R117" s="34">
        <f>IF(E117="공격형",(INDEX(몬스터계수[[#Data],[속도]],MATCH(E117, 몬스터계수[[#Data],[타입]],0),1)*속도핸들러_곱계수)*(INT(몬스터밸런스[[#This Row],[Lv]]/속도핸들러_합계수+1)),
IF(E117="방어형",(INDEX(몬스터계수[[#Data],[속도]],MATCH(E117, 몬스터계수[[#Data],[타입]],0),1)*속도핸들러_곱계수)*(INT(몬스터밸런스[[#This Row],[Lv]]/속도핸들러_합계수+1)),
IF(E117="회피형",(INDEX(몬스터계수[[#Data],[속도]],MATCH(E117, 몬스터계수[[#Data],[타입]],0),1)*속도핸들러_곱계수)*(INT(몬스터밸런스[[#This Row],[Lv]]/속도핸들러_합계수+1)),
IF(E117="기본형",(INDEX(몬스터계수[[#Data],[속도]],MATCH(E117, 몬스터계수[[#Data],[타입]],0),1)*속도핸들러_곱계수)*(INT(몬스터밸런스[[#This Row],[Lv]]/속도핸들러_합계수+1)),0))))</f>
        <v>0</v>
      </c>
      <c r="S117">
        <f t="shared" si="4"/>
        <v>1525585.5</v>
      </c>
      <c r="U117">
        <v>3</v>
      </c>
      <c r="V117">
        <v>115</v>
      </c>
      <c r="W117">
        <f>$Z$1*몬스터밸런스9[[#This Row],[단계]]</f>
        <v>15</v>
      </c>
      <c r="X117" t="s">
        <v>49</v>
      </c>
      <c r="AE117" s="34"/>
      <c r="AF117" s="34"/>
      <c r="AG117" s="34"/>
      <c r="AH117" s="34">
        <f>몬스터밸런스[[#This Row],[CriticalRate]]</f>
        <v>200</v>
      </c>
      <c r="AI117" s="34"/>
      <c r="AJ117" s="34"/>
      <c r="AK117" s="34"/>
      <c r="AL117">
        <f t="shared" ref="AL117:AL148" si="6">(AE117*HP계수) + (AF117*attack계수) + (AG117*Defense계수) + (AH117*CriticalRate계수) + (AI117*CriticalDamage계수) + (AJ117*Accuracy계수) + (AK117*DodgeRate계수)</f>
        <v>100</v>
      </c>
    </row>
    <row r="118" spans="1:38">
      <c r="A118">
        <v>1150</v>
      </c>
      <c r="B118">
        <v>116</v>
      </c>
      <c r="C118">
        <f>$F$1*몬스터밸런스[[#This Row],[Lv]]+15</f>
        <v>5765</v>
      </c>
      <c r="E118" t="s">
        <v>479</v>
      </c>
      <c r="F118">
        <f>IF(E118="공격형",INDEX(몬스터계수[[#Data],[생명계수]],MATCH(E118,몬스터계수[[#Data],[타입]],0),1)*C118,
IF(E118="방어형",INDEX(몬스터계수[[#Data],[생명계수]],MATCH(E118,몬스터계수[[#Data],[타입]],0),1)*C118,
IF(E118="회피형",INDEX(몬스터계수[[#Data],[생명계수]],MATCH(E118,몬스터계수[[#Data],[타입]],0),1)*C118,
IF(E118="체력형",INDEX(몬스터계수[[#Data],[생명계수]],MATCH(E118,몬스터계수[[#Data],[타입]],0),1)*C118,0))))*IF(몬스터밸런스[[#This Row],[보스]]=TRUE,2,1)</f>
        <v>2882.5</v>
      </c>
      <c r="G118">
        <f>IF(E118="공격형",INDEX(몬스터계수[[#Data],[힘계수]],MATCH(E118, 몬스터계수[[#Data],[타입]],0),1)*C118,
IF(E118="방어형",INDEX(몬스터계수[[#Data],[힘계수]],MATCH(E118, 몬스터계수[[#Data],[타입]],0),1)*C118,
IF(E118="회피형",INDEX(몬스터계수[[#Data],[힘계수]],MATCH(E118, 몬스터계수[[#Data],[타입]],0),1)*C118,
IF(E118="체력형",INDEX(몬스터계수[[#Data],[힘계수]],MATCH(E118, 몬스터계수[[#Data],[타입]],0),1)*C118,0))))</f>
        <v>1441.25</v>
      </c>
      <c r="H118">
        <f>IF(E118="공격형",INDEX(몬스터계수[[#Data],[근력게수]],MATCH(E118,몬스터계수[[#Data],[타입]],0),1)*C118,
IF(E118="방어형",INDEX(몬스터계수[[#Data],[근력게수]],MATCH(E118,몬스터계수[[#Data],[타입]],0),1)*C118,
IF(E118="회피형",INDEX(몬스터계수[[#Data],[근력게수]],MATCH(E118,몬스터계수[[#Data],[타입]],0),1)*C118,
IF(E118="체력형",INDEX(몬스터계수[[#Data],[근력게수]],MATCH(E118,몬스터계수[[#Data],[타입]],0),1)*C118,0))))</f>
        <v>288.25</v>
      </c>
      <c r="I118">
        <f>IF(E118="공격형",INDEX(몬스터계수[[#Data],[숙련도계수]],MATCH(E118,몬스터계수[[#Data],[타입]],0),1)*C118,
IF(E118="방어형",INDEX(몬스터계수[[#Data],[숙련도계수]],MATCH(E118,몬스터계수[[#Data],[타입]],0),1)*C118,
IF(E118="회피형",INDEX(몬스터계수[[#Data],[숙련도계수]],MATCH(E118,몬스터계수[[#Data],[타입]],0),1)*C118,
IF(E118="체력형",INDEX(몬스터계수[[#Data],[숙련도계수]],MATCH(E118,몬스터계수[[#Data],[타입]],0),1)*C118,0))))</f>
        <v>864.75</v>
      </c>
      <c r="J118">
        <f>IF(E118="공격형",INDEX(몬스터계수[[#Data],[행운계수]],MATCH(E118, 몬스터계수[[#Data],[타입]],0),1)*C118,
IF(E118="방어형",INDEX(몬스터계수[[#Data],[행운계수]],MATCH(E118, 몬스터계수[[#Data],[타입]],0),1)*C118,
IF(E118="회피형",INDEX(몬스터계수[[#Data],[행운계수]],MATCH(E118, 몬스터계수[[#Data],[타입]],0),1)*C118,
IF(E118="체력형",INDEX(몬스터계수[[#Data],[행운계수]],MATCH(E118, 몬스터계수[[#Data],[타입]],0),1)*C118,0))))</f>
        <v>288.25</v>
      </c>
      <c r="K118" s="34">
        <f>ROUND(
(($F118)*참고!$D$5)
+(($G118)*참고!$D$6)
+(($H118)*참고!$D$7)
+(($I118)*참고!$D$8)
+(($J118))*참고!$D$9,0)</f>
        <v>44823</v>
      </c>
      <c r="L118" s="34">
        <f>ROUND(
(($F118)*참고!$E$5)
+(($G118)*참고!$E$6)
+(($H118)*참고!$E$7)
+(($I118)*참고!$E$8)
+(($J118))*참고!$E$9,0)</f>
        <v>25654</v>
      </c>
      <c r="M118" s="34">
        <f>ROUND(
(($F118)*참고!$F$5)
+(($G118)*참고!$F$6)
+(($H118)*참고!$F$7)
+(($I118)*참고!$F$8)
+(($J118))*참고!$F$9,0)</f>
        <v>7206</v>
      </c>
      <c r="N118" s="34">
        <f>ROUND(
(($F118)*참고!$G$5)
+(($G118)*참고!$G$6)
+(($H118)*참고!$G$7)
+(($I118)*참고!$G$8)
+(($J118))*참고!$G$9,0)</f>
        <v>202</v>
      </c>
      <c r="O118" s="34">
        <f>ROUND(
(($F118)*참고!$H$5)
+(($G118)*참고!$H$6)
+(($H118)*참고!$H$7)
+(($I118)*참고!$H$8)
+(($J118))*참고!$H$9,0)</f>
        <v>4756</v>
      </c>
      <c r="P118" s="34">
        <f>ROUND(
(($F118)*참고!$I$5)
+(($G118)*참고!$I$6)
+(($H118)*참고!$I$7)
+(($I118)*참고!$I$8)
+(($J118))*참고!$I$9,0)</f>
        <v>8359</v>
      </c>
      <c r="Q118" s="34">
        <f>ROUND(
(($F118)*참고!$J$5)
+(($G118)*참고!$J$6)
+(($H118)*참고!$J$7)
+(($I118)*참고!$J$8)
+(($J118))*참고!$J$9,0)</f>
        <v>5765</v>
      </c>
      <c r="R118" s="34">
        <f>IF(E118="공격형",(INDEX(몬스터계수[[#Data],[속도]],MATCH(E118, 몬스터계수[[#Data],[타입]],0),1)*속도핸들러_곱계수)*(INT(몬스터밸런스[[#This Row],[Lv]]/속도핸들러_합계수+1)),
IF(E118="방어형",(INDEX(몬스터계수[[#Data],[속도]],MATCH(E118, 몬스터계수[[#Data],[타입]],0),1)*속도핸들러_곱계수)*(INT(몬스터밸런스[[#This Row],[Lv]]/속도핸들러_합계수+1)),
IF(E118="회피형",(INDEX(몬스터계수[[#Data],[속도]],MATCH(E118, 몬스터계수[[#Data],[타입]],0),1)*속도핸들러_곱계수)*(INT(몬스터밸런스[[#This Row],[Lv]]/속도핸들러_합계수+1)),
IF(E118="기본형",(INDEX(몬스터계수[[#Data],[속도]],MATCH(E118, 몬스터계수[[#Data],[타입]],0),1)*속도핸들러_곱계수)*(INT(몬스터밸런스[[#This Row],[Lv]]/속도핸들러_합계수+1)),0))))</f>
        <v>0</v>
      </c>
      <c r="S118">
        <f t="shared" si="4"/>
        <v>1538914.5</v>
      </c>
      <c r="U118">
        <v>4</v>
      </c>
      <c r="V118">
        <v>116</v>
      </c>
      <c r="W118">
        <f>$Z$1*몬스터밸런스9[[#This Row],[단계]]</f>
        <v>20</v>
      </c>
      <c r="X118" t="s">
        <v>49</v>
      </c>
      <c r="AE118" s="34"/>
      <c r="AF118" s="34"/>
      <c r="AG118" s="34"/>
      <c r="AH118" s="34"/>
      <c r="AI118" s="34">
        <f>몬스터밸런스[[#This Row],[CriticalDamage]]</f>
        <v>4756</v>
      </c>
      <c r="AJ118" s="34"/>
      <c r="AK118" s="34"/>
      <c r="AL118">
        <f t="shared" si="6"/>
        <v>21402</v>
      </c>
    </row>
    <row r="119" spans="1:38">
      <c r="A119">
        <v>1160</v>
      </c>
      <c r="B119">
        <v>117</v>
      </c>
      <c r="C119">
        <f>$F$1*몬스터밸런스[[#This Row],[Lv]]+15</f>
        <v>5815</v>
      </c>
      <c r="E119" t="s">
        <v>479</v>
      </c>
      <c r="F119">
        <f>IF(E119="공격형",INDEX(몬스터계수[[#Data],[생명계수]],MATCH(E119,몬스터계수[[#Data],[타입]],0),1)*C119,
IF(E119="방어형",INDEX(몬스터계수[[#Data],[생명계수]],MATCH(E119,몬스터계수[[#Data],[타입]],0),1)*C119,
IF(E119="회피형",INDEX(몬스터계수[[#Data],[생명계수]],MATCH(E119,몬스터계수[[#Data],[타입]],0),1)*C119,
IF(E119="체력형",INDEX(몬스터계수[[#Data],[생명계수]],MATCH(E119,몬스터계수[[#Data],[타입]],0),1)*C119,0))))*IF(몬스터밸런스[[#This Row],[보스]]=TRUE,2,1)</f>
        <v>2907.5</v>
      </c>
      <c r="G119">
        <f>IF(E119="공격형",INDEX(몬스터계수[[#Data],[힘계수]],MATCH(E119, 몬스터계수[[#Data],[타입]],0),1)*C119,
IF(E119="방어형",INDEX(몬스터계수[[#Data],[힘계수]],MATCH(E119, 몬스터계수[[#Data],[타입]],0),1)*C119,
IF(E119="회피형",INDEX(몬스터계수[[#Data],[힘계수]],MATCH(E119, 몬스터계수[[#Data],[타입]],0),1)*C119,
IF(E119="체력형",INDEX(몬스터계수[[#Data],[힘계수]],MATCH(E119, 몬스터계수[[#Data],[타입]],0),1)*C119,0))))</f>
        <v>1453.75</v>
      </c>
      <c r="H119">
        <f>IF(E119="공격형",INDEX(몬스터계수[[#Data],[근력게수]],MATCH(E119,몬스터계수[[#Data],[타입]],0),1)*C119,
IF(E119="방어형",INDEX(몬스터계수[[#Data],[근력게수]],MATCH(E119,몬스터계수[[#Data],[타입]],0),1)*C119,
IF(E119="회피형",INDEX(몬스터계수[[#Data],[근력게수]],MATCH(E119,몬스터계수[[#Data],[타입]],0),1)*C119,
IF(E119="체력형",INDEX(몬스터계수[[#Data],[근력게수]],MATCH(E119,몬스터계수[[#Data],[타입]],0),1)*C119,0))))</f>
        <v>290.75</v>
      </c>
      <c r="I119">
        <f>IF(E119="공격형",INDEX(몬스터계수[[#Data],[숙련도계수]],MATCH(E119,몬스터계수[[#Data],[타입]],0),1)*C119,
IF(E119="방어형",INDEX(몬스터계수[[#Data],[숙련도계수]],MATCH(E119,몬스터계수[[#Data],[타입]],0),1)*C119,
IF(E119="회피형",INDEX(몬스터계수[[#Data],[숙련도계수]],MATCH(E119,몬스터계수[[#Data],[타입]],0),1)*C119,
IF(E119="체력형",INDEX(몬스터계수[[#Data],[숙련도계수]],MATCH(E119,몬스터계수[[#Data],[타입]],0),1)*C119,0))))</f>
        <v>872.25</v>
      </c>
      <c r="J119">
        <f>IF(E119="공격형",INDEX(몬스터계수[[#Data],[행운계수]],MATCH(E119, 몬스터계수[[#Data],[타입]],0),1)*C119,
IF(E119="방어형",INDEX(몬스터계수[[#Data],[행운계수]],MATCH(E119, 몬스터계수[[#Data],[타입]],0),1)*C119,
IF(E119="회피형",INDEX(몬스터계수[[#Data],[행운계수]],MATCH(E119, 몬스터계수[[#Data],[타입]],0),1)*C119,
IF(E119="체력형",INDEX(몬스터계수[[#Data],[행운계수]],MATCH(E119, 몬스터계수[[#Data],[타입]],0),1)*C119,0))))</f>
        <v>290.75</v>
      </c>
      <c r="K119" s="34">
        <f>ROUND(
(($F119)*참고!$D$5)
+(($G119)*참고!$D$6)
+(($H119)*참고!$D$7)
+(($I119)*참고!$D$8)
+(($J119))*참고!$D$9,0)</f>
        <v>45212</v>
      </c>
      <c r="L119" s="34">
        <f>ROUND(
(($F119)*참고!$E$5)
+(($G119)*참고!$E$6)
+(($H119)*참고!$E$7)
+(($I119)*참고!$E$8)
+(($J119))*참고!$E$9,0)</f>
        <v>25877</v>
      </c>
      <c r="M119" s="34">
        <f>ROUND(
(($F119)*참고!$F$5)
+(($G119)*참고!$F$6)
+(($H119)*참고!$F$7)
+(($I119)*참고!$F$8)
+(($J119))*참고!$F$9,0)</f>
        <v>7269</v>
      </c>
      <c r="N119" s="34">
        <f>ROUND(
(($F119)*참고!$G$5)
+(($G119)*참고!$G$6)
+(($H119)*참고!$G$7)
+(($I119)*참고!$G$8)
+(($J119))*참고!$G$9,0)</f>
        <v>204</v>
      </c>
      <c r="O119" s="34">
        <f>ROUND(
(($F119)*참고!$H$5)
+(($G119)*참고!$H$6)
+(($H119)*참고!$H$7)
+(($I119)*참고!$H$8)
+(($J119))*참고!$H$9,0)</f>
        <v>4797</v>
      </c>
      <c r="P119" s="34">
        <f>ROUND(
(($F119)*참고!$I$5)
+(($G119)*참고!$I$6)
+(($H119)*참고!$I$7)
+(($I119)*참고!$I$8)
+(($J119))*참고!$I$9,0)</f>
        <v>8432</v>
      </c>
      <c r="Q119" s="34">
        <f>ROUND(
(($F119)*참고!$J$5)
+(($G119)*참고!$J$6)
+(($H119)*참고!$J$7)
+(($I119)*참고!$J$8)
+(($J119))*참고!$J$9,0)</f>
        <v>5815</v>
      </c>
      <c r="R119" s="34">
        <f>IF(E119="공격형",(INDEX(몬스터계수[[#Data],[속도]],MATCH(E119, 몬스터계수[[#Data],[타입]],0),1)*속도핸들러_곱계수)*(INT(몬스터밸런스[[#This Row],[Lv]]/속도핸들러_합계수+1)),
IF(E119="방어형",(INDEX(몬스터계수[[#Data],[속도]],MATCH(E119, 몬스터계수[[#Data],[타입]],0),1)*속도핸들러_곱계수)*(INT(몬스터밸런스[[#This Row],[Lv]]/속도핸들러_합계수+1)),
IF(E119="회피형",(INDEX(몬스터계수[[#Data],[속도]],MATCH(E119, 몬스터계수[[#Data],[타입]],0),1)*속도핸들러_곱계수)*(INT(몬스터밸런스[[#This Row],[Lv]]/속도핸들러_합계수+1)),
IF(E119="기본형",(INDEX(몬스터계수[[#Data],[속도]],MATCH(E119, 몬스터계수[[#Data],[타입]],0),1)*속도핸들러_곱계수)*(INT(몬스터밸런스[[#This Row],[Lv]]/속도핸들러_합계수+1)),0))))</f>
        <v>0</v>
      </c>
      <c r="S119">
        <f t="shared" si="4"/>
        <v>1552286.5</v>
      </c>
      <c r="U119">
        <v>4</v>
      </c>
      <c r="V119">
        <v>117</v>
      </c>
      <c r="W119">
        <f>$Z$1*몬스터밸런스9[[#This Row],[단계]]</f>
        <v>20</v>
      </c>
      <c r="X119" t="s">
        <v>49</v>
      </c>
      <c r="AE119" s="34"/>
      <c r="AF119" s="34"/>
      <c r="AG119" s="34"/>
      <c r="AH119" s="34"/>
      <c r="AI119" s="34">
        <f>몬스터밸런스[[#This Row],[CriticalDamage]]</f>
        <v>4797</v>
      </c>
      <c r="AJ119" s="34"/>
      <c r="AK119" s="34"/>
      <c r="AL119">
        <f t="shared" si="6"/>
        <v>21586.5</v>
      </c>
    </row>
    <row r="120" spans="1:38">
      <c r="A120">
        <v>1170</v>
      </c>
      <c r="B120">
        <v>118</v>
      </c>
      <c r="C120">
        <f>$F$1*몬스터밸런스[[#This Row],[Lv]]+15</f>
        <v>5865</v>
      </c>
      <c r="E120" t="s">
        <v>479</v>
      </c>
      <c r="F120">
        <f>IF(E120="공격형",INDEX(몬스터계수[[#Data],[생명계수]],MATCH(E120,몬스터계수[[#Data],[타입]],0),1)*C120,
IF(E120="방어형",INDEX(몬스터계수[[#Data],[생명계수]],MATCH(E120,몬스터계수[[#Data],[타입]],0),1)*C120,
IF(E120="회피형",INDEX(몬스터계수[[#Data],[생명계수]],MATCH(E120,몬스터계수[[#Data],[타입]],0),1)*C120,
IF(E120="체력형",INDEX(몬스터계수[[#Data],[생명계수]],MATCH(E120,몬스터계수[[#Data],[타입]],0),1)*C120,0))))*IF(몬스터밸런스[[#This Row],[보스]]=TRUE,2,1)</f>
        <v>2932.5</v>
      </c>
      <c r="G120">
        <f>IF(E120="공격형",INDEX(몬스터계수[[#Data],[힘계수]],MATCH(E120, 몬스터계수[[#Data],[타입]],0),1)*C120,
IF(E120="방어형",INDEX(몬스터계수[[#Data],[힘계수]],MATCH(E120, 몬스터계수[[#Data],[타입]],0),1)*C120,
IF(E120="회피형",INDEX(몬스터계수[[#Data],[힘계수]],MATCH(E120, 몬스터계수[[#Data],[타입]],0),1)*C120,
IF(E120="체력형",INDEX(몬스터계수[[#Data],[힘계수]],MATCH(E120, 몬스터계수[[#Data],[타입]],0),1)*C120,0))))</f>
        <v>1466.25</v>
      </c>
      <c r="H120">
        <f>IF(E120="공격형",INDEX(몬스터계수[[#Data],[근력게수]],MATCH(E120,몬스터계수[[#Data],[타입]],0),1)*C120,
IF(E120="방어형",INDEX(몬스터계수[[#Data],[근력게수]],MATCH(E120,몬스터계수[[#Data],[타입]],0),1)*C120,
IF(E120="회피형",INDEX(몬스터계수[[#Data],[근력게수]],MATCH(E120,몬스터계수[[#Data],[타입]],0),1)*C120,
IF(E120="체력형",INDEX(몬스터계수[[#Data],[근력게수]],MATCH(E120,몬스터계수[[#Data],[타입]],0),1)*C120,0))))</f>
        <v>293.25</v>
      </c>
      <c r="I120">
        <f>IF(E120="공격형",INDEX(몬스터계수[[#Data],[숙련도계수]],MATCH(E120,몬스터계수[[#Data],[타입]],0),1)*C120,
IF(E120="방어형",INDEX(몬스터계수[[#Data],[숙련도계수]],MATCH(E120,몬스터계수[[#Data],[타입]],0),1)*C120,
IF(E120="회피형",INDEX(몬스터계수[[#Data],[숙련도계수]],MATCH(E120,몬스터계수[[#Data],[타입]],0),1)*C120,
IF(E120="체력형",INDEX(몬스터계수[[#Data],[숙련도계수]],MATCH(E120,몬스터계수[[#Data],[타입]],0),1)*C120,0))))</f>
        <v>879.75</v>
      </c>
      <c r="J120">
        <f>IF(E120="공격형",INDEX(몬스터계수[[#Data],[행운계수]],MATCH(E120, 몬스터계수[[#Data],[타입]],0),1)*C120,
IF(E120="방어형",INDEX(몬스터계수[[#Data],[행운계수]],MATCH(E120, 몬스터계수[[#Data],[타입]],0),1)*C120,
IF(E120="회피형",INDEX(몬스터계수[[#Data],[행운계수]],MATCH(E120, 몬스터계수[[#Data],[타입]],0),1)*C120,
IF(E120="체력형",INDEX(몬스터계수[[#Data],[행운계수]],MATCH(E120, 몬스터계수[[#Data],[타입]],0),1)*C120,0))))</f>
        <v>293.25</v>
      </c>
      <c r="K120" s="34">
        <f>ROUND(
(($F120)*참고!$D$5)
+(($G120)*참고!$D$6)
+(($H120)*참고!$D$7)
+(($I120)*참고!$D$8)
+(($J120))*참고!$D$9,0)</f>
        <v>45600</v>
      </c>
      <c r="L120" s="34">
        <f>ROUND(
(($F120)*참고!$E$5)
+(($G120)*참고!$E$6)
+(($H120)*참고!$E$7)
+(($I120)*참고!$E$8)
+(($J120))*참고!$E$9,0)</f>
        <v>26099</v>
      </c>
      <c r="M120" s="34">
        <f>ROUND(
(($F120)*참고!$F$5)
+(($G120)*참고!$F$6)
+(($H120)*참고!$F$7)
+(($I120)*참고!$F$8)
+(($J120))*참고!$F$9,0)</f>
        <v>7331</v>
      </c>
      <c r="N120" s="34">
        <f>ROUND(
(($F120)*참고!$G$5)
+(($G120)*참고!$G$6)
+(($H120)*참고!$G$7)
+(($I120)*참고!$G$8)
+(($J120))*참고!$G$9,0)</f>
        <v>205</v>
      </c>
      <c r="O120" s="34">
        <f>ROUND(
(($F120)*참고!$H$5)
+(($G120)*참고!$H$6)
+(($H120)*참고!$H$7)
+(($I120)*참고!$H$8)
+(($J120))*참고!$H$9,0)</f>
        <v>4839</v>
      </c>
      <c r="P120" s="34">
        <f>ROUND(
(($F120)*참고!$I$5)
+(($G120)*참고!$I$6)
+(($H120)*참고!$I$7)
+(($I120)*참고!$I$8)
+(($J120))*참고!$I$9,0)</f>
        <v>8504</v>
      </c>
      <c r="Q120" s="34">
        <f>ROUND(
(($F120)*참고!$J$5)
+(($G120)*참고!$J$6)
+(($H120)*참고!$J$7)
+(($I120)*참고!$J$8)
+(($J120))*참고!$J$9,0)</f>
        <v>5865</v>
      </c>
      <c r="R120" s="34">
        <f>IF(E120="공격형",(INDEX(몬스터계수[[#Data],[속도]],MATCH(E120, 몬스터계수[[#Data],[타입]],0),1)*속도핸들러_곱계수)*(INT(몬스터밸런스[[#This Row],[Lv]]/속도핸들러_합계수+1)),
IF(E120="방어형",(INDEX(몬스터계수[[#Data],[속도]],MATCH(E120, 몬스터계수[[#Data],[타입]],0),1)*속도핸들러_곱계수)*(INT(몬스터밸런스[[#This Row],[Lv]]/속도핸들러_합계수+1)),
IF(E120="회피형",(INDEX(몬스터계수[[#Data],[속도]],MATCH(E120, 몬스터계수[[#Data],[타입]],0),1)*속도핸들러_곱계수)*(INT(몬스터밸런스[[#This Row],[Lv]]/속도핸들러_합계수+1)),
IF(E120="기본형",(INDEX(몬스터계수[[#Data],[속도]],MATCH(E120, 몬스터계수[[#Data],[타입]],0),1)*속도핸들러_곱계수)*(INT(몬스터밸런스[[#This Row],[Lv]]/속도핸들러_합계수+1)),0))))</f>
        <v>0</v>
      </c>
      <c r="S120">
        <f t="shared" si="4"/>
        <v>1565602</v>
      </c>
      <c r="U120">
        <v>4</v>
      </c>
      <c r="V120">
        <v>118</v>
      </c>
      <c r="W120">
        <f>$Z$1*몬스터밸런스9[[#This Row],[단계]]</f>
        <v>20</v>
      </c>
      <c r="X120" t="s">
        <v>49</v>
      </c>
      <c r="AE120" s="34"/>
      <c r="AF120" s="34"/>
      <c r="AG120" s="34"/>
      <c r="AH120" s="34">
        <f>몬스터밸런스[[#This Row],[CriticalRate]]</f>
        <v>205</v>
      </c>
      <c r="AI120" s="34"/>
      <c r="AJ120" s="34"/>
      <c r="AK120" s="34"/>
      <c r="AL120">
        <f t="shared" si="6"/>
        <v>102.5</v>
      </c>
    </row>
    <row r="121" spans="1:38">
      <c r="A121">
        <v>1180</v>
      </c>
      <c r="B121">
        <v>119</v>
      </c>
      <c r="C121">
        <f>$F$1*몬스터밸런스[[#This Row],[Lv]]+15</f>
        <v>5915</v>
      </c>
      <c r="E121" t="s">
        <v>479</v>
      </c>
      <c r="F121">
        <f>IF(E121="공격형",INDEX(몬스터계수[[#Data],[생명계수]],MATCH(E121,몬스터계수[[#Data],[타입]],0),1)*C121,
IF(E121="방어형",INDEX(몬스터계수[[#Data],[생명계수]],MATCH(E121,몬스터계수[[#Data],[타입]],0),1)*C121,
IF(E121="회피형",INDEX(몬스터계수[[#Data],[생명계수]],MATCH(E121,몬스터계수[[#Data],[타입]],0),1)*C121,
IF(E121="체력형",INDEX(몬스터계수[[#Data],[생명계수]],MATCH(E121,몬스터계수[[#Data],[타입]],0),1)*C121,0))))*IF(몬스터밸런스[[#This Row],[보스]]=TRUE,2,1)</f>
        <v>2957.5</v>
      </c>
      <c r="G121">
        <f>IF(E121="공격형",INDEX(몬스터계수[[#Data],[힘계수]],MATCH(E121, 몬스터계수[[#Data],[타입]],0),1)*C121,
IF(E121="방어형",INDEX(몬스터계수[[#Data],[힘계수]],MATCH(E121, 몬스터계수[[#Data],[타입]],0),1)*C121,
IF(E121="회피형",INDEX(몬스터계수[[#Data],[힘계수]],MATCH(E121, 몬스터계수[[#Data],[타입]],0),1)*C121,
IF(E121="체력형",INDEX(몬스터계수[[#Data],[힘계수]],MATCH(E121, 몬스터계수[[#Data],[타입]],0),1)*C121,0))))</f>
        <v>1478.75</v>
      </c>
      <c r="H121">
        <f>IF(E121="공격형",INDEX(몬스터계수[[#Data],[근력게수]],MATCH(E121,몬스터계수[[#Data],[타입]],0),1)*C121,
IF(E121="방어형",INDEX(몬스터계수[[#Data],[근력게수]],MATCH(E121,몬스터계수[[#Data],[타입]],0),1)*C121,
IF(E121="회피형",INDEX(몬스터계수[[#Data],[근력게수]],MATCH(E121,몬스터계수[[#Data],[타입]],0),1)*C121,
IF(E121="체력형",INDEX(몬스터계수[[#Data],[근력게수]],MATCH(E121,몬스터계수[[#Data],[타입]],0),1)*C121,0))))</f>
        <v>295.75</v>
      </c>
      <c r="I121">
        <f>IF(E121="공격형",INDEX(몬스터계수[[#Data],[숙련도계수]],MATCH(E121,몬스터계수[[#Data],[타입]],0),1)*C121,
IF(E121="방어형",INDEX(몬스터계수[[#Data],[숙련도계수]],MATCH(E121,몬스터계수[[#Data],[타입]],0),1)*C121,
IF(E121="회피형",INDEX(몬스터계수[[#Data],[숙련도계수]],MATCH(E121,몬스터계수[[#Data],[타입]],0),1)*C121,
IF(E121="체력형",INDEX(몬스터계수[[#Data],[숙련도계수]],MATCH(E121,몬스터계수[[#Data],[타입]],0),1)*C121,0))))</f>
        <v>887.25</v>
      </c>
      <c r="J121">
        <f>IF(E121="공격형",INDEX(몬스터계수[[#Data],[행운계수]],MATCH(E121, 몬스터계수[[#Data],[타입]],0),1)*C121,
IF(E121="방어형",INDEX(몬스터계수[[#Data],[행운계수]],MATCH(E121, 몬스터계수[[#Data],[타입]],0),1)*C121,
IF(E121="회피형",INDEX(몬스터계수[[#Data],[행운계수]],MATCH(E121, 몬스터계수[[#Data],[타입]],0),1)*C121,
IF(E121="체력형",INDEX(몬스터계수[[#Data],[행운계수]],MATCH(E121, 몬스터계수[[#Data],[타입]],0),1)*C121,0))))</f>
        <v>295.75</v>
      </c>
      <c r="K121" s="34">
        <f>ROUND(
(($F121)*참고!$D$5)
+(($G121)*참고!$D$6)
+(($H121)*참고!$D$7)
+(($I121)*참고!$D$8)
+(($J121))*참고!$D$9,0)</f>
        <v>45989</v>
      </c>
      <c r="L121" s="34">
        <f>ROUND(
(($F121)*참고!$E$5)
+(($G121)*참고!$E$6)
+(($H121)*참고!$E$7)
+(($I121)*참고!$E$8)
+(($J121))*참고!$E$9,0)</f>
        <v>26322</v>
      </c>
      <c r="M121" s="34">
        <f>ROUND(
(($F121)*참고!$F$5)
+(($G121)*참고!$F$6)
+(($H121)*참고!$F$7)
+(($I121)*참고!$F$8)
+(($J121))*참고!$F$9,0)</f>
        <v>7394</v>
      </c>
      <c r="N121" s="34">
        <f>ROUND(
(($F121)*참고!$G$5)
+(($G121)*참고!$G$6)
+(($H121)*참고!$G$7)
+(($I121)*참고!$G$8)
+(($J121))*참고!$G$9,0)</f>
        <v>207</v>
      </c>
      <c r="O121" s="34">
        <f>ROUND(
(($F121)*참고!$H$5)
+(($G121)*참고!$H$6)
+(($H121)*참고!$H$7)
+(($I121)*참고!$H$8)
+(($J121))*참고!$H$9,0)</f>
        <v>4880</v>
      </c>
      <c r="P121" s="34">
        <f>ROUND(
(($F121)*참고!$I$5)
+(($G121)*참고!$I$6)
+(($H121)*참고!$I$7)
+(($I121)*참고!$I$8)
+(($J121))*참고!$I$9,0)</f>
        <v>8577</v>
      </c>
      <c r="Q121" s="34">
        <f>ROUND(
(($F121)*참고!$J$5)
+(($G121)*참고!$J$6)
+(($H121)*참고!$J$7)
+(($I121)*참고!$J$8)
+(($J121))*참고!$J$9,0)</f>
        <v>5915</v>
      </c>
      <c r="R121" s="34">
        <f>IF(E121="공격형",(INDEX(몬스터계수[[#Data],[속도]],MATCH(E121, 몬스터계수[[#Data],[타입]],0),1)*속도핸들러_곱계수)*(INT(몬스터밸런스[[#This Row],[Lv]]/속도핸들러_합계수+1)),
IF(E121="방어형",(INDEX(몬스터계수[[#Data],[속도]],MATCH(E121, 몬스터계수[[#Data],[타입]],0),1)*속도핸들러_곱계수)*(INT(몬스터밸런스[[#This Row],[Lv]]/속도핸들러_합계수+1)),
IF(E121="회피형",(INDEX(몬스터계수[[#Data],[속도]],MATCH(E121, 몬스터계수[[#Data],[타입]],0),1)*속도핸들러_곱계수)*(INT(몬스터밸런스[[#This Row],[Lv]]/속도핸들러_합계수+1)),
IF(E121="기본형",(INDEX(몬스터계수[[#Data],[속도]],MATCH(E121, 몬스터계수[[#Data],[타입]],0),1)*속도핸들러_곱계수)*(INT(몬스터밸런스[[#This Row],[Lv]]/속도핸들러_합계수+1)),0))))</f>
        <v>0</v>
      </c>
      <c r="S121">
        <f t="shared" si="4"/>
        <v>1578974</v>
      </c>
      <c r="U121">
        <v>4</v>
      </c>
      <c r="V121">
        <v>119</v>
      </c>
      <c r="W121">
        <f>$Z$1*몬스터밸런스9[[#This Row],[단계]]</f>
        <v>20</v>
      </c>
      <c r="X121" t="s">
        <v>49</v>
      </c>
      <c r="AE121" s="34"/>
      <c r="AF121" s="34"/>
      <c r="AG121" s="34"/>
      <c r="AH121" s="34"/>
      <c r="AI121" s="34">
        <f>몬스터밸런스[[#This Row],[CriticalDamage]]</f>
        <v>4880</v>
      </c>
      <c r="AJ121" s="34"/>
      <c r="AK121" s="34"/>
      <c r="AL121">
        <f t="shared" si="6"/>
        <v>21960</v>
      </c>
    </row>
    <row r="122" spans="1:38">
      <c r="A122">
        <v>1190</v>
      </c>
      <c r="B122">
        <v>120</v>
      </c>
      <c r="C122">
        <f>$F$1*몬스터밸런스[[#This Row],[Lv]]+15</f>
        <v>5965</v>
      </c>
      <c r="E122" t="s">
        <v>479</v>
      </c>
      <c r="F122">
        <f>IF(E122="공격형",INDEX(몬스터계수[[#Data],[생명계수]],MATCH(E122,몬스터계수[[#Data],[타입]],0),1)*C122,
IF(E122="방어형",INDEX(몬스터계수[[#Data],[생명계수]],MATCH(E122,몬스터계수[[#Data],[타입]],0),1)*C122,
IF(E122="회피형",INDEX(몬스터계수[[#Data],[생명계수]],MATCH(E122,몬스터계수[[#Data],[타입]],0),1)*C122,
IF(E122="체력형",INDEX(몬스터계수[[#Data],[생명계수]],MATCH(E122,몬스터계수[[#Data],[타입]],0),1)*C122,0))))*IF(몬스터밸런스[[#This Row],[보스]]=TRUE,2,1)</f>
        <v>2982.5</v>
      </c>
      <c r="G122">
        <f>IF(E122="공격형",INDEX(몬스터계수[[#Data],[힘계수]],MATCH(E122, 몬스터계수[[#Data],[타입]],0),1)*C122,
IF(E122="방어형",INDEX(몬스터계수[[#Data],[힘계수]],MATCH(E122, 몬스터계수[[#Data],[타입]],0),1)*C122,
IF(E122="회피형",INDEX(몬스터계수[[#Data],[힘계수]],MATCH(E122, 몬스터계수[[#Data],[타입]],0),1)*C122,
IF(E122="체력형",INDEX(몬스터계수[[#Data],[힘계수]],MATCH(E122, 몬스터계수[[#Data],[타입]],0),1)*C122,0))))</f>
        <v>1491.25</v>
      </c>
      <c r="H122">
        <f>IF(E122="공격형",INDEX(몬스터계수[[#Data],[근력게수]],MATCH(E122,몬스터계수[[#Data],[타입]],0),1)*C122,
IF(E122="방어형",INDEX(몬스터계수[[#Data],[근력게수]],MATCH(E122,몬스터계수[[#Data],[타입]],0),1)*C122,
IF(E122="회피형",INDEX(몬스터계수[[#Data],[근력게수]],MATCH(E122,몬스터계수[[#Data],[타입]],0),1)*C122,
IF(E122="체력형",INDEX(몬스터계수[[#Data],[근력게수]],MATCH(E122,몬스터계수[[#Data],[타입]],0),1)*C122,0))))</f>
        <v>298.25</v>
      </c>
      <c r="I122">
        <f>IF(E122="공격형",INDEX(몬스터계수[[#Data],[숙련도계수]],MATCH(E122,몬스터계수[[#Data],[타입]],0),1)*C122,
IF(E122="방어형",INDEX(몬스터계수[[#Data],[숙련도계수]],MATCH(E122,몬스터계수[[#Data],[타입]],0),1)*C122,
IF(E122="회피형",INDEX(몬스터계수[[#Data],[숙련도계수]],MATCH(E122,몬스터계수[[#Data],[타입]],0),1)*C122,
IF(E122="체력형",INDEX(몬스터계수[[#Data],[숙련도계수]],MATCH(E122,몬스터계수[[#Data],[타입]],0),1)*C122,0))))</f>
        <v>894.75</v>
      </c>
      <c r="J122">
        <f>IF(E122="공격형",INDEX(몬스터계수[[#Data],[행운계수]],MATCH(E122, 몬스터계수[[#Data],[타입]],0),1)*C122,
IF(E122="방어형",INDEX(몬스터계수[[#Data],[행운계수]],MATCH(E122, 몬스터계수[[#Data],[타입]],0),1)*C122,
IF(E122="회피형",INDEX(몬스터계수[[#Data],[행운계수]],MATCH(E122, 몬스터계수[[#Data],[타입]],0),1)*C122,
IF(E122="체력형",INDEX(몬스터계수[[#Data],[행운계수]],MATCH(E122, 몬스터계수[[#Data],[타입]],0),1)*C122,0))))</f>
        <v>298.25</v>
      </c>
      <c r="K122" s="34">
        <f>ROUND(
(($F122)*참고!$D$5)
+(($G122)*참고!$D$6)
+(($H122)*참고!$D$7)
+(($I122)*참고!$D$8)
+(($J122))*참고!$D$9,0)</f>
        <v>46378</v>
      </c>
      <c r="L122" s="34">
        <f>ROUND(
(($F122)*참고!$E$5)
+(($G122)*참고!$E$6)
+(($H122)*참고!$E$7)
+(($I122)*참고!$E$8)
+(($J122))*참고!$E$9,0)</f>
        <v>26544</v>
      </c>
      <c r="M122" s="34">
        <f>ROUND(
(($F122)*참고!$F$5)
+(($G122)*참고!$F$6)
+(($H122)*참고!$F$7)
+(($I122)*참고!$F$8)
+(($J122))*참고!$F$9,0)</f>
        <v>7456</v>
      </c>
      <c r="N122" s="34">
        <f>ROUND(
(($F122)*참고!$G$5)
+(($G122)*참고!$G$6)
+(($H122)*참고!$G$7)
+(($I122)*참고!$G$8)
+(($J122))*참고!$G$9,0)</f>
        <v>209</v>
      </c>
      <c r="O122" s="34">
        <f>ROUND(
(($F122)*참고!$H$5)
+(($G122)*참고!$H$6)
+(($H122)*참고!$H$7)
+(($I122)*참고!$H$8)
+(($J122))*참고!$H$9,0)</f>
        <v>4921</v>
      </c>
      <c r="P122" s="34">
        <f>ROUND(
(($F122)*참고!$I$5)
+(($G122)*참고!$I$6)
+(($H122)*참고!$I$7)
+(($I122)*참고!$I$8)
+(($J122))*참고!$I$9,0)</f>
        <v>8649</v>
      </c>
      <c r="Q122" s="34">
        <f>ROUND(
(($F122)*참고!$J$5)
+(($G122)*참고!$J$6)
+(($H122)*참고!$J$7)
+(($I122)*참고!$J$8)
+(($J122))*참고!$J$9,0)</f>
        <v>5965</v>
      </c>
      <c r="R122" s="34">
        <f>IF(E122="공격형",(INDEX(몬스터계수[[#Data],[속도]],MATCH(E122, 몬스터계수[[#Data],[타입]],0),1)*속도핸들러_곱계수)*(INT(몬스터밸런스[[#This Row],[Lv]]/속도핸들러_합계수+1)),
IF(E122="방어형",(INDEX(몬스터계수[[#Data],[속도]],MATCH(E122, 몬스터계수[[#Data],[타입]],0),1)*속도핸들러_곱계수)*(INT(몬스터밸런스[[#This Row],[Lv]]/속도핸들러_합계수+1)),
IF(E122="회피형",(INDEX(몬스터계수[[#Data],[속도]],MATCH(E122, 몬스터계수[[#Data],[타입]],0),1)*속도핸들러_곱계수)*(INT(몬스터밸런스[[#This Row],[Lv]]/속도핸들러_합계수+1)),
IF(E122="기본형",(INDEX(몬스터계수[[#Data],[속도]],MATCH(E122, 몬스터계수[[#Data],[타입]],0),1)*속도핸들러_곱계수)*(INT(몬스터밸런스[[#This Row],[Lv]]/속도핸들러_합계수+1)),0))))</f>
        <v>0</v>
      </c>
      <c r="S122">
        <f t="shared" si="4"/>
        <v>1592303</v>
      </c>
      <c r="U122">
        <v>4</v>
      </c>
      <c r="V122">
        <v>120</v>
      </c>
      <c r="W122">
        <f>$Z$1*몬스터밸런스9[[#This Row],[단계]]</f>
        <v>20</v>
      </c>
      <c r="X122" t="s">
        <v>49</v>
      </c>
      <c r="AE122" s="34"/>
      <c r="AF122" s="34"/>
      <c r="AG122" s="34"/>
      <c r="AH122" s="34">
        <f>몬스터밸런스[[#This Row],[CriticalRate]]</f>
        <v>209</v>
      </c>
      <c r="AI122" s="34"/>
      <c r="AJ122" s="34"/>
      <c r="AK122" s="34"/>
      <c r="AL122">
        <f t="shared" si="6"/>
        <v>104.5</v>
      </c>
    </row>
    <row r="123" spans="1:38">
      <c r="A123">
        <v>1200</v>
      </c>
      <c r="B123">
        <v>121</v>
      </c>
      <c r="C123">
        <f>$F$1*몬스터밸런스[[#This Row],[Lv]]+15</f>
        <v>6015</v>
      </c>
      <c r="E123" t="s">
        <v>479</v>
      </c>
      <c r="F123">
        <f>IF(E123="공격형",INDEX(몬스터계수[[#Data],[생명계수]],MATCH(E123,몬스터계수[[#Data],[타입]],0),1)*C123,
IF(E123="방어형",INDEX(몬스터계수[[#Data],[생명계수]],MATCH(E123,몬스터계수[[#Data],[타입]],0),1)*C123,
IF(E123="회피형",INDEX(몬스터계수[[#Data],[생명계수]],MATCH(E123,몬스터계수[[#Data],[타입]],0),1)*C123,
IF(E123="체력형",INDEX(몬스터계수[[#Data],[생명계수]],MATCH(E123,몬스터계수[[#Data],[타입]],0),1)*C123,0))))*IF(몬스터밸런스[[#This Row],[보스]]=TRUE,2,1)</f>
        <v>3007.5</v>
      </c>
      <c r="G123">
        <f>IF(E123="공격형",INDEX(몬스터계수[[#Data],[힘계수]],MATCH(E123, 몬스터계수[[#Data],[타입]],0),1)*C123,
IF(E123="방어형",INDEX(몬스터계수[[#Data],[힘계수]],MATCH(E123, 몬스터계수[[#Data],[타입]],0),1)*C123,
IF(E123="회피형",INDEX(몬스터계수[[#Data],[힘계수]],MATCH(E123, 몬스터계수[[#Data],[타입]],0),1)*C123,
IF(E123="체력형",INDEX(몬스터계수[[#Data],[힘계수]],MATCH(E123, 몬스터계수[[#Data],[타입]],0),1)*C123,0))))</f>
        <v>1503.75</v>
      </c>
      <c r="H123">
        <f>IF(E123="공격형",INDEX(몬스터계수[[#Data],[근력게수]],MATCH(E123,몬스터계수[[#Data],[타입]],0),1)*C123,
IF(E123="방어형",INDEX(몬스터계수[[#Data],[근력게수]],MATCH(E123,몬스터계수[[#Data],[타입]],0),1)*C123,
IF(E123="회피형",INDEX(몬스터계수[[#Data],[근력게수]],MATCH(E123,몬스터계수[[#Data],[타입]],0),1)*C123,
IF(E123="체력형",INDEX(몬스터계수[[#Data],[근력게수]],MATCH(E123,몬스터계수[[#Data],[타입]],0),1)*C123,0))))</f>
        <v>300.75</v>
      </c>
      <c r="I123">
        <f>IF(E123="공격형",INDEX(몬스터계수[[#Data],[숙련도계수]],MATCH(E123,몬스터계수[[#Data],[타입]],0),1)*C123,
IF(E123="방어형",INDEX(몬스터계수[[#Data],[숙련도계수]],MATCH(E123,몬스터계수[[#Data],[타입]],0),1)*C123,
IF(E123="회피형",INDEX(몬스터계수[[#Data],[숙련도계수]],MATCH(E123,몬스터계수[[#Data],[타입]],0),1)*C123,
IF(E123="체력형",INDEX(몬스터계수[[#Data],[숙련도계수]],MATCH(E123,몬스터계수[[#Data],[타입]],0),1)*C123,0))))</f>
        <v>902.25</v>
      </c>
      <c r="J123">
        <f>IF(E123="공격형",INDEX(몬스터계수[[#Data],[행운계수]],MATCH(E123, 몬스터계수[[#Data],[타입]],0),1)*C123,
IF(E123="방어형",INDEX(몬스터계수[[#Data],[행운계수]],MATCH(E123, 몬스터계수[[#Data],[타입]],0),1)*C123,
IF(E123="회피형",INDEX(몬스터계수[[#Data],[행운계수]],MATCH(E123, 몬스터계수[[#Data],[타입]],0),1)*C123,
IF(E123="체력형",INDEX(몬스터계수[[#Data],[행운계수]],MATCH(E123, 몬스터계수[[#Data],[타입]],0),1)*C123,0))))</f>
        <v>300.75</v>
      </c>
      <c r="K123" s="34">
        <f>ROUND(
(($F123)*참고!$D$5)
+(($G123)*참고!$D$6)
+(($H123)*참고!$D$7)
+(($I123)*참고!$D$8)
+(($J123))*참고!$D$9,0)</f>
        <v>46767</v>
      </c>
      <c r="L123" s="34">
        <f>ROUND(
(($F123)*참고!$E$5)
+(($G123)*참고!$E$6)
+(($H123)*참고!$E$7)
+(($I123)*참고!$E$8)
+(($J123))*참고!$E$9,0)</f>
        <v>26767</v>
      </c>
      <c r="M123" s="34">
        <f>ROUND(
(($F123)*참고!$F$5)
+(($G123)*참고!$F$6)
+(($H123)*참고!$F$7)
+(($I123)*참고!$F$8)
+(($J123))*참고!$F$9,0)</f>
        <v>7519</v>
      </c>
      <c r="N123" s="34">
        <f>ROUND(
(($F123)*참고!$G$5)
+(($G123)*참고!$G$6)
+(($H123)*참고!$G$7)
+(($I123)*참고!$G$8)
+(($J123))*참고!$G$9,0)</f>
        <v>211</v>
      </c>
      <c r="O123" s="34">
        <f>ROUND(
(($F123)*참고!$H$5)
+(($G123)*참고!$H$6)
+(($H123)*참고!$H$7)
+(($I123)*참고!$H$8)
+(($J123))*참고!$H$9,0)</f>
        <v>4962</v>
      </c>
      <c r="P123" s="34">
        <f>ROUND(
(($F123)*참고!$I$5)
+(($G123)*참고!$I$6)
+(($H123)*참고!$I$7)
+(($I123)*참고!$I$8)
+(($J123))*참고!$I$9,0)</f>
        <v>8722</v>
      </c>
      <c r="Q123" s="34">
        <f>ROUND(
(($F123)*참고!$J$5)
+(($G123)*참고!$J$6)
+(($H123)*참고!$J$7)
+(($I123)*참고!$J$8)
+(($J123))*참고!$J$9,0)</f>
        <v>6015</v>
      </c>
      <c r="R123" s="34">
        <f>IF(E123="공격형",(INDEX(몬스터계수[[#Data],[속도]],MATCH(E123, 몬스터계수[[#Data],[타입]],0),1)*속도핸들러_곱계수)*(INT(몬스터밸런스[[#This Row],[Lv]]/속도핸들러_합계수+1)),
IF(E123="방어형",(INDEX(몬스터계수[[#Data],[속도]],MATCH(E123, 몬스터계수[[#Data],[타입]],0),1)*속도핸들러_곱계수)*(INT(몬스터밸런스[[#This Row],[Lv]]/속도핸들러_합계수+1)),
IF(E123="회피형",(INDEX(몬스터계수[[#Data],[속도]],MATCH(E123, 몬스터계수[[#Data],[타입]],0),1)*속도핸들러_곱계수)*(INT(몬스터밸런스[[#This Row],[Lv]]/속도핸들러_합계수+1)),
IF(E123="기본형",(INDEX(몬스터계수[[#Data],[속도]],MATCH(E123, 몬스터계수[[#Data],[타입]],0),1)*속도핸들러_곱계수)*(INT(몬스터밸런스[[#This Row],[Lv]]/속도핸들러_합계수+1)),0))))</f>
        <v>0</v>
      </c>
      <c r="S123">
        <f t="shared" si="4"/>
        <v>1605675</v>
      </c>
      <c r="U123">
        <v>5</v>
      </c>
      <c r="V123">
        <v>121</v>
      </c>
      <c r="W123">
        <f>$Z$1*몬스터밸런스9[[#This Row],[단계]]</f>
        <v>25</v>
      </c>
      <c r="X123" t="s">
        <v>49</v>
      </c>
      <c r="AE123" s="34"/>
      <c r="AF123" s="34"/>
      <c r="AG123" s="34"/>
      <c r="AH123" s="34">
        <f>몬스터밸런스[[#This Row],[CriticalRate]]</f>
        <v>211</v>
      </c>
      <c r="AI123" s="34"/>
      <c r="AJ123" s="34"/>
      <c r="AK123" s="34"/>
      <c r="AL123">
        <f t="shared" si="6"/>
        <v>105.5</v>
      </c>
    </row>
    <row r="124" spans="1:38">
      <c r="A124">
        <v>1210</v>
      </c>
      <c r="B124">
        <v>122</v>
      </c>
      <c r="C124">
        <f>$F$1*몬스터밸런스[[#This Row],[Lv]]+15</f>
        <v>6065</v>
      </c>
      <c r="E124" t="s">
        <v>479</v>
      </c>
      <c r="F124">
        <f>IF(E124="공격형",INDEX(몬스터계수[[#Data],[생명계수]],MATCH(E124,몬스터계수[[#Data],[타입]],0),1)*C124,
IF(E124="방어형",INDEX(몬스터계수[[#Data],[생명계수]],MATCH(E124,몬스터계수[[#Data],[타입]],0),1)*C124,
IF(E124="회피형",INDEX(몬스터계수[[#Data],[생명계수]],MATCH(E124,몬스터계수[[#Data],[타입]],0),1)*C124,
IF(E124="체력형",INDEX(몬스터계수[[#Data],[생명계수]],MATCH(E124,몬스터계수[[#Data],[타입]],0),1)*C124,0))))*IF(몬스터밸런스[[#This Row],[보스]]=TRUE,2,1)</f>
        <v>3032.5</v>
      </c>
      <c r="G124">
        <f>IF(E124="공격형",INDEX(몬스터계수[[#Data],[힘계수]],MATCH(E124, 몬스터계수[[#Data],[타입]],0),1)*C124,
IF(E124="방어형",INDEX(몬스터계수[[#Data],[힘계수]],MATCH(E124, 몬스터계수[[#Data],[타입]],0),1)*C124,
IF(E124="회피형",INDEX(몬스터계수[[#Data],[힘계수]],MATCH(E124, 몬스터계수[[#Data],[타입]],0),1)*C124,
IF(E124="체력형",INDEX(몬스터계수[[#Data],[힘계수]],MATCH(E124, 몬스터계수[[#Data],[타입]],0),1)*C124,0))))</f>
        <v>1516.25</v>
      </c>
      <c r="H124">
        <f>IF(E124="공격형",INDEX(몬스터계수[[#Data],[근력게수]],MATCH(E124,몬스터계수[[#Data],[타입]],0),1)*C124,
IF(E124="방어형",INDEX(몬스터계수[[#Data],[근력게수]],MATCH(E124,몬스터계수[[#Data],[타입]],0),1)*C124,
IF(E124="회피형",INDEX(몬스터계수[[#Data],[근력게수]],MATCH(E124,몬스터계수[[#Data],[타입]],0),1)*C124,
IF(E124="체력형",INDEX(몬스터계수[[#Data],[근력게수]],MATCH(E124,몬스터계수[[#Data],[타입]],0),1)*C124,0))))</f>
        <v>303.25</v>
      </c>
      <c r="I124">
        <f>IF(E124="공격형",INDEX(몬스터계수[[#Data],[숙련도계수]],MATCH(E124,몬스터계수[[#Data],[타입]],0),1)*C124,
IF(E124="방어형",INDEX(몬스터계수[[#Data],[숙련도계수]],MATCH(E124,몬스터계수[[#Data],[타입]],0),1)*C124,
IF(E124="회피형",INDEX(몬스터계수[[#Data],[숙련도계수]],MATCH(E124,몬스터계수[[#Data],[타입]],0),1)*C124,
IF(E124="체력형",INDEX(몬스터계수[[#Data],[숙련도계수]],MATCH(E124,몬스터계수[[#Data],[타입]],0),1)*C124,0))))</f>
        <v>909.75</v>
      </c>
      <c r="J124">
        <f>IF(E124="공격형",INDEX(몬스터계수[[#Data],[행운계수]],MATCH(E124, 몬스터계수[[#Data],[타입]],0),1)*C124,
IF(E124="방어형",INDEX(몬스터계수[[#Data],[행운계수]],MATCH(E124, 몬스터계수[[#Data],[타입]],0),1)*C124,
IF(E124="회피형",INDEX(몬스터계수[[#Data],[행운계수]],MATCH(E124, 몬스터계수[[#Data],[타입]],0),1)*C124,
IF(E124="체력형",INDEX(몬스터계수[[#Data],[행운계수]],MATCH(E124, 몬스터계수[[#Data],[타입]],0),1)*C124,0))))</f>
        <v>303.25</v>
      </c>
      <c r="K124" s="34">
        <f>ROUND(
(($F124)*참고!$D$5)
+(($G124)*참고!$D$6)
+(($H124)*참고!$D$7)
+(($I124)*참고!$D$8)
+(($J124))*참고!$D$9,0)</f>
        <v>47155</v>
      </c>
      <c r="L124" s="34">
        <f>ROUND(
(($F124)*참고!$E$5)
+(($G124)*참고!$E$6)
+(($H124)*참고!$E$7)
+(($I124)*참고!$E$8)
+(($J124))*참고!$E$9,0)</f>
        <v>26989</v>
      </c>
      <c r="M124" s="34">
        <f>ROUND(
(($F124)*참고!$F$5)
+(($G124)*참고!$F$6)
+(($H124)*참고!$F$7)
+(($I124)*참고!$F$8)
+(($J124))*참고!$F$9,0)</f>
        <v>7581</v>
      </c>
      <c r="N124" s="34">
        <f>ROUND(
(($F124)*참고!$G$5)
+(($G124)*참고!$G$6)
+(($H124)*참고!$G$7)
+(($I124)*참고!$G$8)
+(($J124))*참고!$G$9,0)</f>
        <v>212</v>
      </c>
      <c r="O124" s="34">
        <f>ROUND(
(($F124)*참고!$H$5)
+(($G124)*참고!$H$6)
+(($H124)*참고!$H$7)
+(($I124)*참고!$H$8)
+(($J124))*참고!$H$9,0)</f>
        <v>5004</v>
      </c>
      <c r="P124" s="34">
        <f>ROUND(
(($F124)*참고!$I$5)
+(($G124)*참고!$I$6)
+(($H124)*참고!$I$7)
+(($I124)*참고!$I$8)
+(($J124))*참고!$I$9,0)</f>
        <v>8794</v>
      </c>
      <c r="Q124" s="34">
        <f>ROUND(
(($F124)*참고!$J$5)
+(($G124)*참고!$J$6)
+(($H124)*참고!$J$7)
+(($I124)*참고!$J$8)
+(($J124))*참고!$J$9,0)</f>
        <v>6065</v>
      </c>
      <c r="R124" s="34">
        <f>IF(E124="공격형",(INDEX(몬스터계수[[#Data],[속도]],MATCH(E124, 몬스터계수[[#Data],[타입]],0),1)*속도핸들러_곱계수)*(INT(몬스터밸런스[[#This Row],[Lv]]/속도핸들러_합계수+1)),
IF(E124="방어형",(INDEX(몬스터계수[[#Data],[속도]],MATCH(E124, 몬스터계수[[#Data],[타입]],0),1)*속도핸들러_곱계수)*(INT(몬스터밸런스[[#This Row],[Lv]]/속도핸들러_합계수+1)),
IF(E124="회피형",(INDEX(몬스터계수[[#Data],[속도]],MATCH(E124, 몬스터계수[[#Data],[타입]],0),1)*속도핸들러_곱계수)*(INT(몬스터밸런스[[#This Row],[Lv]]/속도핸들러_합계수+1)),
IF(E124="기본형",(INDEX(몬스터계수[[#Data],[속도]],MATCH(E124, 몬스터계수[[#Data],[타입]],0),1)*속도핸들러_곱계수)*(INT(몬스터밸런스[[#This Row],[Lv]]/속도핸들러_합계수+1)),0))))</f>
        <v>0</v>
      </c>
      <c r="S124">
        <f t="shared" si="4"/>
        <v>1618990.5</v>
      </c>
      <c r="U124">
        <v>5</v>
      </c>
      <c r="V124">
        <v>122</v>
      </c>
      <c r="W124">
        <f>$Z$1*몬스터밸런스9[[#This Row],[단계]]</f>
        <v>25</v>
      </c>
      <c r="X124" t="s">
        <v>49</v>
      </c>
      <c r="AE124" s="34"/>
      <c r="AF124" s="34"/>
      <c r="AG124" s="34"/>
      <c r="AH124" s="34"/>
      <c r="AI124" s="34">
        <f>몬스터밸런스[[#This Row],[CriticalDamage]]</f>
        <v>5004</v>
      </c>
      <c r="AJ124" s="34"/>
      <c r="AK124" s="34"/>
      <c r="AL124">
        <f t="shared" si="6"/>
        <v>22518</v>
      </c>
    </row>
    <row r="125" spans="1:38">
      <c r="A125">
        <v>1220</v>
      </c>
      <c r="B125">
        <v>123</v>
      </c>
      <c r="C125">
        <f>$F$1*몬스터밸런스[[#This Row],[Lv]]+15</f>
        <v>6115</v>
      </c>
      <c r="E125" t="s">
        <v>479</v>
      </c>
      <c r="F125">
        <f>IF(E125="공격형",INDEX(몬스터계수[[#Data],[생명계수]],MATCH(E125,몬스터계수[[#Data],[타입]],0),1)*C125,
IF(E125="방어형",INDEX(몬스터계수[[#Data],[생명계수]],MATCH(E125,몬스터계수[[#Data],[타입]],0),1)*C125,
IF(E125="회피형",INDEX(몬스터계수[[#Data],[생명계수]],MATCH(E125,몬스터계수[[#Data],[타입]],0),1)*C125,
IF(E125="체력형",INDEX(몬스터계수[[#Data],[생명계수]],MATCH(E125,몬스터계수[[#Data],[타입]],0),1)*C125,0))))*IF(몬스터밸런스[[#This Row],[보스]]=TRUE,2,1)</f>
        <v>3057.5</v>
      </c>
      <c r="G125">
        <f>IF(E125="공격형",INDEX(몬스터계수[[#Data],[힘계수]],MATCH(E125, 몬스터계수[[#Data],[타입]],0),1)*C125,
IF(E125="방어형",INDEX(몬스터계수[[#Data],[힘계수]],MATCH(E125, 몬스터계수[[#Data],[타입]],0),1)*C125,
IF(E125="회피형",INDEX(몬스터계수[[#Data],[힘계수]],MATCH(E125, 몬스터계수[[#Data],[타입]],0),1)*C125,
IF(E125="체력형",INDEX(몬스터계수[[#Data],[힘계수]],MATCH(E125, 몬스터계수[[#Data],[타입]],0),1)*C125,0))))</f>
        <v>1528.75</v>
      </c>
      <c r="H125">
        <f>IF(E125="공격형",INDEX(몬스터계수[[#Data],[근력게수]],MATCH(E125,몬스터계수[[#Data],[타입]],0),1)*C125,
IF(E125="방어형",INDEX(몬스터계수[[#Data],[근력게수]],MATCH(E125,몬스터계수[[#Data],[타입]],0),1)*C125,
IF(E125="회피형",INDEX(몬스터계수[[#Data],[근력게수]],MATCH(E125,몬스터계수[[#Data],[타입]],0),1)*C125,
IF(E125="체력형",INDEX(몬스터계수[[#Data],[근력게수]],MATCH(E125,몬스터계수[[#Data],[타입]],0),1)*C125,0))))</f>
        <v>305.75</v>
      </c>
      <c r="I125">
        <f>IF(E125="공격형",INDEX(몬스터계수[[#Data],[숙련도계수]],MATCH(E125,몬스터계수[[#Data],[타입]],0),1)*C125,
IF(E125="방어형",INDEX(몬스터계수[[#Data],[숙련도계수]],MATCH(E125,몬스터계수[[#Data],[타입]],0),1)*C125,
IF(E125="회피형",INDEX(몬스터계수[[#Data],[숙련도계수]],MATCH(E125,몬스터계수[[#Data],[타입]],0),1)*C125,
IF(E125="체력형",INDEX(몬스터계수[[#Data],[숙련도계수]],MATCH(E125,몬스터계수[[#Data],[타입]],0),1)*C125,0))))</f>
        <v>917.25</v>
      </c>
      <c r="J125">
        <f>IF(E125="공격형",INDEX(몬스터계수[[#Data],[행운계수]],MATCH(E125, 몬스터계수[[#Data],[타입]],0),1)*C125,
IF(E125="방어형",INDEX(몬스터계수[[#Data],[행운계수]],MATCH(E125, 몬스터계수[[#Data],[타입]],0),1)*C125,
IF(E125="회피형",INDEX(몬스터계수[[#Data],[행운계수]],MATCH(E125, 몬스터계수[[#Data],[타입]],0),1)*C125,
IF(E125="체력형",INDEX(몬스터계수[[#Data],[행운계수]],MATCH(E125, 몬스터계수[[#Data],[타입]],0),1)*C125,0))))</f>
        <v>305.75</v>
      </c>
      <c r="K125" s="34">
        <f>ROUND(
(($F125)*참고!$D$5)
+(($G125)*참고!$D$6)
+(($H125)*참고!$D$7)
+(($I125)*참고!$D$8)
+(($J125))*참고!$D$9,0)</f>
        <v>47544</v>
      </c>
      <c r="L125" s="34">
        <f>ROUND(
(($F125)*참고!$E$5)
+(($G125)*참고!$E$6)
+(($H125)*참고!$E$7)
+(($I125)*참고!$E$8)
+(($J125))*참고!$E$9,0)</f>
        <v>27212</v>
      </c>
      <c r="M125" s="34">
        <f>ROUND(
(($F125)*참고!$F$5)
+(($G125)*참고!$F$6)
+(($H125)*참고!$F$7)
+(($I125)*참고!$F$8)
+(($J125))*참고!$F$9,0)</f>
        <v>7644</v>
      </c>
      <c r="N125" s="34">
        <f>ROUND(
(($F125)*참고!$G$5)
+(($G125)*참고!$G$6)
+(($H125)*참고!$G$7)
+(($I125)*참고!$G$8)
+(($J125))*참고!$G$9,0)</f>
        <v>214</v>
      </c>
      <c r="O125" s="34">
        <f>ROUND(
(($F125)*참고!$H$5)
+(($G125)*참고!$H$6)
+(($H125)*참고!$H$7)
+(($I125)*참고!$H$8)
+(($J125))*참고!$H$9,0)</f>
        <v>5045</v>
      </c>
      <c r="P125" s="34">
        <f>ROUND(
(($F125)*참고!$I$5)
+(($G125)*참고!$I$6)
+(($H125)*참고!$I$7)
+(($I125)*참고!$I$8)
+(($J125))*참고!$I$9,0)</f>
        <v>8867</v>
      </c>
      <c r="Q125" s="34">
        <f>ROUND(
(($F125)*참고!$J$5)
+(($G125)*참고!$J$6)
+(($H125)*참고!$J$7)
+(($I125)*참고!$J$8)
+(($J125))*참고!$J$9,0)</f>
        <v>6115</v>
      </c>
      <c r="R125" s="34">
        <f>IF(E125="공격형",(INDEX(몬스터계수[[#Data],[속도]],MATCH(E125, 몬스터계수[[#Data],[타입]],0),1)*속도핸들러_곱계수)*(INT(몬스터밸런스[[#This Row],[Lv]]/속도핸들러_합계수+1)),
IF(E125="방어형",(INDEX(몬스터계수[[#Data],[속도]],MATCH(E125, 몬스터계수[[#Data],[타입]],0),1)*속도핸들러_곱계수)*(INT(몬스터밸런스[[#This Row],[Lv]]/속도핸들러_합계수+1)),
IF(E125="회피형",(INDEX(몬스터계수[[#Data],[속도]],MATCH(E125, 몬스터계수[[#Data],[타입]],0),1)*속도핸들러_곱계수)*(INT(몬스터밸런스[[#This Row],[Lv]]/속도핸들러_합계수+1)),
IF(E125="기본형",(INDEX(몬스터계수[[#Data],[속도]],MATCH(E125, 몬스터계수[[#Data],[타입]],0),1)*속도핸들러_곱계수)*(INT(몬스터밸런스[[#This Row],[Lv]]/속도핸들러_합계수+1)),0))))</f>
        <v>0</v>
      </c>
      <c r="S125">
        <f t="shared" si="4"/>
        <v>1632362.5</v>
      </c>
      <c r="U125">
        <v>5</v>
      </c>
      <c r="V125">
        <v>123</v>
      </c>
      <c r="W125">
        <f>$Z$1*몬스터밸런스9[[#This Row],[단계]]</f>
        <v>25</v>
      </c>
      <c r="X125" t="s">
        <v>49</v>
      </c>
      <c r="AE125" s="34"/>
      <c r="AF125" s="34"/>
      <c r="AG125" s="34"/>
      <c r="AH125" s="34">
        <f>몬스터밸런스[[#This Row],[CriticalRate]]</f>
        <v>214</v>
      </c>
      <c r="AI125" s="34"/>
      <c r="AJ125" s="34"/>
      <c r="AK125" s="34"/>
      <c r="AL125">
        <f t="shared" si="6"/>
        <v>107</v>
      </c>
    </row>
    <row r="126" spans="1:38">
      <c r="A126">
        <v>1230</v>
      </c>
      <c r="B126">
        <v>124</v>
      </c>
      <c r="C126">
        <f>$F$1*몬스터밸런스[[#This Row],[Lv]]+15</f>
        <v>6165</v>
      </c>
      <c r="E126" t="s">
        <v>479</v>
      </c>
      <c r="F126">
        <f>IF(E126="공격형",INDEX(몬스터계수[[#Data],[생명계수]],MATCH(E126,몬스터계수[[#Data],[타입]],0),1)*C126,
IF(E126="방어형",INDEX(몬스터계수[[#Data],[생명계수]],MATCH(E126,몬스터계수[[#Data],[타입]],0),1)*C126,
IF(E126="회피형",INDEX(몬스터계수[[#Data],[생명계수]],MATCH(E126,몬스터계수[[#Data],[타입]],0),1)*C126,
IF(E126="체력형",INDEX(몬스터계수[[#Data],[생명계수]],MATCH(E126,몬스터계수[[#Data],[타입]],0),1)*C126,0))))*IF(몬스터밸런스[[#This Row],[보스]]=TRUE,2,1)</f>
        <v>3082.5</v>
      </c>
      <c r="G126">
        <f>IF(E126="공격형",INDEX(몬스터계수[[#Data],[힘계수]],MATCH(E126, 몬스터계수[[#Data],[타입]],0),1)*C126,
IF(E126="방어형",INDEX(몬스터계수[[#Data],[힘계수]],MATCH(E126, 몬스터계수[[#Data],[타입]],0),1)*C126,
IF(E126="회피형",INDEX(몬스터계수[[#Data],[힘계수]],MATCH(E126, 몬스터계수[[#Data],[타입]],0),1)*C126,
IF(E126="체력형",INDEX(몬스터계수[[#Data],[힘계수]],MATCH(E126, 몬스터계수[[#Data],[타입]],0),1)*C126,0))))</f>
        <v>1541.25</v>
      </c>
      <c r="H126">
        <f>IF(E126="공격형",INDEX(몬스터계수[[#Data],[근력게수]],MATCH(E126,몬스터계수[[#Data],[타입]],0),1)*C126,
IF(E126="방어형",INDEX(몬스터계수[[#Data],[근력게수]],MATCH(E126,몬스터계수[[#Data],[타입]],0),1)*C126,
IF(E126="회피형",INDEX(몬스터계수[[#Data],[근력게수]],MATCH(E126,몬스터계수[[#Data],[타입]],0),1)*C126,
IF(E126="체력형",INDEX(몬스터계수[[#Data],[근력게수]],MATCH(E126,몬스터계수[[#Data],[타입]],0),1)*C126,0))))</f>
        <v>308.25</v>
      </c>
      <c r="I126">
        <f>IF(E126="공격형",INDEX(몬스터계수[[#Data],[숙련도계수]],MATCH(E126,몬스터계수[[#Data],[타입]],0),1)*C126,
IF(E126="방어형",INDEX(몬스터계수[[#Data],[숙련도계수]],MATCH(E126,몬스터계수[[#Data],[타입]],0),1)*C126,
IF(E126="회피형",INDEX(몬스터계수[[#Data],[숙련도계수]],MATCH(E126,몬스터계수[[#Data],[타입]],0),1)*C126,
IF(E126="체력형",INDEX(몬스터계수[[#Data],[숙련도계수]],MATCH(E126,몬스터계수[[#Data],[타입]],0),1)*C126,0))))</f>
        <v>924.75</v>
      </c>
      <c r="J126">
        <f>IF(E126="공격형",INDEX(몬스터계수[[#Data],[행운계수]],MATCH(E126, 몬스터계수[[#Data],[타입]],0),1)*C126,
IF(E126="방어형",INDEX(몬스터계수[[#Data],[행운계수]],MATCH(E126, 몬스터계수[[#Data],[타입]],0),1)*C126,
IF(E126="회피형",INDEX(몬스터계수[[#Data],[행운계수]],MATCH(E126, 몬스터계수[[#Data],[타입]],0),1)*C126,
IF(E126="체력형",INDEX(몬스터계수[[#Data],[행운계수]],MATCH(E126, 몬스터계수[[#Data],[타입]],0),1)*C126,0))))</f>
        <v>308.25</v>
      </c>
      <c r="K126" s="34">
        <f>ROUND(
(($F126)*참고!$D$5)
+(($G126)*참고!$D$6)
+(($H126)*참고!$D$7)
+(($I126)*참고!$D$8)
+(($J126))*참고!$D$9,0)</f>
        <v>47933</v>
      </c>
      <c r="L126" s="34">
        <f>ROUND(
(($F126)*참고!$E$5)
+(($G126)*참고!$E$6)
+(($H126)*참고!$E$7)
+(($I126)*참고!$E$8)
+(($J126))*참고!$E$9,0)</f>
        <v>27434</v>
      </c>
      <c r="M126" s="34">
        <f>ROUND(
(($F126)*참고!$F$5)
+(($G126)*참고!$F$6)
+(($H126)*참고!$F$7)
+(($I126)*참고!$F$8)
+(($J126))*참고!$F$9,0)</f>
        <v>7706</v>
      </c>
      <c r="N126" s="34">
        <f>ROUND(
(($F126)*참고!$G$5)
+(($G126)*참고!$G$6)
+(($H126)*참고!$G$7)
+(($I126)*참고!$G$8)
+(($J126))*참고!$G$9,0)</f>
        <v>216</v>
      </c>
      <c r="O126" s="34">
        <f>ROUND(
(($F126)*참고!$H$5)
+(($G126)*참고!$H$6)
+(($H126)*참고!$H$7)
+(($I126)*참고!$H$8)
+(($J126))*참고!$H$9,0)</f>
        <v>5086</v>
      </c>
      <c r="P126" s="34">
        <f>ROUND(
(($F126)*참고!$I$5)
+(($G126)*참고!$I$6)
+(($H126)*참고!$I$7)
+(($I126)*참고!$I$8)
+(($J126))*참고!$I$9,0)</f>
        <v>8939</v>
      </c>
      <c r="Q126" s="34">
        <f>ROUND(
(($F126)*참고!$J$5)
+(($G126)*참고!$J$6)
+(($H126)*참고!$J$7)
+(($I126)*참고!$J$8)
+(($J126))*참고!$J$9,0)</f>
        <v>6165</v>
      </c>
      <c r="R126" s="34">
        <f>IF(E126="공격형",(INDEX(몬스터계수[[#Data],[속도]],MATCH(E126, 몬스터계수[[#Data],[타입]],0),1)*속도핸들러_곱계수)*(INT(몬스터밸런스[[#This Row],[Lv]]/속도핸들러_합계수+1)),
IF(E126="방어형",(INDEX(몬스터계수[[#Data],[속도]],MATCH(E126, 몬스터계수[[#Data],[타입]],0),1)*속도핸들러_곱계수)*(INT(몬스터밸런스[[#This Row],[Lv]]/속도핸들러_합계수+1)),
IF(E126="회피형",(INDEX(몬스터계수[[#Data],[속도]],MATCH(E126, 몬스터계수[[#Data],[타입]],0),1)*속도핸들러_곱계수)*(INT(몬스터밸런스[[#This Row],[Lv]]/속도핸들러_합계수+1)),
IF(E126="기본형",(INDEX(몬스터계수[[#Data],[속도]],MATCH(E126, 몬스터계수[[#Data],[타입]],0),1)*속도핸들러_곱계수)*(INT(몬스터밸런스[[#This Row],[Lv]]/속도핸들러_합계수+1)),0))))</f>
        <v>0</v>
      </c>
      <c r="S126">
        <f t="shared" si="4"/>
        <v>1645691.5</v>
      </c>
      <c r="U126">
        <v>5</v>
      </c>
      <c r="V126">
        <v>124</v>
      </c>
      <c r="W126">
        <f>$Z$1*몬스터밸런스9[[#This Row],[단계]]</f>
        <v>25</v>
      </c>
      <c r="X126" t="s">
        <v>49</v>
      </c>
      <c r="AE126" s="34"/>
      <c r="AF126" s="34"/>
      <c r="AG126" s="34"/>
      <c r="AH126" s="34"/>
      <c r="AI126" s="34">
        <f>몬스터밸런스[[#This Row],[CriticalDamage]]</f>
        <v>5086</v>
      </c>
      <c r="AJ126" s="34"/>
      <c r="AK126" s="34"/>
      <c r="AL126">
        <f t="shared" si="6"/>
        <v>22887</v>
      </c>
    </row>
    <row r="127" spans="1:38">
      <c r="A127">
        <v>1240</v>
      </c>
      <c r="B127">
        <v>125</v>
      </c>
      <c r="C127">
        <f>$F$1*몬스터밸런스[[#This Row],[Lv]]+15</f>
        <v>6215</v>
      </c>
      <c r="E127" t="s">
        <v>479</v>
      </c>
      <c r="F127">
        <f>IF(E127="공격형",INDEX(몬스터계수[[#Data],[생명계수]],MATCH(E127,몬스터계수[[#Data],[타입]],0),1)*C127,
IF(E127="방어형",INDEX(몬스터계수[[#Data],[생명계수]],MATCH(E127,몬스터계수[[#Data],[타입]],0),1)*C127,
IF(E127="회피형",INDEX(몬스터계수[[#Data],[생명계수]],MATCH(E127,몬스터계수[[#Data],[타입]],0),1)*C127,
IF(E127="체력형",INDEX(몬스터계수[[#Data],[생명계수]],MATCH(E127,몬스터계수[[#Data],[타입]],0),1)*C127,0))))*IF(몬스터밸런스[[#This Row],[보스]]=TRUE,2,1)</f>
        <v>3107.5</v>
      </c>
      <c r="G127">
        <f>IF(E127="공격형",INDEX(몬스터계수[[#Data],[힘계수]],MATCH(E127, 몬스터계수[[#Data],[타입]],0),1)*C127,
IF(E127="방어형",INDEX(몬스터계수[[#Data],[힘계수]],MATCH(E127, 몬스터계수[[#Data],[타입]],0),1)*C127,
IF(E127="회피형",INDEX(몬스터계수[[#Data],[힘계수]],MATCH(E127, 몬스터계수[[#Data],[타입]],0),1)*C127,
IF(E127="체력형",INDEX(몬스터계수[[#Data],[힘계수]],MATCH(E127, 몬스터계수[[#Data],[타입]],0),1)*C127,0))))</f>
        <v>1553.75</v>
      </c>
      <c r="H127">
        <f>IF(E127="공격형",INDEX(몬스터계수[[#Data],[근력게수]],MATCH(E127,몬스터계수[[#Data],[타입]],0),1)*C127,
IF(E127="방어형",INDEX(몬스터계수[[#Data],[근력게수]],MATCH(E127,몬스터계수[[#Data],[타입]],0),1)*C127,
IF(E127="회피형",INDEX(몬스터계수[[#Data],[근력게수]],MATCH(E127,몬스터계수[[#Data],[타입]],0),1)*C127,
IF(E127="체력형",INDEX(몬스터계수[[#Data],[근력게수]],MATCH(E127,몬스터계수[[#Data],[타입]],0),1)*C127,0))))</f>
        <v>310.75</v>
      </c>
      <c r="I127">
        <f>IF(E127="공격형",INDEX(몬스터계수[[#Data],[숙련도계수]],MATCH(E127,몬스터계수[[#Data],[타입]],0),1)*C127,
IF(E127="방어형",INDEX(몬스터계수[[#Data],[숙련도계수]],MATCH(E127,몬스터계수[[#Data],[타입]],0),1)*C127,
IF(E127="회피형",INDEX(몬스터계수[[#Data],[숙련도계수]],MATCH(E127,몬스터계수[[#Data],[타입]],0),1)*C127,
IF(E127="체력형",INDEX(몬스터계수[[#Data],[숙련도계수]],MATCH(E127,몬스터계수[[#Data],[타입]],0),1)*C127,0))))</f>
        <v>932.25</v>
      </c>
      <c r="J127">
        <f>IF(E127="공격형",INDEX(몬스터계수[[#Data],[행운계수]],MATCH(E127, 몬스터계수[[#Data],[타입]],0),1)*C127,
IF(E127="방어형",INDEX(몬스터계수[[#Data],[행운계수]],MATCH(E127, 몬스터계수[[#Data],[타입]],0),1)*C127,
IF(E127="회피형",INDEX(몬스터계수[[#Data],[행운계수]],MATCH(E127, 몬스터계수[[#Data],[타입]],0),1)*C127,
IF(E127="체력형",INDEX(몬스터계수[[#Data],[행운계수]],MATCH(E127, 몬스터계수[[#Data],[타입]],0),1)*C127,0))))</f>
        <v>310.75</v>
      </c>
      <c r="K127" s="34">
        <f>ROUND(
(($F127)*참고!$D$5)
+(($G127)*참고!$D$6)
+(($H127)*참고!$D$7)
+(($I127)*참고!$D$8)
+(($J127))*참고!$D$9,0)</f>
        <v>48322</v>
      </c>
      <c r="L127" s="34">
        <f>ROUND(
(($F127)*참고!$E$5)
+(($G127)*참고!$E$6)
+(($H127)*참고!$E$7)
+(($I127)*참고!$E$8)
+(($J127))*참고!$E$9,0)</f>
        <v>27657</v>
      </c>
      <c r="M127" s="34">
        <f>ROUND(
(($F127)*참고!$F$5)
+(($G127)*참고!$F$6)
+(($H127)*참고!$F$7)
+(($I127)*참고!$F$8)
+(($J127))*참고!$F$9,0)</f>
        <v>7769</v>
      </c>
      <c r="N127" s="34">
        <f>ROUND(
(($F127)*참고!$G$5)
+(($G127)*참고!$G$6)
+(($H127)*참고!$G$7)
+(($I127)*참고!$G$8)
+(($J127))*참고!$G$9,0)</f>
        <v>218</v>
      </c>
      <c r="O127" s="34">
        <f>ROUND(
(($F127)*참고!$H$5)
+(($G127)*참고!$H$6)
+(($H127)*참고!$H$7)
+(($I127)*참고!$H$8)
+(($J127))*참고!$H$9,0)</f>
        <v>5127</v>
      </c>
      <c r="P127" s="34">
        <f>ROUND(
(($F127)*참고!$I$5)
+(($G127)*참고!$I$6)
+(($H127)*참고!$I$7)
+(($I127)*참고!$I$8)
+(($J127))*참고!$I$9,0)</f>
        <v>9012</v>
      </c>
      <c r="Q127" s="34">
        <f>ROUND(
(($F127)*참고!$J$5)
+(($G127)*참고!$J$6)
+(($H127)*참고!$J$7)
+(($I127)*참고!$J$8)
+(($J127))*참고!$J$9,0)</f>
        <v>6215</v>
      </c>
      <c r="R127" s="34">
        <f>IF(E127="공격형",(INDEX(몬스터계수[[#Data],[속도]],MATCH(E127, 몬스터계수[[#Data],[타입]],0),1)*속도핸들러_곱계수)*(INT(몬스터밸런스[[#This Row],[Lv]]/속도핸들러_합계수+1)),
IF(E127="방어형",(INDEX(몬스터계수[[#Data],[속도]],MATCH(E127, 몬스터계수[[#Data],[타입]],0),1)*속도핸들러_곱계수)*(INT(몬스터밸런스[[#This Row],[Lv]]/속도핸들러_합계수+1)),
IF(E127="회피형",(INDEX(몬스터계수[[#Data],[속도]],MATCH(E127, 몬스터계수[[#Data],[타입]],0),1)*속도핸들러_곱계수)*(INT(몬스터밸런스[[#This Row],[Lv]]/속도핸들러_합계수+1)),
IF(E127="기본형",(INDEX(몬스터계수[[#Data],[속도]],MATCH(E127, 몬스터계수[[#Data],[타입]],0),1)*속도핸들러_곱계수)*(INT(몬스터밸런스[[#This Row],[Lv]]/속도핸들러_합계수+1)),0))))</f>
        <v>0</v>
      </c>
      <c r="S127">
        <f t="shared" si="4"/>
        <v>1659063.5</v>
      </c>
      <c r="U127">
        <v>5</v>
      </c>
      <c r="V127">
        <v>125</v>
      </c>
      <c r="W127">
        <f>$Z$1*몬스터밸런스9[[#This Row],[단계]]</f>
        <v>25</v>
      </c>
      <c r="X127" t="s">
        <v>49</v>
      </c>
      <c r="AE127" s="34"/>
      <c r="AF127" s="34"/>
      <c r="AG127" s="34"/>
      <c r="AH127" s="34">
        <f>몬스터밸런스[[#This Row],[CriticalRate]]</f>
        <v>218</v>
      </c>
      <c r="AI127" s="34"/>
      <c r="AJ127" s="34"/>
      <c r="AK127" s="34"/>
      <c r="AL127">
        <f t="shared" si="6"/>
        <v>109</v>
      </c>
    </row>
    <row r="128" spans="1:38">
      <c r="A128">
        <v>1250</v>
      </c>
      <c r="B128">
        <v>126</v>
      </c>
      <c r="C128">
        <f>$F$1*몬스터밸런스[[#This Row],[Lv]]+15</f>
        <v>6265</v>
      </c>
      <c r="E128" t="s">
        <v>479</v>
      </c>
      <c r="F128">
        <f>IF(E128="공격형",INDEX(몬스터계수[[#Data],[생명계수]],MATCH(E128,몬스터계수[[#Data],[타입]],0),1)*C128,
IF(E128="방어형",INDEX(몬스터계수[[#Data],[생명계수]],MATCH(E128,몬스터계수[[#Data],[타입]],0),1)*C128,
IF(E128="회피형",INDEX(몬스터계수[[#Data],[생명계수]],MATCH(E128,몬스터계수[[#Data],[타입]],0),1)*C128,
IF(E128="체력형",INDEX(몬스터계수[[#Data],[생명계수]],MATCH(E128,몬스터계수[[#Data],[타입]],0),1)*C128,0))))*IF(몬스터밸런스[[#This Row],[보스]]=TRUE,2,1)</f>
        <v>3132.5</v>
      </c>
      <c r="G128">
        <f>IF(E128="공격형",INDEX(몬스터계수[[#Data],[힘계수]],MATCH(E128, 몬스터계수[[#Data],[타입]],0),1)*C128,
IF(E128="방어형",INDEX(몬스터계수[[#Data],[힘계수]],MATCH(E128, 몬스터계수[[#Data],[타입]],0),1)*C128,
IF(E128="회피형",INDEX(몬스터계수[[#Data],[힘계수]],MATCH(E128, 몬스터계수[[#Data],[타입]],0),1)*C128,
IF(E128="체력형",INDEX(몬스터계수[[#Data],[힘계수]],MATCH(E128, 몬스터계수[[#Data],[타입]],0),1)*C128,0))))</f>
        <v>1566.25</v>
      </c>
      <c r="H128">
        <f>IF(E128="공격형",INDEX(몬스터계수[[#Data],[근력게수]],MATCH(E128,몬스터계수[[#Data],[타입]],0),1)*C128,
IF(E128="방어형",INDEX(몬스터계수[[#Data],[근력게수]],MATCH(E128,몬스터계수[[#Data],[타입]],0),1)*C128,
IF(E128="회피형",INDEX(몬스터계수[[#Data],[근력게수]],MATCH(E128,몬스터계수[[#Data],[타입]],0),1)*C128,
IF(E128="체력형",INDEX(몬스터계수[[#Data],[근력게수]],MATCH(E128,몬스터계수[[#Data],[타입]],0),1)*C128,0))))</f>
        <v>313.25</v>
      </c>
      <c r="I128">
        <f>IF(E128="공격형",INDEX(몬스터계수[[#Data],[숙련도계수]],MATCH(E128,몬스터계수[[#Data],[타입]],0),1)*C128,
IF(E128="방어형",INDEX(몬스터계수[[#Data],[숙련도계수]],MATCH(E128,몬스터계수[[#Data],[타입]],0),1)*C128,
IF(E128="회피형",INDEX(몬스터계수[[#Data],[숙련도계수]],MATCH(E128,몬스터계수[[#Data],[타입]],0),1)*C128,
IF(E128="체력형",INDEX(몬스터계수[[#Data],[숙련도계수]],MATCH(E128,몬스터계수[[#Data],[타입]],0),1)*C128,0))))</f>
        <v>939.75</v>
      </c>
      <c r="J128">
        <f>IF(E128="공격형",INDEX(몬스터계수[[#Data],[행운계수]],MATCH(E128, 몬스터계수[[#Data],[타입]],0),1)*C128,
IF(E128="방어형",INDEX(몬스터계수[[#Data],[행운계수]],MATCH(E128, 몬스터계수[[#Data],[타입]],0),1)*C128,
IF(E128="회피형",INDEX(몬스터계수[[#Data],[행운계수]],MATCH(E128, 몬스터계수[[#Data],[타입]],0),1)*C128,
IF(E128="체력형",INDEX(몬스터계수[[#Data],[행운계수]],MATCH(E128, 몬스터계수[[#Data],[타입]],0),1)*C128,0))))</f>
        <v>313.25</v>
      </c>
      <c r="K128" s="34">
        <f>ROUND(
(($F128)*참고!$D$5)
+(($G128)*참고!$D$6)
+(($H128)*참고!$D$7)
+(($I128)*참고!$D$8)
+(($J128))*참고!$D$9,0)</f>
        <v>48710</v>
      </c>
      <c r="L128" s="34">
        <f>ROUND(
(($F128)*참고!$E$5)
+(($G128)*참고!$E$6)
+(($H128)*참고!$E$7)
+(($I128)*참고!$E$8)
+(($J128))*참고!$E$9,0)</f>
        <v>27879</v>
      </c>
      <c r="M128" s="34">
        <f>ROUND(
(($F128)*참고!$F$5)
+(($G128)*참고!$F$6)
+(($H128)*참고!$F$7)
+(($I128)*참고!$F$8)
+(($J128))*참고!$F$9,0)</f>
        <v>7831</v>
      </c>
      <c r="N128" s="34">
        <f>ROUND(
(($F128)*참고!$G$5)
+(($G128)*참고!$G$6)
+(($H128)*참고!$G$7)
+(($I128)*참고!$G$8)
+(($J128))*참고!$G$9,0)</f>
        <v>219</v>
      </c>
      <c r="O128" s="34">
        <f>ROUND(
(($F128)*참고!$H$5)
+(($G128)*참고!$H$6)
+(($H128)*참고!$H$7)
+(($I128)*참고!$H$8)
+(($J128))*참고!$H$9,0)</f>
        <v>5169</v>
      </c>
      <c r="P128" s="34">
        <f>ROUND(
(($F128)*참고!$I$5)
+(($G128)*참고!$I$6)
+(($H128)*참고!$I$7)
+(($I128)*참고!$I$8)
+(($J128))*참고!$I$9,0)</f>
        <v>9084</v>
      </c>
      <c r="Q128" s="34">
        <f>ROUND(
(($F128)*참고!$J$5)
+(($G128)*참고!$J$6)
+(($H128)*참고!$J$7)
+(($I128)*참고!$J$8)
+(($J128))*참고!$J$9,0)</f>
        <v>6265</v>
      </c>
      <c r="R128" s="34">
        <f>IF(E128="공격형",(INDEX(몬스터계수[[#Data],[속도]],MATCH(E128, 몬스터계수[[#Data],[타입]],0),1)*속도핸들러_곱계수)*(INT(몬스터밸런스[[#This Row],[Lv]]/속도핸들러_합계수+1)),
IF(E128="방어형",(INDEX(몬스터계수[[#Data],[속도]],MATCH(E128, 몬스터계수[[#Data],[타입]],0),1)*속도핸들러_곱계수)*(INT(몬스터밸런스[[#This Row],[Lv]]/속도핸들러_합계수+1)),
IF(E128="회피형",(INDEX(몬스터계수[[#Data],[속도]],MATCH(E128, 몬스터계수[[#Data],[타입]],0),1)*속도핸들러_곱계수)*(INT(몬스터밸런스[[#This Row],[Lv]]/속도핸들러_합계수+1)),
IF(E128="기본형",(INDEX(몬스터계수[[#Data],[속도]],MATCH(E128, 몬스터계수[[#Data],[타입]],0),1)*속도핸들러_곱계수)*(INT(몬스터밸런스[[#This Row],[Lv]]/속도핸들러_합계수+1)),0))))</f>
        <v>0</v>
      </c>
      <c r="S128">
        <f t="shared" si="4"/>
        <v>1672379</v>
      </c>
      <c r="U128">
        <v>1</v>
      </c>
      <c r="V128">
        <v>126</v>
      </c>
      <c r="W128">
        <f>$Z$1*몬스터밸런스9[[#This Row],[단계]]</f>
        <v>5</v>
      </c>
      <c r="X128" t="s">
        <v>45</v>
      </c>
      <c r="AE128" s="34">
        <f>몬스터밸런스[[#This Row],[생명]]</f>
        <v>3132.5</v>
      </c>
      <c r="AF128" s="34"/>
      <c r="AG128" s="34"/>
      <c r="AH128" s="34"/>
      <c r="AI128" s="34"/>
      <c r="AJ128" s="34"/>
      <c r="AK128" s="34"/>
      <c r="AL128">
        <f t="shared" si="6"/>
        <v>54818.75</v>
      </c>
    </row>
    <row r="129" spans="1:38">
      <c r="A129">
        <v>1260</v>
      </c>
      <c r="B129">
        <v>127</v>
      </c>
      <c r="C129">
        <f>$F$1*몬스터밸런스[[#This Row],[Lv]]+15</f>
        <v>6315</v>
      </c>
      <c r="E129" t="s">
        <v>479</v>
      </c>
      <c r="F129">
        <f>IF(E129="공격형",INDEX(몬스터계수[[#Data],[생명계수]],MATCH(E129,몬스터계수[[#Data],[타입]],0),1)*C129,
IF(E129="방어형",INDEX(몬스터계수[[#Data],[생명계수]],MATCH(E129,몬스터계수[[#Data],[타입]],0),1)*C129,
IF(E129="회피형",INDEX(몬스터계수[[#Data],[생명계수]],MATCH(E129,몬스터계수[[#Data],[타입]],0),1)*C129,
IF(E129="체력형",INDEX(몬스터계수[[#Data],[생명계수]],MATCH(E129,몬스터계수[[#Data],[타입]],0),1)*C129,0))))*IF(몬스터밸런스[[#This Row],[보스]]=TRUE,2,1)</f>
        <v>3157.5</v>
      </c>
      <c r="G129">
        <f>IF(E129="공격형",INDEX(몬스터계수[[#Data],[힘계수]],MATCH(E129, 몬스터계수[[#Data],[타입]],0),1)*C129,
IF(E129="방어형",INDEX(몬스터계수[[#Data],[힘계수]],MATCH(E129, 몬스터계수[[#Data],[타입]],0),1)*C129,
IF(E129="회피형",INDEX(몬스터계수[[#Data],[힘계수]],MATCH(E129, 몬스터계수[[#Data],[타입]],0),1)*C129,
IF(E129="체력형",INDEX(몬스터계수[[#Data],[힘계수]],MATCH(E129, 몬스터계수[[#Data],[타입]],0),1)*C129,0))))</f>
        <v>1578.75</v>
      </c>
      <c r="H129">
        <f>IF(E129="공격형",INDEX(몬스터계수[[#Data],[근력게수]],MATCH(E129,몬스터계수[[#Data],[타입]],0),1)*C129,
IF(E129="방어형",INDEX(몬스터계수[[#Data],[근력게수]],MATCH(E129,몬스터계수[[#Data],[타입]],0),1)*C129,
IF(E129="회피형",INDEX(몬스터계수[[#Data],[근력게수]],MATCH(E129,몬스터계수[[#Data],[타입]],0),1)*C129,
IF(E129="체력형",INDEX(몬스터계수[[#Data],[근력게수]],MATCH(E129,몬스터계수[[#Data],[타입]],0),1)*C129,0))))</f>
        <v>315.75</v>
      </c>
      <c r="I129">
        <f>IF(E129="공격형",INDEX(몬스터계수[[#Data],[숙련도계수]],MATCH(E129,몬스터계수[[#Data],[타입]],0),1)*C129,
IF(E129="방어형",INDEX(몬스터계수[[#Data],[숙련도계수]],MATCH(E129,몬스터계수[[#Data],[타입]],0),1)*C129,
IF(E129="회피형",INDEX(몬스터계수[[#Data],[숙련도계수]],MATCH(E129,몬스터계수[[#Data],[타입]],0),1)*C129,
IF(E129="체력형",INDEX(몬스터계수[[#Data],[숙련도계수]],MATCH(E129,몬스터계수[[#Data],[타입]],0),1)*C129,0))))</f>
        <v>947.25</v>
      </c>
      <c r="J129">
        <f>IF(E129="공격형",INDEX(몬스터계수[[#Data],[행운계수]],MATCH(E129, 몬스터계수[[#Data],[타입]],0),1)*C129,
IF(E129="방어형",INDEX(몬스터계수[[#Data],[행운계수]],MATCH(E129, 몬스터계수[[#Data],[타입]],0),1)*C129,
IF(E129="회피형",INDEX(몬스터계수[[#Data],[행운계수]],MATCH(E129, 몬스터계수[[#Data],[타입]],0),1)*C129,
IF(E129="체력형",INDEX(몬스터계수[[#Data],[행운계수]],MATCH(E129, 몬스터계수[[#Data],[타입]],0),1)*C129,0))))</f>
        <v>315.75</v>
      </c>
      <c r="K129" s="34">
        <f>ROUND(
(($F129)*참고!$D$5)
+(($G129)*참고!$D$6)
+(($H129)*참고!$D$7)
+(($I129)*참고!$D$8)
+(($J129))*참고!$D$9,0)</f>
        <v>49099</v>
      </c>
      <c r="L129" s="34">
        <f>ROUND(
(($F129)*참고!$E$5)
+(($G129)*참고!$E$6)
+(($H129)*참고!$E$7)
+(($I129)*참고!$E$8)
+(($J129))*참고!$E$9,0)</f>
        <v>28102</v>
      </c>
      <c r="M129" s="34">
        <f>ROUND(
(($F129)*참고!$F$5)
+(($G129)*참고!$F$6)
+(($H129)*참고!$F$7)
+(($I129)*참고!$F$8)
+(($J129))*참고!$F$9,0)</f>
        <v>7894</v>
      </c>
      <c r="N129" s="34">
        <f>ROUND(
(($F129)*참고!$G$5)
+(($G129)*참고!$G$6)
+(($H129)*참고!$G$7)
+(($I129)*참고!$G$8)
+(($J129))*참고!$G$9,0)</f>
        <v>221</v>
      </c>
      <c r="O129" s="34">
        <f>ROUND(
(($F129)*참고!$H$5)
+(($G129)*참고!$H$6)
+(($H129)*참고!$H$7)
+(($I129)*참고!$H$8)
+(($J129))*참고!$H$9,0)</f>
        <v>5210</v>
      </c>
      <c r="P129" s="34">
        <f>ROUND(
(($F129)*참고!$I$5)
+(($G129)*참고!$I$6)
+(($H129)*참고!$I$7)
+(($I129)*참고!$I$8)
+(($J129))*참고!$I$9,0)</f>
        <v>9157</v>
      </c>
      <c r="Q129" s="34">
        <f>ROUND(
(($F129)*참고!$J$5)
+(($G129)*참고!$J$6)
+(($H129)*참고!$J$7)
+(($I129)*참고!$J$8)
+(($J129))*참고!$J$9,0)</f>
        <v>6315</v>
      </c>
      <c r="R129" s="34">
        <f>IF(E129="공격형",(INDEX(몬스터계수[[#Data],[속도]],MATCH(E129, 몬스터계수[[#Data],[타입]],0),1)*속도핸들러_곱계수)*(INT(몬스터밸런스[[#This Row],[Lv]]/속도핸들러_합계수+1)),
IF(E129="방어형",(INDEX(몬스터계수[[#Data],[속도]],MATCH(E129, 몬스터계수[[#Data],[타입]],0),1)*속도핸들러_곱계수)*(INT(몬스터밸런스[[#This Row],[Lv]]/속도핸들러_합계수+1)),
IF(E129="회피형",(INDEX(몬스터계수[[#Data],[속도]],MATCH(E129, 몬스터계수[[#Data],[타입]],0),1)*속도핸들러_곱계수)*(INT(몬스터밸런스[[#This Row],[Lv]]/속도핸들러_합계수+1)),
IF(E129="기본형",(INDEX(몬스터계수[[#Data],[속도]],MATCH(E129, 몬스터계수[[#Data],[타입]],0),1)*속도핸들러_곱계수)*(INT(몬스터밸런스[[#This Row],[Lv]]/속도핸들러_합계수+1)),0))))</f>
        <v>0</v>
      </c>
      <c r="S129">
        <f t="shared" si="4"/>
        <v>1685751</v>
      </c>
      <c r="U129">
        <v>1</v>
      </c>
      <c r="V129">
        <v>127</v>
      </c>
      <c r="W129">
        <f>$Z$1*몬스터밸런스9[[#This Row],[단계]]</f>
        <v>5</v>
      </c>
      <c r="X129" t="s">
        <v>45</v>
      </c>
      <c r="AE129" s="34">
        <f>몬스터밸런스[[#This Row],[생명]]</f>
        <v>3157.5</v>
      </c>
      <c r="AF129" s="34"/>
      <c r="AG129" s="34"/>
      <c r="AH129" s="34"/>
      <c r="AI129" s="34"/>
      <c r="AJ129" s="34"/>
      <c r="AK129" s="34"/>
      <c r="AL129">
        <f t="shared" si="6"/>
        <v>55256.25</v>
      </c>
    </row>
    <row r="130" spans="1:38">
      <c r="A130">
        <v>1270</v>
      </c>
      <c r="B130">
        <v>128</v>
      </c>
      <c r="C130">
        <f>$F$1*몬스터밸런스[[#This Row],[Lv]]+15</f>
        <v>6365</v>
      </c>
      <c r="E130" t="s">
        <v>479</v>
      </c>
      <c r="F130">
        <f>IF(E130="공격형",INDEX(몬스터계수[[#Data],[생명계수]],MATCH(E130,몬스터계수[[#Data],[타입]],0),1)*C130,
IF(E130="방어형",INDEX(몬스터계수[[#Data],[생명계수]],MATCH(E130,몬스터계수[[#Data],[타입]],0),1)*C130,
IF(E130="회피형",INDEX(몬스터계수[[#Data],[생명계수]],MATCH(E130,몬스터계수[[#Data],[타입]],0),1)*C130,
IF(E130="체력형",INDEX(몬스터계수[[#Data],[생명계수]],MATCH(E130,몬스터계수[[#Data],[타입]],0),1)*C130,0))))*IF(몬스터밸런스[[#This Row],[보스]]=TRUE,2,1)</f>
        <v>3182.5</v>
      </c>
      <c r="G130">
        <f>IF(E130="공격형",INDEX(몬스터계수[[#Data],[힘계수]],MATCH(E130, 몬스터계수[[#Data],[타입]],0),1)*C130,
IF(E130="방어형",INDEX(몬스터계수[[#Data],[힘계수]],MATCH(E130, 몬스터계수[[#Data],[타입]],0),1)*C130,
IF(E130="회피형",INDEX(몬스터계수[[#Data],[힘계수]],MATCH(E130, 몬스터계수[[#Data],[타입]],0),1)*C130,
IF(E130="체력형",INDEX(몬스터계수[[#Data],[힘계수]],MATCH(E130, 몬스터계수[[#Data],[타입]],0),1)*C130,0))))</f>
        <v>1591.25</v>
      </c>
      <c r="H130">
        <f>IF(E130="공격형",INDEX(몬스터계수[[#Data],[근력게수]],MATCH(E130,몬스터계수[[#Data],[타입]],0),1)*C130,
IF(E130="방어형",INDEX(몬스터계수[[#Data],[근력게수]],MATCH(E130,몬스터계수[[#Data],[타입]],0),1)*C130,
IF(E130="회피형",INDEX(몬스터계수[[#Data],[근력게수]],MATCH(E130,몬스터계수[[#Data],[타입]],0),1)*C130,
IF(E130="체력형",INDEX(몬스터계수[[#Data],[근력게수]],MATCH(E130,몬스터계수[[#Data],[타입]],0),1)*C130,0))))</f>
        <v>318.25</v>
      </c>
      <c r="I130">
        <f>IF(E130="공격형",INDEX(몬스터계수[[#Data],[숙련도계수]],MATCH(E130,몬스터계수[[#Data],[타입]],0),1)*C130,
IF(E130="방어형",INDEX(몬스터계수[[#Data],[숙련도계수]],MATCH(E130,몬스터계수[[#Data],[타입]],0),1)*C130,
IF(E130="회피형",INDEX(몬스터계수[[#Data],[숙련도계수]],MATCH(E130,몬스터계수[[#Data],[타입]],0),1)*C130,
IF(E130="체력형",INDEX(몬스터계수[[#Data],[숙련도계수]],MATCH(E130,몬스터계수[[#Data],[타입]],0),1)*C130,0))))</f>
        <v>954.75</v>
      </c>
      <c r="J130">
        <f>IF(E130="공격형",INDEX(몬스터계수[[#Data],[행운계수]],MATCH(E130, 몬스터계수[[#Data],[타입]],0),1)*C130,
IF(E130="방어형",INDEX(몬스터계수[[#Data],[행운계수]],MATCH(E130, 몬스터계수[[#Data],[타입]],0),1)*C130,
IF(E130="회피형",INDEX(몬스터계수[[#Data],[행운계수]],MATCH(E130, 몬스터계수[[#Data],[타입]],0),1)*C130,
IF(E130="체력형",INDEX(몬스터계수[[#Data],[행운계수]],MATCH(E130, 몬스터계수[[#Data],[타입]],0),1)*C130,0))))</f>
        <v>318.25</v>
      </c>
      <c r="K130" s="34">
        <f>ROUND(
(($F130)*참고!$D$5)
+(($G130)*참고!$D$6)
+(($H130)*참고!$D$7)
+(($I130)*참고!$D$8)
+(($J130))*참고!$D$9,0)</f>
        <v>49488</v>
      </c>
      <c r="L130" s="34">
        <f>ROUND(
(($F130)*참고!$E$5)
+(($G130)*참고!$E$6)
+(($H130)*참고!$E$7)
+(($I130)*참고!$E$8)
+(($J130))*참고!$E$9,0)</f>
        <v>28324</v>
      </c>
      <c r="M130" s="34">
        <f>ROUND(
(($F130)*참고!$F$5)
+(($G130)*참고!$F$6)
+(($H130)*참고!$F$7)
+(($I130)*참고!$F$8)
+(($J130))*참고!$F$9,0)</f>
        <v>7956</v>
      </c>
      <c r="N130" s="34">
        <f>ROUND(
(($F130)*참고!$G$5)
+(($G130)*참고!$G$6)
+(($H130)*참고!$G$7)
+(($I130)*참고!$G$8)
+(($J130))*참고!$G$9,0)</f>
        <v>223</v>
      </c>
      <c r="O130" s="34">
        <f>ROUND(
(($F130)*참고!$H$5)
+(($G130)*참고!$H$6)
+(($H130)*참고!$H$7)
+(($I130)*참고!$H$8)
+(($J130))*참고!$H$9,0)</f>
        <v>5251</v>
      </c>
      <c r="P130" s="34">
        <f>ROUND(
(($F130)*참고!$I$5)
+(($G130)*참고!$I$6)
+(($H130)*참고!$I$7)
+(($I130)*참고!$I$8)
+(($J130))*참고!$I$9,0)</f>
        <v>9229</v>
      </c>
      <c r="Q130" s="34">
        <f>ROUND(
(($F130)*참고!$J$5)
+(($G130)*참고!$J$6)
+(($H130)*참고!$J$7)
+(($I130)*참고!$J$8)
+(($J130))*참고!$J$9,0)</f>
        <v>6365</v>
      </c>
      <c r="R130" s="34">
        <f>IF(E130="공격형",(INDEX(몬스터계수[[#Data],[속도]],MATCH(E130, 몬스터계수[[#Data],[타입]],0),1)*속도핸들러_곱계수)*(INT(몬스터밸런스[[#This Row],[Lv]]/속도핸들러_합계수+1)),
IF(E130="방어형",(INDEX(몬스터계수[[#Data],[속도]],MATCH(E130, 몬스터계수[[#Data],[타입]],0),1)*속도핸들러_곱계수)*(INT(몬스터밸런스[[#This Row],[Lv]]/속도핸들러_합계수+1)),
IF(E130="회피형",(INDEX(몬스터계수[[#Data],[속도]],MATCH(E130, 몬스터계수[[#Data],[타입]],0),1)*속도핸들러_곱계수)*(INT(몬스터밸런스[[#This Row],[Lv]]/속도핸들러_합계수+1)),
IF(E130="기본형",(INDEX(몬스터계수[[#Data],[속도]],MATCH(E130, 몬스터계수[[#Data],[타입]],0),1)*속도핸들러_곱계수)*(INT(몬스터밸런스[[#This Row],[Lv]]/속도핸들러_합계수+1)),0))))</f>
        <v>0</v>
      </c>
      <c r="S130">
        <f t="shared" si="4"/>
        <v>1699080</v>
      </c>
      <c r="U130">
        <v>1</v>
      </c>
      <c r="V130">
        <v>128</v>
      </c>
      <c r="W130">
        <f>$Z$1*몬스터밸런스9[[#This Row],[단계]]</f>
        <v>5</v>
      </c>
      <c r="X130" t="s">
        <v>45</v>
      </c>
      <c r="AE130" s="34">
        <f>몬스터밸런스[[#This Row],[생명]]</f>
        <v>3182.5</v>
      </c>
      <c r="AF130" s="34"/>
      <c r="AG130" s="34"/>
      <c r="AH130" s="34"/>
      <c r="AI130" s="34"/>
      <c r="AJ130" s="34"/>
      <c r="AK130" s="34"/>
      <c r="AL130">
        <f t="shared" si="6"/>
        <v>55693.75</v>
      </c>
    </row>
    <row r="131" spans="1:38">
      <c r="A131">
        <v>1280</v>
      </c>
      <c r="B131">
        <v>129</v>
      </c>
      <c r="C131">
        <f>$F$1*몬스터밸런스[[#This Row],[Lv]]+15</f>
        <v>6415</v>
      </c>
      <c r="E131" t="s">
        <v>479</v>
      </c>
      <c r="F131">
        <f>IF(E131="공격형",INDEX(몬스터계수[[#Data],[생명계수]],MATCH(E131,몬스터계수[[#Data],[타입]],0),1)*C131,
IF(E131="방어형",INDEX(몬스터계수[[#Data],[생명계수]],MATCH(E131,몬스터계수[[#Data],[타입]],0),1)*C131,
IF(E131="회피형",INDEX(몬스터계수[[#Data],[생명계수]],MATCH(E131,몬스터계수[[#Data],[타입]],0),1)*C131,
IF(E131="체력형",INDEX(몬스터계수[[#Data],[생명계수]],MATCH(E131,몬스터계수[[#Data],[타입]],0),1)*C131,0))))*IF(몬스터밸런스[[#This Row],[보스]]=TRUE,2,1)</f>
        <v>3207.5</v>
      </c>
      <c r="G131">
        <f>IF(E131="공격형",INDEX(몬스터계수[[#Data],[힘계수]],MATCH(E131, 몬스터계수[[#Data],[타입]],0),1)*C131,
IF(E131="방어형",INDEX(몬스터계수[[#Data],[힘계수]],MATCH(E131, 몬스터계수[[#Data],[타입]],0),1)*C131,
IF(E131="회피형",INDEX(몬스터계수[[#Data],[힘계수]],MATCH(E131, 몬스터계수[[#Data],[타입]],0),1)*C131,
IF(E131="체력형",INDEX(몬스터계수[[#Data],[힘계수]],MATCH(E131, 몬스터계수[[#Data],[타입]],0),1)*C131,0))))</f>
        <v>1603.75</v>
      </c>
      <c r="H131">
        <f>IF(E131="공격형",INDEX(몬스터계수[[#Data],[근력게수]],MATCH(E131,몬스터계수[[#Data],[타입]],0),1)*C131,
IF(E131="방어형",INDEX(몬스터계수[[#Data],[근력게수]],MATCH(E131,몬스터계수[[#Data],[타입]],0),1)*C131,
IF(E131="회피형",INDEX(몬스터계수[[#Data],[근력게수]],MATCH(E131,몬스터계수[[#Data],[타입]],0),1)*C131,
IF(E131="체력형",INDEX(몬스터계수[[#Data],[근력게수]],MATCH(E131,몬스터계수[[#Data],[타입]],0),1)*C131,0))))</f>
        <v>320.75</v>
      </c>
      <c r="I131">
        <f>IF(E131="공격형",INDEX(몬스터계수[[#Data],[숙련도계수]],MATCH(E131,몬스터계수[[#Data],[타입]],0),1)*C131,
IF(E131="방어형",INDEX(몬스터계수[[#Data],[숙련도계수]],MATCH(E131,몬스터계수[[#Data],[타입]],0),1)*C131,
IF(E131="회피형",INDEX(몬스터계수[[#Data],[숙련도계수]],MATCH(E131,몬스터계수[[#Data],[타입]],0),1)*C131,
IF(E131="체력형",INDEX(몬스터계수[[#Data],[숙련도계수]],MATCH(E131,몬스터계수[[#Data],[타입]],0),1)*C131,0))))</f>
        <v>962.25</v>
      </c>
      <c r="J131">
        <f>IF(E131="공격형",INDEX(몬스터계수[[#Data],[행운계수]],MATCH(E131, 몬스터계수[[#Data],[타입]],0),1)*C131,
IF(E131="방어형",INDEX(몬스터계수[[#Data],[행운계수]],MATCH(E131, 몬스터계수[[#Data],[타입]],0),1)*C131,
IF(E131="회피형",INDEX(몬스터계수[[#Data],[행운계수]],MATCH(E131, 몬스터계수[[#Data],[타입]],0),1)*C131,
IF(E131="체력형",INDEX(몬스터계수[[#Data],[행운계수]],MATCH(E131, 몬스터계수[[#Data],[타입]],0),1)*C131,0))))</f>
        <v>320.75</v>
      </c>
      <c r="K131" s="34">
        <f>ROUND(
(($F131)*참고!$D$5)
+(($G131)*참고!$D$6)
+(($H131)*참고!$D$7)
+(($I131)*참고!$D$8)
+(($J131))*참고!$D$9,0)</f>
        <v>49877</v>
      </c>
      <c r="L131" s="34">
        <f>ROUND(
(($F131)*참고!$E$5)
+(($G131)*참고!$E$6)
+(($H131)*참고!$E$7)
+(($I131)*참고!$E$8)
+(($J131))*참고!$E$9,0)</f>
        <v>28547</v>
      </c>
      <c r="M131" s="34">
        <f>ROUND(
(($F131)*참고!$F$5)
+(($G131)*참고!$F$6)
+(($H131)*참고!$F$7)
+(($I131)*참고!$F$8)
+(($J131))*참고!$F$9,0)</f>
        <v>8019</v>
      </c>
      <c r="N131" s="34">
        <f>ROUND(
(($F131)*참고!$G$5)
+(($G131)*참고!$G$6)
+(($H131)*참고!$G$7)
+(($I131)*참고!$G$8)
+(($J131))*참고!$G$9,0)</f>
        <v>225</v>
      </c>
      <c r="O131" s="34">
        <f>ROUND(
(($F131)*참고!$H$5)
+(($G131)*참고!$H$6)
+(($H131)*참고!$H$7)
+(($I131)*참고!$H$8)
+(($J131))*참고!$H$9,0)</f>
        <v>5292</v>
      </c>
      <c r="P131" s="34">
        <f>ROUND(
(($F131)*참고!$I$5)
+(($G131)*참고!$I$6)
+(($H131)*참고!$I$7)
+(($I131)*참고!$I$8)
+(($J131))*참고!$I$9,0)</f>
        <v>9302</v>
      </c>
      <c r="Q131" s="34">
        <f>ROUND(
(($F131)*참고!$J$5)
+(($G131)*참고!$J$6)
+(($H131)*참고!$J$7)
+(($I131)*참고!$J$8)
+(($J131))*참고!$J$9,0)</f>
        <v>6415</v>
      </c>
      <c r="R131" s="34">
        <f>IF(E131="공격형",(INDEX(몬스터계수[[#Data],[속도]],MATCH(E131, 몬스터계수[[#Data],[타입]],0),1)*속도핸들러_곱계수)*(INT(몬스터밸런스[[#This Row],[Lv]]/속도핸들러_합계수+1)),
IF(E131="방어형",(INDEX(몬스터계수[[#Data],[속도]],MATCH(E131, 몬스터계수[[#Data],[타입]],0),1)*속도핸들러_곱계수)*(INT(몬스터밸런스[[#This Row],[Lv]]/속도핸들러_합계수+1)),
IF(E131="회피형",(INDEX(몬스터계수[[#Data],[속도]],MATCH(E131, 몬스터계수[[#Data],[타입]],0),1)*속도핸들러_곱계수)*(INT(몬스터밸런스[[#This Row],[Lv]]/속도핸들러_합계수+1)),
IF(E131="기본형",(INDEX(몬스터계수[[#Data],[속도]],MATCH(E131, 몬스터계수[[#Data],[타입]],0),1)*속도핸들러_곱계수)*(INT(몬스터밸런스[[#This Row],[Lv]]/속도핸들러_합계수+1)),0))))</f>
        <v>0</v>
      </c>
      <c r="S131">
        <f t="shared" ref="S131:S194" si="7">(K131*HP계수) + (L131*attack계수) + (M131*Defense계수) + (N131*CriticalRate계수) + (O131*CriticalDamage계수) + (P131*Accuracy계수) + (Q131*DodgeRate계수)</f>
        <v>1712452</v>
      </c>
      <c r="U131">
        <v>1</v>
      </c>
      <c r="V131">
        <v>129</v>
      </c>
      <c r="W131">
        <f>$Z$1*몬스터밸런스9[[#This Row],[단계]]</f>
        <v>5</v>
      </c>
      <c r="X131" t="s">
        <v>45</v>
      </c>
      <c r="AE131" s="34">
        <f>몬스터밸런스[[#This Row],[생명]]</f>
        <v>3207.5</v>
      </c>
      <c r="AF131" s="34"/>
      <c r="AG131" s="34"/>
      <c r="AH131" s="34"/>
      <c r="AI131" s="34"/>
      <c r="AJ131" s="34"/>
      <c r="AK131" s="34"/>
      <c r="AL131">
        <f t="shared" si="6"/>
        <v>56131.25</v>
      </c>
    </row>
    <row r="132" spans="1:38">
      <c r="A132">
        <v>1290</v>
      </c>
      <c r="B132">
        <v>130</v>
      </c>
      <c r="C132">
        <f>$F$1*몬스터밸런스[[#This Row],[Lv]]+15</f>
        <v>6465</v>
      </c>
      <c r="E132" t="s">
        <v>479</v>
      </c>
      <c r="F132">
        <f>IF(E132="공격형",INDEX(몬스터계수[[#Data],[생명계수]],MATCH(E132,몬스터계수[[#Data],[타입]],0),1)*C132,
IF(E132="방어형",INDEX(몬스터계수[[#Data],[생명계수]],MATCH(E132,몬스터계수[[#Data],[타입]],0),1)*C132,
IF(E132="회피형",INDEX(몬스터계수[[#Data],[생명계수]],MATCH(E132,몬스터계수[[#Data],[타입]],0),1)*C132,
IF(E132="체력형",INDEX(몬스터계수[[#Data],[생명계수]],MATCH(E132,몬스터계수[[#Data],[타입]],0),1)*C132,0))))*IF(몬스터밸런스[[#This Row],[보스]]=TRUE,2,1)</f>
        <v>3232.5</v>
      </c>
      <c r="G132">
        <f>IF(E132="공격형",INDEX(몬스터계수[[#Data],[힘계수]],MATCH(E132, 몬스터계수[[#Data],[타입]],0),1)*C132,
IF(E132="방어형",INDEX(몬스터계수[[#Data],[힘계수]],MATCH(E132, 몬스터계수[[#Data],[타입]],0),1)*C132,
IF(E132="회피형",INDEX(몬스터계수[[#Data],[힘계수]],MATCH(E132, 몬스터계수[[#Data],[타입]],0),1)*C132,
IF(E132="체력형",INDEX(몬스터계수[[#Data],[힘계수]],MATCH(E132, 몬스터계수[[#Data],[타입]],0),1)*C132,0))))</f>
        <v>1616.25</v>
      </c>
      <c r="H132">
        <f>IF(E132="공격형",INDEX(몬스터계수[[#Data],[근력게수]],MATCH(E132,몬스터계수[[#Data],[타입]],0),1)*C132,
IF(E132="방어형",INDEX(몬스터계수[[#Data],[근력게수]],MATCH(E132,몬스터계수[[#Data],[타입]],0),1)*C132,
IF(E132="회피형",INDEX(몬스터계수[[#Data],[근력게수]],MATCH(E132,몬스터계수[[#Data],[타입]],0),1)*C132,
IF(E132="체력형",INDEX(몬스터계수[[#Data],[근력게수]],MATCH(E132,몬스터계수[[#Data],[타입]],0),1)*C132,0))))</f>
        <v>323.25</v>
      </c>
      <c r="I132">
        <f>IF(E132="공격형",INDEX(몬스터계수[[#Data],[숙련도계수]],MATCH(E132,몬스터계수[[#Data],[타입]],0),1)*C132,
IF(E132="방어형",INDEX(몬스터계수[[#Data],[숙련도계수]],MATCH(E132,몬스터계수[[#Data],[타입]],0),1)*C132,
IF(E132="회피형",INDEX(몬스터계수[[#Data],[숙련도계수]],MATCH(E132,몬스터계수[[#Data],[타입]],0),1)*C132,
IF(E132="체력형",INDEX(몬스터계수[[#Data],[숙련도계수]],MATCH(E132,몬스터계수[[#Data],[타입]],0),1)*C132,0))))</f>
        <v>969.75</v>
      </c>
      <c r="J132">
        <f>IF(E132="공격형",INDEX(몬스터계수[[#Data],[행운계수]],MATCH(E132, 몬스터계수[[#Data],[타입]],0),1)*C132,
IF(E132="방어형",INDEX(몬스터계수[[#Data],[행운계수]],MATCH(E132, 몬스터계수[[#Data],[타입]],0),1)*C132,
IF(E132="회피형",INDEX(몬스터계수[[#Data],[행운계수]],MATCH(E132, 몬스터계수[[#Data],[타입]],0),1)*C132,
IF(E132="체력형",INDEX(몬스터계수[[#Data],[행운계수]],MATCH(E132, 몬스터계수[[#Data],[타입]],0),1)*C132,0))))</f>
        <v>323.25</v>
      </c>
      <c r="K132" s="34">
        <f>ROUND(
(($F132)*참고!$D$5)
+(($G132)*참고!$D$6)
+(($H132)*참고!$D$7)
+(($I132)*참고!$D$8)
+(($J132))*참고!$D$9,0)</f>
        <v>50265</v>
      </c>
      <c r="L132" s="34">
        <f>ROUND(
(($F132)*참고!$E$5)
+(($G132)*참고!$E$6)
+(($H132)*참고!$E$7)
+(($I132)*참고!$E$8)
+(($J132))*참고!$E$9,0)</f>
        <v>28769</v>
      </c>
      <c r="M132" s="34">
        <f>ROUND(
(($F132)*참고!$F$5)
+(($G132)*참고!$F$6)
+(($H132)*참고!$F$7)
+(($I132)*참고!$F$8)
+(($J132))*참고!$F$9,0)</f>
        <v>8081</v>
      </c>
      <c r="N132" s="34">
        <f>ROUND(
(($F132)*참고!$G$5)
+(($G132)*참고!$G$6)
+(($H132)*참고!$G$7)
+(($I132)*참고!$G$8)
+(($J132))*참고!$G$9,0)</f>
        <v>226</v>
      </c>
      <c r="O132" s="34">
        <f>ROUND(
(($F132)*참고!$H$5)
+(($G132)*참고!$H$6)
+(($H132)*참고!$H$7)
+(($I132)*참고!$H$8)
+(($J132))*참고!$H$9,0)</f>
        <v>5334</v>
      </c>
      <c r="P132" s="34">
        <f>ROUND(
(($F132)*참고!$I$5)
+(($G132)*참고!$I$6)
+(($H132)*참고!$I$7)
+(($I132)*참고!$I$8)
+(($J132))*참고!$I$9,0)</f>
        <v>9374</v>
      </c>
      <c r="Q132" s="34">
        <f>ROUND(
(($F132)*참고!$J$5)
+(($G132)*참고!$J$6)
+(($H132)*참고!$J$7)
+(($I132)*참고!$J$8)
+(($J132))*참고!$J$9,0)</f>
        <v>6465</v>
      </c>
      <c r="R132" s="34">
        <f>IF(E132="공격형",(INDEX(몬스터계수[[#Data],[속도]],MATCH(E132, 몬스터계수[[#Data],[타입]],0),1)*속도핸들러_곱계수)*(INT(몬스터밸런스[[#This Row],[Lv]]/속도핸들러_합계수+1)),
IF(E132="방어형",(INDEX(몬스터계수[[#Data],[속도]],MATCH(E132, 몬스터계수[[#Data],[타입]],0),1)*속도핸들러_곱계수)*(INT(몬스터밸런스[[#This Row],[Lv]]/속도핸들러_합계수+1)),
IF(E132="회피형",(INDEX(몬스터계수[[#Data],[속도]],MATCH(E132, 몬스터계수[[#Data],[타입]],0),1)*속도핸들러_곱계수)*(INT(몬스터밸런스[[#This Row],[Lv]]/속도핸들러_합계수+1)),
IF(E132="기본형",(INDEX(몬스터계수[[#Data],[속도]],MATCH(E132, 몬스터계수[[#Data],[타입]],0),1)*속도핸들러_곱계수)*(INT(몬스터밸런스[[#This Row],[Lv]]/속도핸들러_합계수+1)),0))))</f>
        <v>0</v>
      </c>
      <c r="S132">
        <f t="shared" si="7"/>
        <v>1725767.5</v>
      </c>
      <c r="U132">
        <v>1</v>
      </c>
      <c r="V132">
        <v>130</v>
      </c>
      <c r="W132">
        <f>$Z$1*몬스터밸런스9[[#This Row],[단계]]</f>
        <v>5</v>
      </c>
      <c r="X132" t="s">
        <v>45</v>
      </c>
      <c r="AE132" s="34">
        <f>몬스터밸런스[[#This Row],[생명]]</f>
        <v>3232.5</v>
      </c>
      <c r="AF132" s="34"/>
      <c r="AG132" s="34"/>
      <c r="AH132" s="34"/>
      <c r="AI132" s="34"/>
      <c r="AJ132" s="34"/>
      <c r="AK132" s="34"/>
      <c r="AL132">
        <f t="shared" si="6"/>
        <v>56568.75</v>
      </c>
    </row>
    <row r="133" spans="1:38">
      <c r="A133">
        <v>1300</v>
      </c>
      <c r="B133">
        <v>131</v>
      </c>
      <c r="C133">
        <f>$F$1*몬스터밸런스[[#This Row],[Lv]]+15</f>
        <v>6515</v>
      </c>
      <c r="E133" t="s">
        <v>479</v>
      </c>
      <c r="F133">
        <f>IF(E133="공격형",INDEX(몬스터계수[[#Data],[생명계수]],MATCH(E133,몬스터계수[[#Data],[타입]],0),1)*C133,
IF(E133="방어형",INDEX(몬스터계수[[#Data],[생명계수]],MATCH(E133,몬스터계수[[#Data],[타입]],0),1)*C133,
IF(E133="회피형",INDEX(몬스터계수[[#Data],[생명계수]],MATCH(E133,몬스터계수[[#Data],[타입]],0),1)*C133,
IF(E133="체력형",INDEX(몬스터계수[[#Data],[생명계수]],MATCH(E133,몬스터계수[[#Data],[타입]],0),1)*C133,0))))*IF(몬스터밸런스[[#This Row],[보스]]=TRUE,2,1)</f>
        <v>3257.5</v>
      </c>
      <c r="G133">
        <f>IF(E133="공격형",INDEX(몬스터계수[[#Data],[힘계수]],MATCH(E133, 몬스터계수[[#Data],[타입]],0),1)*C133,
IF(E133="방어형",INDEX(몬스터계수[[#Data],[힘계수]],MATCH(E133, 몬스터계수[[#Data],[타입]],0),1)*C133,
IF(E133="회피형",INDEX(몬스터계수[[#Data],[힘계수]],MATCH(E133, 몬스터계수[[#Data],[타입]],0),1)*C133,
IF(E133="체력형",INDEX(몬스터계수[[#Data],[힘계수]],MATCH(E133, 몬스터계수[[#Data],[타입]],0),1)*C133,0))))</f>
        <v>1628.75</v>
      </c>
      <c r="H133">
        <f>IF(E133="공격형",INDEX(몬스터계수[[#Data],[근력게수]],MATCH(E133,몬스터계수[[#Data],[타입]],0),1)*C133,
IF(E133="방어형",INDEX(몬스터계수[[#Data],[근력게수]],MATCH(E133,몬스터계수[[#Data],[타입]],0),1)*C133,
IF(E133="회피형",INDEX(몬스터계수[[#Data],[근력게수]],MATCH(E133,몬스터계수[[#Data],[타입]],0),1)*C133,
IF(E133="체력형",INDEX(몬스터계수[[#Data],[근력게수]],MATCH(E133,몬스터계수[[#Data],[타입]],0),1)*C133,0))))</f>
        <v>325.75</v>
      </c>
      <c r="I133">
        <f>IF(E133="공격형",INDEX(몬스터계수[[#Data],[숙련도계수]],MATCH(E133,몬스터계수[[#Data],[타입]],0),1)*C133,
IF(E133="방어형",INDEX(몬스터계수[[#Data],[숙련도계수]],MATCH(E133,몬스터계수[[#Data],[타입]],0),1)*C133,
IF(E133="회피형",INDEX(몬스터계수[[#Data],[숙련도계수]],MATCH(E133,몬스터계수[[#Data],[타입]],0),1)*C133,
IF(E133="체력형",INDEX(몬스터계수[[#Data],[숙련도계수]],MATCH(E133,몬스터계수[[#Data],[타입]],0),1)*C133,0))))</f>
        <v>977.25</v>
      </c>
      <c r="J133">
        <f>IF(E133="공격형",INDEX(몬스터계수[[#Data],[행운계수]],MATCH(E133, 몬스터계수[[#Data],[타입]],0),1)*C133,
IF(E133="방어형",INDEX(몬스터계수[[#Data],[행운계수]],MATCH(E133, 몬스터계수[[#Data],[타입]],0),1)*C133,
IF(E133="회피형",INDEX(몬스터계수[[#Data],[행운계수]],MATCH(E133, 몬스터계수[[#Data],[타입]],0),1)*C133,
IF(E133="체력형",INDEX(몬스터계수[[#Data],[행운계수]],MATCH(E133, 몬스터계수[[#Data],[타입]],0),1)*C133,0))))</f>
        <v>325.75</v>
      </c>
      <c r="K133" s="34">
        <f>ROUND(
(($F133)*참고!$D$5)
+(($G133)*참고!$D$6)
+(($H133)*참고!$D$7)
+(($I133)*참고!$D$8)
+(($J133))*참고!$D$9,0)</f>
        <v>50654</v>
      </c>
      <c r="L133" s="34">
        <f>ROUND(
(($F133)*참고!$E$5)
+(($G133)*참고!$E$6)
+(($H133)*참고!$E$7)
+(($I133)*참고!$E$8)
+(($J133))*참고!$E$9,0)</f>
        <v>28992</v>
      </c>
      <c r="M133" s="34">
        <f>ROUND(
(($F133)*참고!$F$5)
+(($G133)*참고!$F$6)
+(($H133)*참고!$F$7)
+(($I133)*참고!$F$8)
+(($J133))*참고!$F$9,0)</f>
        <v>8144</v>
      </c>
      <c r="N133" s="34">
        <f>ROUND(
(($F133)*참고!$G$5)
+(($G133)*참고!$G$6)
+(($H133)*참고!$G$7)
+(($I133)*참고!$G$8)
+(($J133))*참고!$G$9,0)</f>
        <v>228</v>
      </c>
      <c r="O133" s="34">
        <f>ROUND(
(($F133)*참고!$H$5)
+(($G133)*참고!$H$6)
+(($H133)*참고!$H$7)
+(($I133)*참고!$H$8)
+(($J133))*참고!$H$9,0)</f>
        <v>5375</v>
      </c>
      <c r="P133" s="34">
        <f>ROUND(
(($F133)*참고!$I$5)
+(($G133)*참고!$I$6)
+(($H133)*참고!$I$7)
+(($I133)*참고!$I$8)
+(($J133))*참고!$I$9,0)</f>
        <v>9447</v>
      </c>
      <c r="Q133" s="34">
        <f>ROUND(
(($F133)*참고!$J$5)
+(($G133)*참고!$J$6)
+(($H133)*참고!$J$7)
+(($I133)*참고!$J$8)
+(($J133))*참고!$J$9,0)</f>
        <v>6515</v>
      </c>
      <c r="R133" s="34">
        <f>IF(E133="공격형",(INDEX(몬스터계수[[#Data],[속도]],MATCH(E133, 몬스터계수[[#Data],[타입]],0),1)*속도핸들러_곱계수)*(INT(몬스터밸런스[[#This Row],[Lv]]/속도핸들러_합계수+1)),
IF(E133="방어형",(INDEX(몬스터계수[[#Data],[속도]],MATCH(E133, 몬스터계수[[#Data],[타입]],0),1)*속도핸들러_곱계수)*(INT(몬스터밸런스[[#This Row],[Lv]]/속도핸들러_합계수+1)),
IF(E133="회피형",(INDEX(몬스터계수[[#Data],[속도]],MATCH(E133, 몬스터계수[[#Data],[타입]],0),1)*속도핸들러_곱계수)*(INT(몬스터밸런스[[#This Row],[Lv]]/속도핸들러_합계수+1)),
IF(E133="기본형",(INDEX(몬스터계수[[#Data],[속도]],MATCH(E133, 몬스터계수[[#Data],[타입]],0),1)*속도핸들러_곱계수)*(INT(몬스터밸런스[[#This Row],[Lv]]/속도핸들러_합계수+1)),0))))</f>
        <v>0</v>
      </c>
      <c r="S133">
        <f t="shared" si="7"/>
        <v>1739139.5</v>
      </c>
      <c r="U133">
        <v>2</v>
      </c>
      <c r="V133">
        <v>131</v>
      </c>
      <c r="W133">
        <f>$Z$1*몬스터밸런스9[[#This Row],[단계]]</f>
        <v>10</v>
      </c>
      <c r="X133" t="s">
        <v>45</v>
      </c>
      <c r="AE133" s="34">
        <f>몬스터밸런스[[#This Row],[생명]]</f>
        <v>3257.5</v>
      </c>
      <c r="AF133" s="34"/>
      <c r="AG133" s="34"/>
      <c r="AH133" s="34"/>
      <c r="AI133" s="34"/>
      <c r="AJ133" s="34"/>
      <c r="AK133" s="34"/>
      <c r="AL133">
        <f t="shared" si="6"/>
        <v>57006.25</v>
      </c>
    </row>
    <row r="134" spans="1:38">
      <c r="A134">
        <v>1310</v>
      </c>
      <c r="B134">
        <v>132</v>
      </c>
      <c r="C134">
        <f>$F$1*몬스터밸런스[[#This Row],[Lv]]+15</f>
        <v>6565</v>
      </c>
      <c r="E134" t="s">
        <v>479</v>
      </c>
      <c r="F134">
        <f>IF(E134="공격형",INDEX(몬스터계수[[#Data],[생명계수]],MATCH(E134,몬스터계수[[#Data],[타입]],0),1)*C134,
IF(E134="방어형",INDEX(몬스터계수[[#Data],[생명계수]],MATCH(E134,몬스터계수[[#Data],[타입]],0),1)*C134,
IF(E134="회피형",INDEX(몬스터계수[[#Data],[생명계수]],MATCH(E134,몬스터계수[[#Data],[타입]],0),1)*C134,
IF(E134="체력형",INDEX(몬스터계수[[#Data],[생명계수]],MATCH(E134,몬스터계수[[#Data],[타입]],0),1)*C134,0))))*IF(몬스터밸런스[[#This Row],[보스]]=TRUE,2,1)</f>
        <v>3282.5</v>
      </c>
      <c r="G134">
        <f>IF(E134="공격형",INDEX(몬스터계수[[#Data],[힘계수]],MATCH(E134, 몬스터계수[[#Data],[타입]],0),1)*C134,
IF(E134="방어형",INDEX(몬스터계수[[#Data],[힘계수]],MATCH(E134, 몬스터계수[[#Data],[타입]],0),1)*C134,
IF(E134="회피형",INDEX(몬스터계수[[#Data],[힘계수]],MATCH(E134, 몬스터계수[[#Data],[타입]],0),1)*C134,
IF(E134="체력형",INDEX(몬스터계수[[#Data],[힘계수]],MATCH(E134, 몬스터계수[[#Data],[타입]],0),1)*C134,0))))</f>
        <v>1641.25</v>
      </c>
      <c r="H134">
        <f>IF(E134="공격형",INDEX(몬스터계수[[#Data],[근력게수]],MATCH(E134,몬스터계수[[#Data],[타입]],0),1)*C134,
IF(E134="방어형",INDEX(몬스터계수[[#Data],[근력게수]],MATCH(E134,몬스터계수[[#Data],[타입]],0),1)*C134,
IF(E134="회피형",INDEX(몬스터계수[[#Data],[근력게수]],MATCH(E134,몬스터계수[[#Data],[타입]],0),1)*C134,
IF(E134="체력형",INDEX(몬스터계수[[#Data],[근력게수]],MATCH(E134,몬스터계수[[#Data],[타입]],0),1)*C134,0))))</f>
        <v>328.25</v>
      </c>
      <c r="I134">
        <f>IF(E134="공격형",INDEX(몬스터계수[[#Data],[숙련도계수]],MATCH(E134,몬스터계수[[#Data],[타입]],0),1)*C134,
IF(E134="방어형",INDEX(몬스터계수[[#Data],[숙련도계수]],MATCH(E134,몬스터계수[[#Data],[타입]],0),1)*C134,
IF(E134="회피형",INDEX(몬스터계수[[#Data],[숙련도계수]],MATCH(E134,몬스터계수[[#Data],[타입]],0),1)*C134,
IF(E134="체력형",INDEX(몬스터계수[[#Data],[숙련도계수]],MATCH(E134,몬스터계수[[#Data],[타입]],0),1)*C134,0))))</f>
        <v>984.75</v>
      </c>
      <c r="J134">
        <f>IF(E134="공격형",INDEX(몬스터계수[[#Data],[행운계수]],MATCH(E134, 몬스터계수[[#Data],[타입]],0),1)*C134,
IF(E134="방어형",INDEX(몬스터계수[[#Data],[행운계수]],MATCH(E134, 몬스터계수[[#Data],[타입]],0),1)*C134,
IF(E134="회피형",INDEX(몬스터계수[[#Data],[행운계수]],MATCH(E134, 몬스터계수[[#Data],[타입]],0),1)*C134,
IF(E134="체력형",INDEX(몬스터계수[[#Data],[행운계수]],MATCH(E134, 몬스터계수[[#Data],[타입]],0),1)*C134,0))))</f>
        <v>328.25</v>
      </c>
      <c r="K134" s="34">
        <f>ROUND(
(($F134)*참고!$D$5)
+(($G134)*참고!$D$6)
+(($H134)*참고!$D$7)
+(($I134)*참고!$D$8)
+(($J134))*참고!$D$9,0)</f>
        <v>51043</v>
      </c>
      <c r="L134" s="34">
        <f>ROUND(
(($F134)*참고!$E$5)
+(($G134)*참고!$E$6)
+(($H134)*참고!$E$7)
+(($I134)*참고!$E$8)
+(($J134))*참고!$E$9,0)</f>
        <v>29214</v>
      </c>
      <c r="M134" s="34">
        <f>ROUND(
(($F134)*참고!$F$5)
+(($G134)*참고!$F$6)
+(($H134)*참고!$F$7)
+(($I134)*참고!$F$8)
+(($J134))*참고!$F$9,0)</f>
        <v>8206</v>
      </c>
      <c r="N134" s="34">
        <f>ROUND(
(($F134)*참고!$G$5)
+(($G134)*참고!$G$6)
+(($H134)*참고!$G$7)
+(($I134)*참고!$G$8)
+(($J134))*참고!$G$9,0)</f>
        <v>230</v>
      </c>
      <c r="O134" s="34">
        <f>ROUND(
(($F134)*참고!$H$5)
+(($G134)*참고!$H$6)
+(($H134)*참고!$H$7)
+(($I134)*참고!$H$8)
+(($J134))*참고!$H$9,0)</f>
        <v>5416</v>
      </c>
      <c r="P134" s="34">
        <f>ROUND(
(($F134)*참고!$I$5)
+(($G134)*참고!$I$6)
+(($H134)*참고!$I$7)
+(($I134)*참고!$I$8)
+(($J134))*참고!$I$9,0)</f>
        <v>9519</v>
      </c>
      <c r="Q134" s="34">
        <f>ROUND(
(($F134)*참고!$J$5)
+(($G134)*참고!$J$6)
+(($H134)*참고!$J$7)
+(($I134)*참고!$J$8)
+(($J134))*참고!$J$9,0)</f>
        <v>6565</v>
      </c>
      <c r="R134" s="34">
        <f>IF(E134="공격형",(INDEX(몬스터계수[[#Data],[속도]],MATCH(E134, 몬스터계수[[#Data],[타입]],0),1)*속도핸들러_곱계수)*(INT(몬스터밸런스[[#This Row],[Lv]]/속도핸들러_합계수+1)),
IF(E134="방어형",(INDEX(몬스터계수[[#Data],[속도]],MATCH(E134, 몬스터계수[[#Data],[타입]],0),1)*속도핸들러_곱계수)*(INT(몬스터밸런스[[#This Row],[Lv]]/속도핸들러_합계수+1)),
IF(E134="회피형",(INDEX(몬스터계수[[#Data],[속도]],MATCH(E134, 몬스터계수[[#Data],[타입]],0),1)*속도핸들러_곱계수)*(INT(몬스터밸런스[[#This Row],[Lv]]/속도핸들러_합계수+1)),
IF(E134="기본형",(INDEX(몬스터계수[[#Data],[속도]],MATCH(E134, 몬스터계수[[#Data],[타입]],0),1)*속도핸들러_곱계수)*(INT(몬스터밸런스[[#This Row],[Lv]]/속도핸들러_합계수+1)),0))))</f>
        <v>0</v>
      </c>
      <c r="S134">
        <f t="shared" si="7"/>
        <v>1752468.5</v>
      </c>
      <c r="U134">
        <v>2</v>
      </c>
      <c r="V134">
        <v>132</v>
      </c>
      <c r="W134">
        <f>$Z$1*몬스터밸런스9[[#This Row],[단계]]</f>
        <v>10</v>
      </c>
      <c r="X134" t="s">
        <v>45</v>
      </c>
      <c r="AE134" s="34">
        <f>몬스터밸런스[[#This Row],[생명]]</f>
        <v>3282.5</v>
      </c>
      <c r="AF134" s="34"/>
      <c r="AG134" s="34"/>
      <c r="AH134" s="34"/>
      <c r="AI134" s="34"/>
      <c r="AJ134" s="34"/>
      <c r="AK134" s="34"/>
      <c r="AL134">
        <f t="shared" si="6"/>
        <v>57443.75</v>
      </c>
    </row>
    <row r="135" spans="1:38">
      <c r="A135">
        <v>1320</v>
      </c>
      <c r="B135">
        <v>133</v>
      </c>
      <c r="C135">
        <f>$F$1*몬스터밸런스[[#This Row],[Lv]]+15</f>
        <v>6615</v>
      </c>
      <c r="E135" t="s">
        <v>479</v>
      </c>
      <c r="F135">
        <f>IF(E135="공격형",INDEX(몬스터계수[[#Data],[생명계수]],MATCH(E135,몬스터계수[[#Data],[타입]],0),1)*C135,
IF(E135="방어형",INDEX(몬스터계수[[#Data],[생명계수]],MATCH(E135,몬스터계수[[#Data],[타입]],0),1)*C135,
IF(E135="회피형",INDEX(몬스터계수[[#Data],[생명계수]],MATCH(E135,몬스터계수[[#Data],[타입]],0),1)*C135,
IF(E135="체력형",INDEX(몬스터계수[[#Data],[생명계수]],MATCH(E135,몬스터계수[[#Data],[타입]],0),1)*C135,0))))*IF(몬스터밸런스[[#This Row],[보스]]=TRUE,2,1)</f>
        <v>3307.5</v>
      </c>
      <c r="G135">
        <f>IF(E135="공격형",INDEX(몬스터계수[[#Data],[힘계수]],MATCH(E135, 몬스터계수[[#Data],[타입]],0),1)*C135,
IF(E135="방어형",INDEX(몬스터계수[[#Data],[힘계수]],MATCH(E135, 몬스터계수[[#Data],[타입]],0),1)*C135,
IF(E135="회피형",INDEX(몬스터계수[[#Data],[힘계수]],MATCH(E135, 몬스터계수[[#Data],[타입]],0),1)*C135,
IF(E135="체력형",INDEX(몬스터계수[[#Data],[힘계수]],MATCH(E135, 몬스터계수[[#Data],[타입]],0),1)*C135,0))))</f>
        <v>1653.75</v>
      </c>
      <c r="H135">
        <f>IF(E135="공격형",INDEX(몬스터계수[[#Data],[근력게수]],MATCH(E135,몬스터계수[[#Data],[타입]],0),1)*C135,
IF(E135="방어형",INDEX(몬스터계수[[#Data],[근력게수]],MATCH(E135,몬스터계수[[#Data],[타입]],0),1)*C135,
IF(E135="회피형",INDEX(몬스터계수[[#Data],[근력게수]],MATCH(E135,몬스터계수[[#Data],[타입]],0),1)*C135,
IF(E135="체력형",INDEX(몬스터계수[[#Data],[근력게수]],MATCH(E135,몬스터계수[[#Data],[타입]],0),1)*C135,0))))</f>
        <v>330.75</v>
      </c>
      <c r="I135">
        <f>IF(E135="공격형",INDEX(몬스터계수[[#Data],[숙련도계수]],MATCH(E135,몬스터계수[[#Data],[타입]],0),1)*C135,
IF(E135="방어형",INDEX(몬스터계수[[#Data],[숙련도계수]],MATCH(E135,몬스터계수[[#Data],[타입]],0),1)*C135,
IF(E135="회피형",INDEX(몬스터계수[[#Data],[숙련도계수]],MATCH(E135,몬스터계수[[#Data],[타입]],0),1)*C135,
IF(E135="체력형",INDEX(몬스터계수[[#Data],[숙련도계수]],MATCH(E135,몬스터계수[[#Data],[타입]],0),1)*C135,0))))</f>
        <v>992.25</v>
      </c>
      <c r="J135">
        <f>IF(E135="공격형",INDEX(몬스터계수[[#Data],[행운계수]],MATCH(E135, 몬스터계수[[#Data],[타입]],0),1)*C135,
IF(E135="방어형",INDEX(몬스터계수[[#Data],[행운계수]],MATCH(E135, 몬스터계수[[#Data],[타입]],0),1)*C135,
IF(E135="회피형",INDEX(몬스터계수[[#Data],[행운계수]],MATCH(E135, 몬스터계수[[#Data],[타입]],0),1)*C135,
IF(E135="체력형",INDEX(몬스터계수[[#Data],[행운계수]],MATCH(E135, 몬스터계수[[#Data],[타입]],0),1)*C135,0))))</f>
        <v>330.75</v>
      </c>
      <c r="K135" s="34">
        <f>ROUND(
(($F135)*참고!$D$5)
+(($G135)*참고!$D$6)
+(($H135)*참고!$D$7)
+(($I135)*참고!$D$8)
+(($J135))*참고!$D$9,0)</f>
        <v>51432</v>
      </c>
      <c r="L135" s="34">
        <f>ROUND(
(($F135)*참고!$E$5)
+(($G135)*참고!$E$6)
+(($H135)*참고!$E$7)
+(($I135)*참고!$E$8)
+(($J135))*참고!$E$9,0)</f>
        <v>29437</v>
      </c>
      <c r="M135" s="34">
        <f>ROUND(
(($F135)*참고!$F$5)
+(($G135)*참고!$F$6)
+(($H135)*참고!$F$7)
+(($I135)*참고!$F$8)
+(($J135))*참고!$F$9,0)</f>
        <v>8269</v>
      </c>
      <c r="N135" s="34">
        <f>ROUND(
(($F135)*참고!$G$5)
+(($G135)*참고!$G$6)
+(($H135)*참고!$G$7)
+(($I135)*참고!$G$8)
+(($J135))*참고!$G$9,0)</f>
        <v>232</v>
      </c>
      <c r="O135" s="34">
        <f>ROUND(
(($F135)*참고!$H$5)
+(($G135)*참고!$H$6)
+(($H135)*참고!$H$7)
+(($I135)*참고!$H$8)
+(($J135))*참고!$H$9,0)</f>
        <v>5457</v>
      </c>
      <c r="P135" s="34">
        <f>ROUND(
(($F135)*참고!$I$5)
+(($G135)*참고!$I$6)
+(($H135)*참고!$I$7)
+(($I135)*참고!$I$8)
+(($J135))*참고!$I$9,0)</f>
        <v>9592</v>
      </c>
      <c r="Q135" s="34">
        <f>ROUND(
(($F135)*참고!$J$5)
+(($G135)*참고!$J$6)
+(($H135)*참고!$J$7)
+(($I135)*참고!$J$8)
+(($J135))*참고!$J$9,0)</f>
        <v>6615</v>
      </c>
      <c r="R135" s="34">
        <f>IF(E135="공격형",(INDEX(몬스터계수[[#Data],[속도]],MATCH(E135, 몬스터계수[[#Data],[타입]],0),1)*속도핸들러_곱계수)*(INT(몬스터밸런스[[#This Row],[Lv]]/속도핸들러_합계수+1)),
IF(E135="방어형",(INDEX(몬스터계수[[#Data],[속도]],MATCH(E135, 몬스터계수[[#Data],[타입]],0),1)*속도핸들러_곱계수)*(INT(몬스터밸런스[[#This Row],[Lv]]/속도핸들러_합계수+1)),
IF(E135="회피형",(INDEX(몬스터계수[[#Data],[속도]],MATCH(E135, 몬스터계수[[#Data],[타입]],0),1)*속도핸들러_곱계수)*(INT(몬스터밸런스[[#This Row],[Lv]]/속도핸들러_합계수+1)),
IF(E135="기본형",(INDEX(몬스터계수[[#Data],[속도]],MATCH(E135, 몬스터계수[[#Data],[타입]],0),1)*속도핸들러_곱계수)*(INT(몬스터밸런스[[#This Row],[Lv]]/속도핸들러_합계수+1)),0))))</f>
        <v>0</v>
      </c>
      <c r="S135">
        <f t="shared" si="7"/>
        <v>1765840.5</v>
      </c>
      <c r="U135">
        <v>2</v>
      </c>
      <c r="V135">
        <v>133</v>
      </c>
      <c r="W135">
        <f>$Z$1*몬스터밸런스9[[#This Row],[단계]]</f>
        <v>10</v>
      </c>
      <c r="X135" t="s">
        <v>45</v>
      </c>
      <c r="AE135" s="34">
        <f>몬스터밸런스[[#This Row],[생명]]</f>
        <v>3307.5</v>
      </c>
      <c r="AF135" s="34"/>
      <c r="AG135" s="34"/>
      <c r="AH135" s="34"/>
      <c r="AI135" s="34"/>
      <c r="AJ135" s="34"/>
      <c r="AK135" s="34"/>
      <c r="AL135">
        <f t="shared" si="6"/>
        <v>57881.25</v>
      </c>
    </row>
    <row r="136" spans="1:38">
      <c r="A136">
        <v>1330</v>
      </c>
      <c r="B136">
        <v>134</v>
      </c>
      <c r="C136">
        <f>$F$1*몬스터밸런스[[#This Row],[Lv]]+15</f>
        <v>6665</v>
      </c>
      <c r="E136" t="s">
        <v>479</v>
      </c>
      <c r="F136">
        <f>IF(E136="공격형",INDEX(몬스터계수[[#Data],[생명계수]],MATCH(E136,몬스터계수[[#Data],[타입]],0),1)*C136,
IF(E136="방어형",INDEX(몬스터계수[[#Data],[생명계수]],MATCH(E136,몬스터계수[[#Data],[타입]],0),1)*C136,
IF(E136="회피형",INDEX(몬스터계수[[#Data],[생명계수]],MATCH(E136,몬스터계수[[#Data],[타입]],0),1)*C136,
IF(E136="체력형",INDEX(몬스터계수[[#Data],[생명계수]],MATCH(E136,몬스터계수[[#Data],[타입]],0),1)*C136,0))))*IF(몬스터밸런스[[#This Row],[보스]]=TRUE,2,1)</f>
        <v>3332.5</v>
      </c>
      <c r="G136">
        <f>IF(E136="공격형",INDEX(몬스터계수[[#Data],[힘계수]],MATCH(E136, 몬스터계수[[#Data],[타입]],0),1)*C136,
IF(E136="방어형",INDEX(몬스터계수[[#Data],[힘계수]],MATCH(E136, 몬스터계수[[#Data],[타입]],0),1)*C136,
IF(E136="회피형",INDEX(몬스터계수[[#Data],[힘계수]],MATCH(E136, 몬스터계수[[#Data],[타입]],0),1)*C136,
IF(E136="체력형",INDEX(몬스터계수[[#Data],[힘계수]],MATCH(E136, 몬스터계수[[#Data],[타입]],0),1)*C136,0))))</f>
        <v>1666.25</v>
      </c>
      <c r="H136">
        <f>IF(E136="공격형",INDEX(몬스터계수[[#Data],[근력게수]],MATCH(E136,몬스터계수[[#Data],[타입]],0),1)*C136,
IF(E136="방어형",INDEX(몬스터계수[[#Data],[근력게수]],MATCH(E136,몬스터계수[[#Data],[타입]],0),1)*C136,
IF(E136="회피형",INDEX(몬스터계수[[#Data],[근력게수]],MATCH(E136,몬스터계수[[#Data],[타입]],0),1)*C136,
IF(E136="체력형",INDEX(몬스터계수[[#Data],[근력게수]],MATCH(E136,몬스터계수[[#Data],[타입]],0),1)*C136,0))))</f>
        <v>333.25</v>
      </c>
      <c r="I136">
        <f>IF(E136="공격형",INDEX(몬스터계수[[#Data],[숙련도계수]],MATCH(E136,몬스터계수[[#Data],[타입]],0),1)*C136,
IF(E136="방어형",INDEX(몬스터계수[[#Data],[숙련도계수]],MATCH(E136,몬스터계수[[#Data],[타입]],0),1)*C136,
IF(E136="회피형",INDEX(몬스터계수[[#Data],[숙련도계수]],MATCH(E136,몬스터계수[[#Data],[타입]],0),1)*C136,
IF(E136="체력형",INDEX(몬스터계수[[#Data],[숙련도계수]],MATCH(E136,몬스터계수[[#Data],[타입]],0),1)*C136,0))))</f>
        <v>999.75</v>
      </c>
      <c r="J136">
        <f>IF(E136="공격형",INDEX(몬스터계수[[#Data],[행운계수]],MATCH(E136, 몬스터계수[[#Data],[타입]],0),1)*C136,
IF(E136="방어형",INDEX(몬스터계수[[#Data],[행운계수]],MATCH(E136, 몬스터계수[[#Data],[타입]],0),1)*C136,
IF(E136="회피형",INDEX(몬스터계수[[#Data],[행운계수]],MATCH(E136, 몬스터계수[[#Data],[타입]],0),1)*C136,
IF(E136="체력형",INDEX(몬스터계수[[#Data],[행운계수]],MATCH(E136, 몬스터계수[[#Data],[타입]],0),1)*C136,0))))</f>
        <v>333.25</v>
      </c>
      <c r="K136" s="34">
        <f>ROUND(
(($F136)*참고!$D$5)
+(($G136)*참고!$D$6)
+(($H136)*참고!$D$7)
+(($I136)*참고!$D$8)
+(($J136))*참고!$D$9,0)</f>
        <v>51820</v>
      </c>
      <c r="L136" s="34">
        <f>ROUND(
(($F136)*참고!$E$5)
+(($G136)*참고!$E$6)
+(($H136)*참고!$E$7)
+(($I136)*참고!$E$8)
+(($J136))*참고!$E$9,0)</f>
        <v>29659</v>
      </c>
      <c r="M136" s="34">
        <f>ROUND(
(($F136)*참고!$F$5)
+(($G136)*참고!$F$6)
+(($H136)*참고!$F$7)
+(($I136)*참고!$F$8)
+(($J136))*참고!$F$9,0)</f>
        <v>8331</v>
      </c>
      <c r="N136" s="34">
        <f>ROUND(
(($F136)*참고!$G$5)
+(($G136)*참고!$G$6)
+(($H136)*참고!$G$7)
+(($I136)*참고!$G$8)
+(($J136))*참고!$G$9,0)</f>
        <v>233</v>
      </c>
      <c r="O136" s="34">
        <f>ROUND(
(($F136)*참고!$H$5)
+(($G136)*참고!$H$6)
+(($H136)*참고!$H$7)
+(($I136)*참고!$H$8)
+(($J136))*참고!$H$9,0)</f>
        <v>5499</v>
      </c>
      <c r="P136" s="34">
        <f>ROUND(
(($F136)*참고!$I$5)
+(($G136)*참고!$I$6)
+(($H136)*참고!$I$7)
+(($I136)*참고!$I$8)
+(($J136))*참고!$I$9,0)</f>
        <v>9664</v>
      </c>
      <c r="Q136" s="34">
        <f>ROUND(
(($F136)*참고!$J$5)
+(($G136)*참고!$J$6)
+(($H136)*참고!$J$7)
+(($I136)*참고!$J$8)
+(($J136))*참고!$J$9,0)</f>
        <v>6665</v>
      </c>
      <c r="R136" s="34">
        <f>IF(E136="공격형",(INDEX(몬스터계수[[#Data],[속도]],MATCH(E136, 몬스터계수[[#Data],[타입]],0),1)*속도핸들러_곱계수)*(INT(몬스터밸런스[[#This Row],[Lv]]/속도핸들러_합계수+1)),
IF(E136="방어형",(INDEX(몬스터계수[[#Data],[속도]],MATCH(E136, 몬스터계수[[#Data],[타입]],0),1)*속도핸들러_곱계수)*(INT(몬스터밸런스[[#This Row],[Lv]]/속도핸들러_합계수+1)),
IF(E136="회피형",(INDEX(몬스터계수[[#Data],[속도]],MATCH(E136, 몬스터계수[[#Data],[타입]],0),1)*속도핸들러_곱계수)*(INT(몬스터밸런스[[#This Row],[Lv]]/속도핸들러_합계수+1)),
IF(E136="기본형",(INDEX(몬스터계수[[#Data],[속도]],MATCH(E136, 몬스터계수[[#Data],[타입]],0),1)*속도핸들러_곱계수)*(INT(몬스터밸런스[[#This Row],[Lv]]/속도핸들러_합계수+1)),0))))</f>
        <v>0</v>
      </c>
      <c r="S136">
        <f t="shared" si="7"/>
        <v>1779156</v>
      </c>
      <c r="U136">
        <v>2</v>
      </c>
      <c r="V136">
        <v>134</v>
      </c>
      <c r="W136">
        <f>$Z$1*몬스터밸런스9[[#This Row],[단계]]</f>
        <v>10</v>
      </c>
      <c r="X136" t="s">
        <v>45</v>
      </c>
      <c r="AE136" s="34">
        <f>몬스터밸런스[[#This Row],[생명]]</f>
        <v>3332.5</v>
      </c>
      <c r="AF136" s="34"/>
      <c r="AG136" s="34"/>
      <c r="AH136" s="34"/>
      <c r="AI136" s="34"/>
      <c r="AJ136" s="34"/>
      <c r="AK136" s="34"/>
      <c r="AL136">
        <f t="shared" si="6"/>
        <v>58318.75</v>
      </c>
    </row>
    <row r="137" spans="1:38">
      <c r="A137">
        <v>1340</v>
      </c>
      <c r="B137">
        <v>135</v>
      </c>
      <c r="C137">
        <f>$F$1*몬스터밸런스[[#This Row],[Lv]]+15</f>
        <v>6715</v>
      </c>
      <c r="E137" t="s">
        <v>479</v>
      </c>
      <c r="F137">
        <f>IF(E137="공격형",INDEX(몬스터계수[[#Data],[생명계수]],MATCH(E137,몬스터계수[[#Data],[타입]],0),1)*C137,
IF(E137="방어형",INDEX(몬스터계수[[#Data],[생명계수]],MATCH(E137,몬스터계수[[#Data],[타입]],0),1)*C137,
IF(E137="회피형",INDEX(몬스터계수[[#Data],[생명계수]],MATCH(E137,몬스터계수[[#Data],[타입]],0),1)*C137,
IF(E137="체력형",INDEX(몬스터계수[[#Data],[생명계수]],MATCH(E137,몬스터계수[[#Data],[타입]],0),1)*C137,0))))*IF(몬스터밸런스[[#This Row],[보스]]=TRUE,2,1)</f>
        <v>3357.5</v>
      </c>
      <c r="G137">
        <f>IF(E137="공격형",INDEX(몬스터계수[[#Data],[힘계수]],MATCH(E137, 몬스터계수[[#Data],[타입]],0),1)*C137,
IF(E137="방어형",INDEX(몬스터계수[[#Data],[힘계수]],MATCH(E137, 몬스터계수[[#Data],[타입]],0),1)*C137,
IF(E137="회피형",INDEX(몬스터계수[[#Data],[힘계수]],MATCH(E137, 몬스터계수[[#Data],[타입]],0),1)*C137,
IF(E137="체력형",INDEX(몬스터계수[[#Data],[힘계수]],MATCH(E137, 몬스터계수[[#Data],[타입]],0),1)*C137,0))))</f>
        <v>1678.75</v>
      </c>
      <c r="H137">
        <f>IF(E137="공격형",INDEX(몬스터계수[[#Data],[근력게수]],MATCH(E137,몬스터계수[[#Data],[타입]],0),1)*C137,
IF(E137="방어형",INDEX(몬스터계수[[#Data],[근력게수]],MATCH(E137,몬스터계수[[#Data],[타입]],0),1)*C137,
IF(E137="회피형",INDEX(몬스터계수[[#Data],[근력게수]],MATCH(E137,몬스터계수[[#Data],[타입]],0),1)*C137,
IF(E137="체력형",INDEX(몬스터계수[[#Data],[근력게수]],MATCH(E137,몬스터계수[[#Data],[타입]],0),1)*C137,0))))</f>
        <v>335.75</v>
      </c>
      <c r="I137">
        <f>IF(E137="공격형",INDEX(몬스터계수[[#Data],[숙련도계수]],MATCH(E137,몬스터계수[[#Data],[타입]],0),1)*C137,
IF(E137="방어형",INDEX(몬스터계수[[#Data],[숙련도계수]],MATCH(E137,몬스터계수[[#Data],[타입]],0),1)*C137,
IF(E137="회피형",INDEX(몬스터계수[[#Data],[숙련도계수]],MATCH(E137,몬스터계수[[#Data],[타입]],0),1)*C137,
IF(E137="체력형",INDEX(몬스터계수[[#Data],[숙련도계수]],MATCH(E137,몬스터계수[[#Data],[타입]],0),1)*C137,0))))</f>
        <v>1007.25</v>
      </c>
      <c r="J137">
        <f>IF(E137="공격형",INDEX(몬스터계수[[#Data],[행운계수]],MATCH(E137, 몬스터계수[[#Data],[타입]],0),1)*C137,
IF(E137="방어형",INDEX(몬스터계수[[#Data],[행운계수]],MATCH(E137, 몬스터계수[[#Data],[타입]],0),1)*C137,
IF(E137="회피형",INDEX(몬스터계수[[#Data],[행운계수]],MATCH(E137, 몬스터계수[[#Data],[타입]],0),1)*C137,
IF(E137="체력형",INDEX(몬스터계수[[#Data],[행운계수]],MATCH(E137, 몬스터계수[[#Data],[타입]],0),1)*C137,0))))</f>
        <v>335.75</v>
      </c>
      <c r="K137" s="34">
        <f>ROUND(
(($F137)*참고!$D$5)
+(($G137)*참고!$D$6)
+(($H137)*참고!$D$7)
+(($I137)*참고!$D$8)
+(($J137))*참고!$D$9,0)</f>
        <v>52209</v>
      </c>
      <c r="L137" s="34">
        <f>ROUND(
(($F137)*참고!$E$5)
+(($G137)*참고!$E$6)
+(($H137)*참고!$E$7)
+(($I137)*참고!$E$8)
+(($J137))*참고!$E$9,0)</f>
        <v>29882</v>
      </c>
      <c r="M137" s="34">
        <f>ROUND(
(($F137)*참고!$F$5)
+(($G137)*참고!$F$6)
+(($H137)*참고!$F$7)
+(($I137)*참고!$F$8)
+(($J137))*참고!$F$9,0)</f>
        <v>8394</v>
      </c>
      <c r="N137" s="34">
        <f>ROUND(
(($F137)*참고!$G$5)
+(($G137)*참고!$G$6)
+(($H137)*참고!$G$7)
+(($I137)*참고!$G$8)
+(($J137))*참고!$G$9,0)</f>
        <v>235</v>
      </c>
      <c r="O137" s="34">
        <f>ROUND(
(($F137)*참고!$H$5)
+(($G137)*참고!$H$6)
+(($H137)*참고!$H$7)
+(($I137)*참고!$H$8)
+(($J137))*참고!$H$9,0)</f>
        <v>5540</v>
      </c>
      <c r="P137" s="34">
        <f>ROUND(
(($F137)*참고!$I$5)
+(($G137)*참고!$I$6)
+(($H137)*참고!$I$7)
+(($I137)*참고!$I$8)
+(($J137))*참고!$I$9,0)</f>
        <v>9737</v>
      </c>
      <c r="Q137" s="34">
        <f>ROUND(
(($F137)*참고!$J$5)
+(($G137)*참고!$J$6)
+(($H137)*참고!$J$7)
+(($I137)*참고!$J$8)
+(($J137))*참고!$J$9,0)</f>
        <v>6715</v>
      </c>
      <c r="R137" s="34">
        <f>IF(E137="공격형",(INDEX(몬스터계수[[#Data],[속도]],MATCH(E137, 몬스터계수[[#Data],[타입]],0),1)*속도핸들러_곱계수)*(INT(몬스터밸런스[[#This Row],[Lv]]/속도핸들러_합계수+1)),
IF(E137="방어형",(INDEX(몬스터계수[[#Data],[속도]],MATCH(E137, 몬스터계수[[#Data],[타입]],0),1)*속도핸들러_곱계수)*(INT(몬스터밸런스[[#This Row],[Lv]]/속도핸들러_합계수+1)),
IF(E137="회피형",(INDEX(몬스터계수[[#Data],[속도]],MATCH(E137, 몬스터계수[[#Data],[타입]],0),1)*속도핸들러_곱계수)*(INT(몬스터밸런스[[#This Row],[Lv]]/속도핸들러_합계수+1)),
IF(E137="기본형",(INDEX(몬스터계수[[#Data],[속도]],MATCH(E137, 몬스터계수[[#Data],[타입]],0),1)*속도핸들러_곱계수)*(INT(몬스터밸런스[[#This Row],[Lv]]/속도핸들러_합계수+1)),0))))</f>
        <v>0</v>
      </c>
      <c r="S137">
        <f t="shared" si="7"/>
        <v>1792528</v>
      </c>
      <c r="U137">
        <v>2</v>
      </c>
      <c r="V137">
        <v>135</v>
      </c>
      <c r="W137">
        <f>$Z$1*몬스터밸런스9[[#This Row],[단계]]</f>
        <v>10</v>
      </c>
      <c r="X137" t="s">
        <v>45</v>
      </c>
      <c r="AE137" s="34">
        <f>몬스터밸런스[[#This Row],[생명]]</f>
        <v>3357.5</v>
      </c>
      <c r="AF137" s="34"/>
      <c r="AG137" s="34"/>
      <c r="AH137" s="34"/>
      <c r="AI137" s="34"/>
      <c r="AJ137" s="34"/>
      <c r="AK137" s="34"/>
      <c r="AL137">
        <f t="shared" si="6"/>
        <v>58756.25</v>
      </c>
    </row>
    <row r="138" spans="1:38">
      <c r="A138">
        <v>1350</v>
      </c>
      <c r="B138">
        <v>136</v>
      </c>
      <c r="C138">
        <f>$F$1*몬스터밸런스[[#This Row],[Lv]]+15</f>
        <v>6765</v>
      </c>
      <c r="E138" t="s">
        <v>479</v>
      </c>
      <c r="F138">
        <f>IF(E138="공격형",INDEX(몬스터계수[[#Data],[생명계수]],MATCH(E138,몬스터계수[[#Data],[타입]],0),1)*C138,
IF(E138="방어형",INDEX(몬스터계수[[#Data],[생명계수]],MATCH(E138,몬스터계수[[#Data],[타입]],0),1)*C138,
IF(E138="회피형",INDEX(몬스터계수[[#Data],[생명계수]],MATCH(E138,몬스터계수[[#Data],[타입]],0),1)*C138,
IF(E138="체력형",INDEX(몬스터계수[[#Data],[생명계수]],MATCH(E138,몬스터계수[[#Data],[타입]],0),1)*C138,0))))*IF(몬스터밸런스[[#This Row],[보스]]=TRUE,2,1)</f>
        <v>3382.5</v>
      </c>
      <c r="G138">
        <f>IF(E138="공격형",INDEX(몬스터계수[[#Data],[힘계수]],MATCH(E138, 몬스터계수[[#Data],[타입]],0),1)*C138,
IF(E138="방어형",INDEX(몬스터계수[[#Data],[힘계수]],MATCH(E138, 몬스터계수[[#Data],[타입]],0),1)*C138,
IF(E138="회피형",INDEX(몬스터계수[[#Data],[힘계수]],MATCH(E138, 몬스터계수[[#Data],[타입]],0),1)*C138,
IF(E138="체력형",INDEX(몬스터계수[[#Data],[힘계수]],MATCH(E138, 몬스터계수[[#Data],[타입]],0),1)*C138,0))))</f>
        <v>1691.25</v>
      </c>
      <c r="H138">
        <f>IF(E138="공격형",INDEX(몬스터계수[[#Data],[근력게수]],MATCH(E138,몬스터계수[[#Data],[타입]],0),1)*C138,
IF(E138="방어형",INDEX(몬스터계수[[#Data],[근력게수]],MATCH(E138,몬스터계수[[#Data],[타입]],0),1)*C138,
IF(E138="회피형",INDEX(몬스터계수[[#Data],[근력게수]],MATCH(E138,몬스터계수[[#Data],[타입]],0),1)*C138,
IF(E138="체력형",INDEX(몬스터계수[[#Data],[근력게수]],MATCH(E138,몬스터계수[[#Data],[타입]],0),1)*C138,0))))</f>
        <v>338.25</v>
      </c>
      <c r="I138">
        <f>IF(E138="공격형",INDEX(몬스터계수[[#Data],[숙련도계수]],MATCH(E138,몬스터계수[[#Data],[타입]],0),1)*C138,
IF(E138="방어형",INDEX(몬스터계수[[#Data],[숙련도계수]],MATCH(E138,몬스터계수[[#Data],[타입]],0),1)*C138,
IF(E138="회피형",INDEX(몬스터계수[[#Data],[숙련도계수]],MATCH(E138,몬스터계수[[#Data],[타입]],0),1)*C138,
IF(E138="체력형",INDEX(몬스터계수[[#Data],[숙련도계수]],MATCH(E138,몬스터계수[[#Data],[타입]],0),1)*C138,0))))</f>
        <v>1014.75</v>
      </c>
      <c r="J138">
        <f>IF(E138="공격형",INDEX(몬스터계수[[#Data],[행운계수]],MATCH(E138, 몬스터계수[[#Data],[타입]],0),1)*C138,
IF(E138="방어형",INDEX(몬스터계수[[#Data],[행운계수]],MATCH(E138, 몬스터계수[[#Data],[타입]],0),1)*C138,
IF(E138="회피형",INDEX(몬스터계수[[#Data],[행운계수]],MATCH(E138, 몬스터계수[[#Data],[타입]],0),1)*C138,
IF(E138="체력형",INDEX(몬스터계수[[#Data],[행운계수]],MATCH(E138, 몬스터계수[[#Data],[타입]],0),1)*C138,0))))</f>
        <v>338.25</v>
      </c>
      <c r="K138" s="34">
        <f>ROUND(
(($F138)*참고!$D$5)
+(($G138)*참고!$D$6)
+(($H138)*참고!$D$7)
+(($I138)*참고!$D$8)
+(($J138))*참고!$D$9,0)</f>
        <v>52598</v>
      </c>
      <c r="L138" s="34">
        <f>ROUND(
(($F138)*참고!$E$5)
+(($G138)*참고!$E$6)
+(($H138)*참고!$E$7)
+(($I138)*참고!$E$8)
+(($J138))*참고!$E$9,0)</f>
        <v>30104</v>
      </c>
      <c r="M138" s="34">
        <f>ROUND(
(($F138)*참고!$F$5)
+(($G138)*참고!$F$6)
+(($H138)*참고!$F$7)
+(($I138)*참고!$F$8)
+(($J138))*참고!$F$9,0)</f>
        <v>8456</v>
      </c>
      <c r="N138" s="34">
        <f>ROUND(
(($F138)*참고!$G$5)
+(($G138)*참고!$G$6)
+(($H138)*참고!$G$7)
+(($I138)*참고!$G$8)
+(($J138))*참고!$G$9,0)</f>
        <v>237</v>
      </c>
      <c r="O138" s="34">
        <f>ROUND(
(($F138)*참고!$H$5)
+(($G138)*참고!$H$6)
+(($H138)*참고!$H$7)
+(($I138)*참고!$H$8)
+(($J138))*참고!$H$9,0)</f>
        <v>5581</v>
      </c>
      <c r="P138" s="34">
        <f>ROUND(
(($F138)*참고!$I$5)
+(($G138)*참고!$I$6)
+(($H138)*참고!$I$7)
+(($I138)*참고!$I$8)
+(($J138))*참고!$I$9,0)</f>
        <v>9809</v>
      </c>
      <c r="Q138" s="34">
        <f>ROUND(
(($F138)*참고!$J$5)
+(($G138)*참고!$J$6)
+(($H138)*참고!$J$7)
+(($I138)*참고!$J$8)
+(($J138))*참고!$J$9,0)</f>
        <v>6765</v>
      </c>
      <c r="R138" s="34">
        <f>IF(E138="공격형",(INDEX(몬스터계수[[#Data],[속도]],MATCH(E138, 몬스터계수[[#Data],[타입]],0),1)*속도핸들러_곱계수)*(INT(몬스터밸런스[[#This Row],[Lv]]/속도핸들러_합계수+1)),
IF(E138="방어형",(INDEX(몬스터계수[[#Data],[속도]],MATCH(E138, 몬스터계수[[#Data],[타입]],0),1)*속도핸들러_곱계수)*(INT(몬스터밸런스[[#This Row],[Lv]]/속도핸들러_합계수+1)),
IF(E138="회피형",(INDEX(몬스터계수[[#Data],[속도]],MATCH(E138, 몬스터계수[[#Data],[타입]],0),1)*속도핸들러_곱계수)*(INT(몬스터밸런스[[#This Row],[Lv]]/속도핸들러_합계수+1)),
IF(E138="기본형",(INDEX(몬스터계수[[#Data],[속도]],MATCH(E138, 몬스터계수[[#Data],[타입]],0),1)*속도핸들러_곱계수)*(INT(몬스터밸런스[[#This Row],[Lv]]/속도핸들러_합계수+1)),0))))</f>
        <v>0</v>
      </c>
      <c r="S138">
        <f t="shared" si="7"/>
        <v>1805857</v>
      </c>
      <c r="U138">
        <v>3</v>
      </c>
      <c r="V138">
        <v>136</v>
      </c>
      <c r="W138">
        <f>$Z$1*몬스터밸런스9[[#This Row],[단계]]</f>
        <v>15</v>
      </c>
      <c r="X138" t="s">
        <v>45</v>
      </c>
      <c r="AE138" s="34">
        <f>몬스터밸런스[[#This Row],[생명]]</f>
        <v>3382.5</v>
      </c>
      <c r="AF138" s="34"/>
      <c r="AG138" s="34"/>
      <c r="AH138" s="34"/>
      <c r="AI138" s="34"/>
      <c r="AJ138" s="34"/>
      <c r="AK138" s="34"/>
      <c r="AL138">
        <f t="shared" si="6"/>
        <v>59193.75</v>
      </c>
    </row>
    <row r="139" spans="1:38">
      <c r="A139">
        <v>1360</v>
      </c>
      <c r="B139">
        <v>137</v>
      </c>
      <c r="C139">
        <f>$F$1*몬스터밸런스[[#This Row],[Lv]]+15</f>
        <v>6815</v>
      </c>
      <c r="E139" t="s">
        <v>479</v>
      </c>
      <c r="F139">
        <f>IF(E139="공격형",INDEX(몬스터계수[[#Data],[생명계수]],MATCH(E139,몬스터계수[[#Data],[타입]],0),1)*C139,
IF(E139="방어형",INDEX(몬스터계수[[#Data],[생명계수]],MATCH(E139,몬스터계수[[#Data],[타입]],0),1)*C139,
IF(E139="회피형",INDEX(몬스터계수[[#Data],[생명계수]],MATCH(E139,몬스터계수[[#Data],[타입]],0),1)*C139,
IF(E139="체력형",INDEX(몬스터계수[[#Data],[생명계수]],MATCH(E139,몬스터계수[[#Data],[타입]],0),1)*C139,0))))*IF(몬스터밸런스[[#This Row],[보스]]=TRUE,2,1)</f>
        <v>3407.5</v>
      </c>
      <c r="G139">
        <f>IF(E139="공격형",INDEX(몬스터계수[[#Data],[힘계수]],MATCH(E139, 몬스터계수[[#Data],[타입]],0),1)*C139,
IF(E139="방어형",INDEX(몬스터계수[[#Data],[힘계수]],MATCH(E139, 몬스터계수[[#Data],[타입]],0),1)*C139,
IF(E139="회피형",INDEX(몬스터계수[[#Data],[힘계수]],MATCH(E139, 몬스터계수[[#Data],[타입]],0),1)*C139,
IF(E139="체력형",INDEX(몬스터계수[[#Data],[힘계수]],MATCH(E139, 몬스터계수[[#Data],[타입]],0),1)*C139,0))))</f>
        <v>1703.75</v>
      </c>
      <c r="H139">
        <f>IF(E139="공격형",INDEX(몬스터계수[[#Data],[근력게수]],MATCH(E139,몬스터계수[[#Data],[타입]],0),1)*C139,
IF(E139="방어형",INDEX(몬스터계수[[#Data],[근력게수]],MATCH(E139,몬스터계수[[#Data],[타입]],0),1)*C139,
IF(E139="회피형",INDEX(몬스터계수[[#Data],[근력게수]],MATCH(E139,몬스터계수[[#Data],[타입]],0),1)*C139,
IF(E139="체력형",INDEX(몬스터계수[[#Data],[근력게수]],MATCH(E139,몬스터계수[[#Data],[타입]],0),1)*C139,0))))</f>
        <v>340.75</v>
      </c>
      <c r="I139">
        <f>IF(E139="공격형",INDEX(몬스터계수[[#Data],[숙련도계수]],MATCH(E139,몬스터계수[[#Data],[타입]],0),1)*C139,
IF(E139="방어형",INDEX(몬스터계수[[#Data],[숙련도계수]],MATCH(E139,몬스터계수[[#Data],[타입]],0),1)*C139,
IF(E139="회피형",INDEX(몬스터계수[[#Data],[숙련도계수]],MATCH(E139,몬스터계수[[#Data],[타입]],0),1)*C139,
IF(E139="체력형",INDEX(몬스터계수[[#Data],[숙련도계수]],MATCH(E139,몬스터계수[[#Data],[타입]],0),1)*C139,0))))</f>
        <v>1022.25</v>
      </c>
      <c r="J139">
        <f>IF(E139="공격형",INDEX(몬스터계수[[#Data],[행운계수]],MATCH(E139, 몬스터계수[[#Data],[타입]],0),1)*C139,
IF(E139="방어형",INDEX(몬스터계수[[#Data],[행운계수]],MATCH(E139, 몬스터계수[[#Data],[타입]],0),1)*C139,
IF(E139="회피형",INDEX(몬스터계수[[#Data],[행운계수]],MATCH(E139, 몬스터계수[[#Data],[타입]],0),1)*C139,
IF(E139="체력형",INDEX(몬스터계수[[#Data],[행운계수]],MATCH(E139, 몬스터계수[[#Data],[타입]],0),1)*C139,0))))</f>
        <v>340.75</v>
      </c>
      <c r="K139" s="34">
        <f>ROUND(
(($F139)*참고!$D$5)
+(($G139)*참고!$D$6)
+(($H139)*참고!$D$7)
+(($I139)*참고!$D$8)
+(($J139))*참고!$D$9,0)</f>
        <v>52987</v>
      </c>
      <c r="L139" s="34">
        <f>ROUND(
(($F139)*참고!$E$5)
+(($G139)*참고!$E$6)
+(($H139)*참고!$E$7)
+(($I139)*참고!$E$8)
+(($J139))*참고!$E$9,0)</f>
        <v>30327</v>
      </c>
      <c r="M139" s="34">
        <f>ROUND(
(($F139)*참고!$F$5)
+(($G139)*참고!$F$6)
+(($H139)*참고!$F$7)
+(($I139)*참고!$F$8)
+(($J139))*참고!$F$9,0)</f>
        <v>8519</v>
      </c>
      <c r="N139" s="34">
        <f>ROUND(
(($F139)*참고!$G$5)
+(($G139)*참고!$G$6)
+(($H139)*참고!$G$7)
+(($I139)*참고!$G$8)
+(($J139))*참고!$G$9,0)</f>
        <v>239</v>
      </c>
      <c r="O139" s="34">
        <f>ROUND(
(($F139)*참고!$H$5)
+(($G139)*참고!$H$6)
+(($H139)*참고!$H$7)
+(($I139)*참고!$H$8)
+(($J139))*참고!$H$9,0)</f>
        <v>5622</v>
      </c>
      <c r="P139" s="34">
        <f>ROUND(
(($F139)*참고!$I$5)
+(($G139)*참고!$I$6)
+(($H139)*참고!$I$7)
+(($I139)*참고!$I$8)
+(($J139))*참고!$I$9,0)</f>
        <v>9882</v>
      </c>
      <c r="Q139" s="34">
        <f>ROUND(
(($F139)*참고!$J$5)
+(($G139)*참고!$J$6)
+(($H139)*참고!$J$7)
+(($I139)*참고!$J$8)
+(($J139))*참고!$J$9,0)</f>
        <v>6815</v>
      </c>
      <c r="R139" s="34">
        <f>IF(E139="공격형",(INDEX(몬스터계수[[#Data],[속도]],MATCH(E139, 몬스터계수[[#Data],[타입]],0),1)*속도핸들러_곱계수)*(INT(몬스터밸런스[[#This Row],[Lv]]/속도핸들러_합계수+1)),
IF(E139="방어형",(INDEX(몬스터계수[[#Data],[속도]],MATCH(E139, 몬스터계수[[#Data],[타입]],0),1)*속도핸들러_곱계수)*(INT(몬스터밸런스[[#This Row],[Lv]]/속도핸들러_합계수+1)),
IF(E139="회피형",(INDEX(몬스터계수[[#Data],[속도]],MATCH(E139, 몬스터계수[[#Data],[타입]],0),1)*속도핸들러_곱계수)*(INT(몬스터밸런스[[#This Row],[Lv]]/속도핸들러_합계수+1)),
IF(E139="기본형",(INDEX(몬스터계수[[#Data],[속도]],MATCH(E139, 몬스터계수[[#Data],[타입]],0),1)*속도핸들러_곱계수)*(INT(몬스터밸런스[[#This Row],[Lv]]/속도핸들러_합계수+1)),0))))</f>
        <v>0</v>
      </c>
      <c r="S139">
        <f t="shared" si="7"/>
        <v>1819229</v>
      </c>
      <c r="U139">
        <v>3</v>
      </c>
      <c r="V139">
        <v>137</v>
      </c>
      <c r="W139">
        <f>$Z$1*몬스터밸런스9[[#This Row],[단계]]</f>
        <v>15</v>
      </c>
      <c r="X139" t="s">
        <v>45</v>
      </c>
      <c r="AE139" s="34">
        <f>몬스터밸런스[[#This Row],[생명]]</f>
        <v>3407.5</v>
      </c>
      <c r="AF139" s="34"/>
      <c r="AG139" s="34"/>
      <c r="AH139" s="34"/>
      <c r="AI139" s="34"/>
      <c r="AJ139" s="34"/>
      <c r="AK139" s="34"/>
      <c r="AL139">
        <f t="shared" si="6"/>
        <v>59631.25</v>
      </c>
    </row>
    <row r="140" spans="1:38">
      <c r="A140">
        <v>1370</v>
      </c>
      <c r="B140">
        <v>138</v>
      </c>
      <c r="C140">
        <f>$F$1*몬스터밸런스[[#This Row],[Lv]]+15</f>
        <v>6865</v>
      </c>
      <c r="E140" t="s">
        <v>479</v>
      </c>
      <c r="F140">
        <f>IF(E140="공격형",INDEX(몬스터계수[[#Data],[생명계수]],MATCH(E140,몬스터계수[[#Data],[타입]],0),1)*C140,
IF(E140="방어형",INDEX(몬스터계수[[#Data],[생명계수]],MATCH(E140,몬스터계수[[#Data],[타입]],0),1)*C140,
IF(E140="회피형",INDEX(몬스터계수[[#Data],[생명계수]],MATCH(E140,몬스터계수[[#Data],[타입]],0),1)*C140,
IF(E140="체력형",INDEX(몬스터계수[[#Data],[생명계수]],MATCH(E140,몬스터계수[[#Data],[타입]],0),1)*C140,0))))*IF(몬스터밸런스[[#This Row],[보스]]=TRUE,2,1)</f>
        <v>3432.5</v>
      </c>
      <c r="G140">
        <f>IF(E140="공격형",INDEX(몬스터계수[[#Data],[힘계수]],MATCH(E140, 몬스터계수[[#Data],[타입]],0),1)*C140,
IF(E140="방어형",INDEX(몬스터계수[[#Data],[힘계수]],MATCH(E140, 몬스터계수[[#Data],[타입]],0),1)*C140,
IF(E140="회피형",INDEX(몬스터계수[[#Data],[힘계수]],MATCH(E140, 몬스터계수[[#Data],[타입]],0),1)*C140,
IF(E140="체력형",INDEX(몬스터계수[[#Data],[힘계수]],MATCH(E140, 몬스터계수[[#Data],[타입]],0),1)*C140,0))))</f>
        <v>1716.25</v>
      </c>
      <c r="H140">
        <f>IF(E140="공격형",INDEX(몬스터계수[[#Data],[근력게수]],MATCH(E140,몬스터계수[[#Data],[타입]],0),1)*C140,
IF(E140="방어형",INDEX(몬스터계수[[#Data],[근력게수]],MATCH(E140,몬스터계수[[#Data],[타입]],0),1)*C140,
IF(E140="회피형",INDEX(몬스터계수[[#Data],[근력게수]],MATCH(E140,몬스터계수[[#Data],[타입]],0),1)*C140,
IF(E140="체력형",INDEX(몬스터계수[[#Data],[근력게수]],MATCH(E140,몬스터계수[[#Data],[타입]],0),1)*C140,0))))</f>
        <v>343.25</v>
      </c>
      <c r="I140">
        <f>IF(E140="공격형",INDEX(몬스터계수[[#Data],[숙련도계수]],MATCH(E140,몬스터계수[[#Data],[타입]],0),1)*C140,
IF(E140="방어형",INDEX(몬스터계수[[#Data],[숙련도계수]],MATCH(E140,몬스터계수[[#Data],[타입]],0),1)*C140,
IF(E140="회피형",INDEX(몬스터계수[[#Data],[숙련도계수]],MATCH(E140,몬스터계수[[#Data],[타입]],0),1)*C140,
IF(E140="체력형",INDEX(몬스터계수[[#Data],[숙련도계수]],MATCH(E140,몬스터계수[[#Data],[타입]],0),1)*C140,0))))</f>
        <v>1029.75</v>
      </c>
      <c r="J140">
        <f>IF(E140="공격형",INDEX(몬스터계수[[#Data],[행운계수]],MATCH(E140, 몬스터계수[[#Data],[타입]],0),1)*C140,
IF(E140="방어형",INDEX(몬스터계수[[#Data],[행운계수]],MATCH(E140, 몬스터계수[[#Data],[타입]],0),1)*C140,
IF(E140="회피형",INDEX(몬스터계수[[#Data],[행운계수]],MATCH(E140, 몬스터계수[[#Data],[타입]],0),1)*C140,
IF(E140="체력형",INDEX(몬스터계수[[#Data],[행운계수]],MATCH(E140, 몬스터계수[[#Data],[타입]],0),1)*C140,0))))</f>
        <v>343.25</v>
      </c>
      <c r="K140" s="34">
        <f>ROUND(
(($F140)*참고!$D$5)
+(($G140)*참고!$D$6)
+(($H140)*참고!$D$7)
+(($I140)*참고!$D$8)
+(($J140))*참고!$D$9,0)</f>
        <v>53375</v>
      </c>
      <c r="L140" s="34">
        <f>ROUND(
(($F140)*참고!$E$5)
+(($G140)*참고!$E$6)
+(($H140)*참고!$E$7)
+(($I140)*참고!$E$8)
+(($J140))*참고!$E$9,0)</f>
        <v>30549</v>
      </c>
      <c r="M140" s="34">
        <f>ROUND(
(($F140)*참고!$F$5)
+(($G140)*참고!$F$6)
+(($H140)*참고!$F$7)
+(($I140)*참고!$F$8)
+(($J140))*참고!$F$9,0)</f>
        <v>8581</v>
      </c>
      <c r="N140" s="34">
        <f>ROUND(
(($F140)*참고!$G$5)
+(($G140)*참고!$G$6)
+(($H140)*참고!$G$7)
+(($I140)*참고!$G$8)
+(($J140))*참고!$G$9,0)</f>
        <v>240</v>
      </c>
      <c r="O140" s="34">
        <f>ROUND(
(($F140)*참고!$H$5)
+(($G140)*참고!$H$6)
+(($H140)*참고!$H$7)
+(($I140)*참고!$H$8)
+(($J140))*참고!$H$9,0)</f>
        <v>5664</v>
      </c>
      <c r="P140" s="34">
        <f>ROUND(
(($F140)*참고!$I$5)
+(($G140)*참고!$I$6)
+(($H140)*참고!$I$7)
+(($I140)*참고!$I$8)
+(($J140))*참고!$I$9,0)</f>
        <v>9954</v>
      </c>
      <c r="Q140" s="34">
        <f>ROUND(
(($F140)*참고!$J$5)
+(($G140)*참고!$J$6)
+(($H140)*참고!$J$7)
+(($I140)*참고!$J$8)
+(($J140))*참고!$J$9,0)</f>
        <v>6865</v>
      </c>
      <c r="R140" s="34">
        <f>IF(E140="공격형",(INDEX(몬스터계수[[#Data],[속도]],MATCH(E140, 몬스터계수[[#Data],[타입]],0),1)*속도핸들러_곱계수)*(INT(몬스터밸런스[[#This Row],[Lv]]/속도핸들러_합계수+1)),
IF(E140="방어형",(INDEX(몬스터계수[[#Data],[속도]],MATCH(E140, 몬스터계수[[#Data],[타입]],0),1)*속도핸들러_곱계수)*(INT(몬스터밸런스[[#This Row],[Lv]]/속도핸들러_합계수+1)),
IF(E140="회피형",(INDEX(몬스터계수[[#Data],[속도]],MATCH(E140, 몬스터계수[[#Data],[타입]],0),1)*속도핸들러_곱계수)*(INT(몬스터밸런스[[#This Row],[Lv]]/속도핸들러_합계수+1)),
IF(E140="기본형",(INDEX(몬스터계수[[#Data],[속도]],MATCH(E140, 몬스터계수[[#Data],[타입]],0),1)*속도핸들러_곱계수)*(INT(몬스터밸런스[[#This Row],[Lv]]/속도핸들러_합계수+1)),0))))</f>
        <v>0</v>
      </c>
      <c r="S140">
        <f t="shared" si="7"/>
        <v>1832544.5</v>
      </c>
      <c r="U140">
        <v>3</v>
      </c>
      <c r="V140">
        <v>138</v>
      </c>
      <c r="W140">
        <f>$Z$1*몬스터밸런스9[[#This Row],[단계]]</f>
        <v>15</v>
      </c>
      <c r="X140" t="s">
        <v>45</v>
      </c>
      <c r="AE140" s="34">
        <f>몬스터밸런스[[#This Row],[생명]]</f>
        <v>3432.5</v>
      </c>
      <c r="AF140" s="34"/>
      <c r="AG140" s="34"/>
      <c r="AH140" s="34"/>
      <c r="AI140" s="34"/>
      <c r="AJ140" s="34"/>
      <c r="AK140" s="34"/>
      <c r="AL140">
        <f t="shared" si="6"/>
        <v>60068.75</v>
      </c>
    </row>
    <row r="141" spans="1:38">
      <c r="A141">
        <v>1380</v>
      </c>
      <c r="B141">
        <v>139</v>
      </c>
      <c r="C141">
        <f>$F$1*몬스터밸런스[[#This Row],[Lv]]+15</f>
        <v>6915</v>
      </c>
      <c r="E141" t="s">
        <v>479</v>
      </c>
      <c r="F141">
        <f>IF(E141="공격형",INDEX(몬스터계수[[#Data],[생명계수]],MATCH(E141,몬스터계수[[#Data],[타입]],0),1)*C141,
IF(E141="방어형",INDEX(몬스터계수[[#Data],[생명계수]],MATCH(E141,몬스터계수[[#Data],[타입]],0),1)*C141,
IF(E141="회피형",INDEX(몬스터계수[[#Data],[생명계수]],MATCH(E141,몬스터계수[[#Data],[타입]],0),1)*C141,
IF(E141="체력형",INDEX(몬스터계수[[#Data],[생명계수]],MATCH(E141,몬스터계수[[#Data],[타입]],0),1)*C141,0))))*IF(몬스터밸런스[[#This Row],[보스]]=TRUE,2,1)</f>
        <v>3457.5</v>
      </c>
      <c r="G141">
        <f>IF(E141="공격형",INDEX(몬스터계수[[#Data],[힘계수]],MATCH(E141, 몬스터계수[[#Data],[타입]],0),1)*C141,
IF(E141="방어형",INDEX(몬스터계수[[#Data],[힘계수]],MATCH(E141, 몬스터계수[[#Data],[타입]],0),1)*C141,
IF(E141="회피형",INDEX(몬스터계수[[#Data],[힘계수]],MATCH(E141, 몬스터계수[[#Data],[타입]],0),1)*C141,
IF(E141="체력형",INDEX(몬스터계수[[#Data],[힘계수]],MATCH(E141, 몬스터계수[[#Data],[타입]],0),1)*C141,0))))</f>
        <v>1728.75</v>
      </c>
      <c r="H141">
        <f>IF(E141="공격형",INDEX(몬스터계수[[#Data],[근력게수]],MATCH(E141,몬스터계수[[#Data],[타입]],0),1)*C141,
IF(E141="방어형",INDEX(몬스터계수[[#Data],[근력게수]],MATCH(E141,몬스터계수[[#Data],[타입]],0),1)*C141,
IF(E141="회피형",INDEX(몬스터계수[[#Data],[근력게수]],MATCH(E141,몬스터계수[[#Data],[타입]],0),1)*C141,
IF(E141="체력형",INDEX(몬스터계수[[#Data],[근력게수]],MATCH(E141,몬스터계수[[#Data],[타입]],0),1)*C141,0))))</f>
        <v>345.75</v>
      </c>
      <c r="I141">
        <f>IF(E141="공격형",INDEX(몬스터계수[[#Data],[숙련도계수]],MATCH(E141,몬스터계수[[#Data],[타입]],0),1)*C141,
IF(E141="방어형",INDEX(몬스터계수[[#Data],[숙련도계수]],MATCH(E141,몬스터계수[[#Data],[타입]],0),1)*C141,
IF(E141="회피형",INDEX(몬스터계수[[#Data],[숙련도계수]],MATCH(E141,몬스터계수[[#Data],[타입]],0),1)*C141,
IF(E141="체력형",INDEX(몬스터계수[[#Data],[숙련도계수]],MATCH(E141,몬스터계수[[#Data],[타입]],0),1)*C141,0))))</f>
        <v>1037.25</v>
      </c>
      <c r="J141">
        <f>IF(E141="공격형",INDEX(몬스터계수[[#Data],[행운계수]],MATCH(E141, 몬스터계수[[#Data],[타입]],0),1)*C141,
IF(E141="방어형",INDEX(몬스터계수[[#Data],[행운계수]],MATCH(E141, 몬스터계수[[#Data],[타입]],0),1)*C141,
IF(E141="회피형",INDEX(몬스터계수[[#Data],[행운계수]],MATCH(E141, 몬스터계수[[#Data],[타입]],0),1)*C141,
IF(E141="체력형",INDEX(몬스터계수[[#Data],[행운계수]],MATCH(E141, 몬스터계수[[#Data],[타입]],0),1)*C141,0))))</f>
        <v>345.75</v>
      </c>
      <c r="K141" s="34">
        <f>ROUND(
(($F141)*참고!$D$5)
+(($G141)*참고!$D$6)
+(($H141)*참고!$D$7)
+(($I141)*참고!$D$8)
+(($J141))*참고!$D$9,0)</f>
        <v>53764</v>
      </c>
      <c r="L141" s="34">
        <f>ROUND(
(($F141)*참고!$E$5)
+(($G141)*참고!$E$6)
+(($H141)*참고!$E$7)
+(($I141)*참고!$E$8)
+(($J141))*참고!$E$9,0)</f>
        <v>30772</v>
      </c>
      <c r="M141" s="34">
        <f>ROUND(
(($F141)*참고!$F$5)
+(($G141)*참고!$F$6)
+(($H141)*참고!$F$7)
+(($I141)*참고!$F$8)
+(($J141))*참고!$F$9,0)</f>
        <v>8644</v>
      </c>
      <c r="N141" s="34">
        <f>ROUND(
(($F141)*참고!$G$5)
+(($G141)*참고!$G$6)
+(($H141)*참고!$G$7)
+(($I141)*참고!$G$8)
+(($J141))*참고!$G$9,0)</f>
        <v>242</v>
      </c>
      <c r="O141" s="34">
        <f>ROUND(
(($F141)*참고!$H$5)
+(($G141)*참고!$H$6)
+(($H141)*참고!$H$7)
+(($I141)*참고!$H$8)
+(($J141))*참고!$H$9,0)</f>
        <v>5705</v>
      </c>
      <c r="P141" s="34">
        <f>ROUND(
(($F141)*참고!$I$5)
+(($G141)*참고!$I$6)
+(($H141)*참고!$I$7)
+(($I141)*참고!$I$8)
+(($J141))*참고!$I$9,0)</f>
        <v>10027</v>
      </c>
      <c r="Q141" s="34">
        <f>ROUND(
(($F141)*참고!$J$5)
+(($G141)*참고!$J$6)
+(($H141)*참고!$J$7)
+(($I141)*참고!$J$8)
+(($J141))*참고!$J$9,0)</f>
        <v>6915</v>
      </c>
      <c r="R141" s="34">
        <f>IF(E141="공격형",(INDEX(몬스터계수[[#Data],[속도]],MATCH(E141, 몬스터계수[[#Data],[타입]],0),1)*속도핸들러_곱계수)*(INT(몬스터밸런스[[#This Row],[Lv]]/속도핸들러_합계수+1)),
IF(E141="방어형",(INDEX(몬스터계수[[#Data],[속도]],MATCH(E141, 몬스터계수[[#Data],[타입]],0),1)*속도핸들러_곱계수)*(INT(몬스터밸런스[[#This Row],[Lv]]/속도핸들러_합계수+1)),
IF(E141="회피형",(INDEX(몬스터계수[[#Data],[속도]],MATCH(E141, 몬스터계수[[#Data],[타입]],0),1)*속도핸들러_곱계수)*(INT(몬스터밸런스[[#This Row],[Lv]]/속도핸들러_합계수+1)),
IF(E141="기본형",(INDEX(몬스터계수[[#Data],[속도]],MATCH(E141, 몬스터계수[[#Data],[타입]],0),1)*속도핸들러_곱계수)*(INT(몬스터밸런스[[#This Row],[Lv]]/속도핸들러_합계수+1)),0))))</f>
        <v>0</v>
      </c>
      <c r="S141">
        <f t="shared" si="7"/>
        <v>1845916.5</v>
      </c>
      <c r="U141">
        <v>3</v>
      </c>
      <c r="V141">
        <v>139</v>
      </c>
      <c r="W141">
        <f>$Z$1*몬스터밸런스9[[#This Row],[단계]]</f>
        <v>15</v>
      </c>
      <c r="X141" t="s">
        <v>45</v>
      </c>
      <c r="AE141" s="34">
        <f>몬스터밸런스[[#This Row],[생명]]</f>
        <v>3457.5</v>
      </c>
      <c r="AF141" s="34"/>
      <c r="AG141" s="34"/>
      <c r="AH141" s="34"/>
      <c r="AI141" s="34"/>
      <c r="AJ141" s="34"/>
      <c r="AK141" s="34"/>
      <c r="AL141">
        <f t="shared" si="6"/>
        <v>60506.25</v>
      </c>
    </row>
    <row r="142" spans="1:38">
      <c r="A142">
        <v>1390</v>
      </c>
      <c r="B142">
        <v>140</v>
      </c>
      <c r="C142">
        <f>$F$1*몬스터밸런스[[#This Row],[Lv]]+15</f>
        <v>6965</v>
      </c>
      <c r="E142" t="s">
        <v>479</v>
      </c>
      <c r="F142">
        <f>IF(E142="공격형",INDEX(몬스터계수[[#Data],[생명계수]],MATCH(E142,몬스터계수[[#Data],[타입]],0),1)*C142,
IF(E142="방어형",INDEX(몬스터계수[[#Data],[생명계수]],MATCH(E142,몬스터계수[[#Data],[타입]],0),1)*C142,
IF(E142="회피형",INDEX(몬스터계수[[#Data],[생명계수]],MATCH(E142,몬스터계수[[#Data],[타입]],0),1)*C142,
IF(E142="체력형",INDEX(몬스터계수[[#Data],[생명계수]],MATCH(E142,몬스터계수[[#Data],[타입]],0),1)*C142,0))))*IF(몬스터밸런스[[#This Row],[보스]]=TRUE,2,1)</f>
        <v>3482.5</v>
      </c>
      <c r="G142">
        <f>IF(E142="공격형",INDEX(몬스터계수[[#Data],[힘계수]],MATCH(E142, 몬스터계수[[#Data],[타입]],0),1)*C142,
IF(E142="방어형",INDEX(몬스터계수[[#Data],[힘계수]],MATCH(E142, 몬스터계수[[#Data],[타입]],0),1)*C142,
IF(E142="회피형",INDEX(몬스터계수[[#Data],[힘계수]],MATCH(E142, 몬스터계수[[#Data],[타입]],0),1)*C142,
IF(E142="체력형",INDEX(몬스터계수[[#Data],[힘계수]],MATCH(E142, 몬스터계수[[#Data],[타입]],0),1)*C142,0))))</f>
        <v>1741.25</v>
      </c>
      <c r="H142">
        <f>IF(E142="공격형",INDEX(몬스터계수[[#Data],[근력게수]],MATCH(E142,몬스터계수[[#Data],[타입]],0),1)*C142,
IF(E142="방어형",INDEX(몬스터계수[[#Data],[근력게수]],MATCH(E142,몬스터계수[[#Data],[타입]],0),1)*C142,
IF(E142="회피형",INDEX(몬스터계수[[#Data],[근력게수]],MATCH(E142,몬스터계수[[#Data],[타입]],0),1)*C142,
IF(E142="체력형",INDEX(몬스터계수[[#Data],[근력게수]],MATCH(E142,몬스터계수[[#Data],[타입]],0),1)*C142,0))))</f>
        <v>348.25</v>
      </c>
      <c r="I142">
        <f>IF(E142="공격형",INDEX(몬스터계수[[#Data],[숙련도계수]],MATCH(E142,몬스터계수[[#Data],[타입]],0),1)*C142,
IF(E142="방어형",INDEX(몬스터계수[[#Data],[숙련도계수]],MATCH(E142,몬스터계수[[#Data],[타입]],0),1)*C142,
IF(E142="회피형",INDEX(몬스터계수[[#Data],[숙련도계수]],MATCH(E142,몬스터계수[[#Data],[타입]],0),1)*C142,
IF(E142="체력형",INDEX(몬스터계수[[#Data],[숙련도계수]],MATCH(E142,몬스터계수[[#Data],[타입]],0),1)*C142,0))))</f>
        <v>1044.75</v>
      </c>
      <c r="J142">
        <f>IF(E142="공격형",INDEX(몬스터계수[[#Data],[행운계수]],MATCH(E142, 몬스터계수[[#Data],[타입]],0),1)*C142,
IF(E142="방어형",INDEX(몬스터계수[[#Data],[행운계수]],MATCH(E142, 몬스터계수[[#Data],[타입]],0),1)*C142,
IF(E142="회피형",INDEX(몬스터계수[[#Data],[행운계수]],MATCH(E142, 몬스터계수[[#Data],[타입]],0),1)*C142,
IF(E142="체력형",INDEX(몬스터계수[[#Data],[행운계수]],MATCH(E142, 몬스터계수[[#Data],[타입]],0),1)*C142,0))))</f>
        <v>348.25</v>
      </c>
      <c r="K142" s="34">
        <f>ROUND(
(($F142)*참고!$D$5)
+(($G142)*참고!$D$6)
+(($H142)*참고!$D$7)
+(($I142)*참고!$D$8)
+(($J142))*참고!$D$9,0)</f>
        <v>54153</v>
      </c>
      <c r="L142" s="34">
        <f>ROUND(
(($F142)*참고!$E$5)
+(($G142)*참고!$E$6)
+(($H142)*참고!$E$7)
+(($I142)*참고!$E$8)
+(($J142))*참고!$E$9,0)</f>
        <v>30994</v>
      </c>
      <c r="M142" s="34">
        <f>ROUND(
(($F142)*참고!$F$5)
+(($G142)*참고!$F$6)
+(($H142)*참고!$F$7)
+(($I142)*참고!$F$8)
+(($J142))*참고!$F$9,0)</f>
        <v>8706</v>
      </c>
      <c r="N142" s="34">
        <f>ROUND(
(($F142)*참고!$G$5)
+(($G142)*참고!$G$6)
+(($H142)*참고!$G$7)
+(($I142)*참고!$G$8)
+(($J142))*참고!$G$9,0)</f>
        <v>244</v>
      </c>
      <c r="O142" s="34">
        <f>ROUND(
(($F142)*참고!$H$5)
+(($G142)*참고!$H$6)
+(($H142)*참고!$H$7)
+(($I142)*참고!$H$8)
+(($J142))*참고!$H$9,0)</f>
        <v>5746</v>
      </c>
      <c r="P142" s="34">
        <f>ROUND(
(($F142)*참고!$I$5)
+(($G142)*참고!$I$6)
+(($H142)*참고!$I$7)
+(($I142)*참고!$I$8)
+(($J142))*참고!$I$9,0)</f>
        <v>10099</v>
      </c>
      <c r="Q142" s="34">
        <f>ROUND(
(($F142)*참고!$J$5)
+(($G142)*참고!$J$6)
+(($H142)*참고!$J$7)
+(($I142)*참고!$J$8)
+(($J142))*참고!$J$9,0)</f>
        <v>6965</v>
      </c>
      <c r="R142" s="34">
        <f>IF(E142="공격형",(INDEX(몬스터계수[[#Data],[속도]],MATCH(E142, 몬스터계수[[#Data],[타입]],0),1)*속도핸들러_곱계수)*(INT(몬스터밸런스[[#This Row],[Lv]]/속도핸들러_합계수+1)),
IF(E142="방어형",(INDEX(몬스터계수[[#Data],[속도]],MATCH(E142, 몬스터계수[[#Data],[타입]],0),1)*속도핸들러_곱계수)*(INT(몬스터밸런스[[#This Row],[Lv]]/속도핸들러_합계수+1)),
IF(E142="회피형",(INDEX(몬스터계수[[#Data],[속도]],MATCH(E142, 몬스터계수[[#Data],[타입]],0),1)*속도핸들러_곱계수)*(INT(몬스터밸런스[[#This Row],[Lv]]/속도핸들러_합계수+1)),
IF(E142="기본형",(INDEX(몬스터계수[[#Data],[속도]],MATCH(E142, 몬스터계수[[#Data],[타입]],0),1)*속도핸들러_곱계수)*(INT(몬스터밸런스[[#This Row],[Lv]]/속도핸들러_합계수+1)),0))))</f>
        <v>0</v>
      </c>
      <c r="S142">
        <f t="shared" si="7"/>
        <v>1859245.5</v>
      </c>
      <c r="U142">
        <v>3</v>
      </c>
      <c r="V142">
        <v>140</v>
      </c>
      <c r="W142">
        <f>$Z$1*몬스터밸런스9[[#This Row],[단계]]</f>
        <v>15</v>
      </c>
      <c r="X142" t="s">
        <v>45</v>
      </c>
      <c r="AE142" s="34">
        <f>몬스터밸런스[[#This Row],[생명]]</f>
        <v>3482.5</v>
      </c>
      <c r="AF142" s="34"/>
      <c r="AG142" s="34"/>
      <c r="AH142" s="34"/>
      <c r="AI142" s="34"/>
      <c r="AJ142" s="34"/>
      <c r="AK142" s="34"/>
      <c r="AL142">
        <f t="shared" si="6"/>
        <v>60943.75</v>
      </c>
    </row>
    <row r="143" spans="1:38">
      <c r="A143">
        <v>1400</v>
      </c>
      <c r="B143">
        <v>141</v>
      </c>
      <c r="C143">
        <f>$F$1*몬스터밸런스[[#This Row],[Lv]]+15</f>
        <v>7015</v>
      </c>
      <c r="E143" t="s">
        <v>479</v>
      </c>
      <c r="F143">
        <f>IF(E143="공격형",INDEX(몬스터계수[[#Data],[생명계수]],MATCH(E143,몬스터계수[[#Data],[타입]],0),1)*C143,
IF(E143="방어형",INDEX(몬스터계수[[#Data],[생명계수]],MATCH(E143,몬스터계수[[#Data],[타입]],0),1)*C143,
IF(E143="회피형",INDEX(몬스터계수[[#Data],[생명계수]],MATCH(E143,몬스터계수[[#Data],[타입]],0),1)*C143,
IF(E143="체력형",INDEX(몬스터계수[[#Data],[생명계수]],MATCH(E143,몬스터계수[[#Data],[타입]],0),1)*C143,0))))*IF(몬스터밸런스[[#This Row],[보스]]=TRUE,2,1)</f>
        <v>3507.5</v>
      </c>
      <c r="G143">
        <f>IF(E143="공격형",INDEX(몬스터계수[[#Data],[힘계수]],MATCH(E143, 몬스터계수[[#Data],[타입]],0),1)*C143,
IF(E143="방어형",INDEX(몬스터계수[[#Data],[힘계수]],MATCH(E143, 몬스터계수[[#Data],[타입]],0),1)*C143,
IF(E143="회피형",INDEX(몬스터계수[[#Data],[힘계수]],MATCH(E143, 몬스터계수[[#Data],[타입]],0),1)*C143,
IF(E143="체력형",INDEX(몬스터계수[[#Data],[힘계수]],MATCH(E143, 몬스터계수[[#Data],[타입]],0),1)*C143,0))))</f>
        <v>1753.75</v>
      </c>
      <c r="H143">
        <f>IF(E143="공격형",INDEX(몬스터계수[[#Data],[근력게수]],MATCH(E143,몬스터계수[[#Data],[타입]],0),1)*C143,
IF(E143="방어형",INDEX(몬스터계수[[#Data],[근력게수]],MATCH(E143,몬스터계수[[#Data],[타입]],0),1)*C143,
IF(E143="회피형",INDEX(몬스터계수[[#Data],[근력게수]],MATCH(E143,몬스터계수[[#Data],[타입]],0),1)*C143,
IF(E143="체력형",INDEX(몬스터계수[[#Data],[근력게수]],MATCH(E143,몬스터계수[[#Data],[타입]],0),1)*C143,0))))</f>
        <v>350.75</v>
      </c>
      <c r="I143">
        <f>IF(E143="공격형",INDEX(몬스터계수[[#Data],[숙련도계수]],MATCH(E143,몬스터계수[[#Data],[타입]],0),1)*C143,
IF(E143="방어형",INDEX(몬스터계수[[#Data],[숙련도계수]],MATCH(E143,몬스터계수[[#Data],[타입]],0),1)*C143,
IF(E143="회피형",INDEX(몬스터계수[[#Data],[숙련도계수]],MATCH(E143,몬스터계수[[#Data],[타입]],0),1)*C143,
IF(E143="체력형",INDEX(몬스터계수[[#Data],[숙련도계수]],MATCH(E143,몬스터계수[[#Data],[타입]],0),1)*C143,0))))</f>
        <v>1052.25</v>
      </c>
      <c r="J143">
        <f>IF(E143="공격형",INDEX(몬스터계수[[#Data],[행운계수]],MATCH(E143, 몬스터계수[[#Data],[타입]],0),1)*C143,
IF(E143="방어형",INDEX(몬스터계수[[#Data],[행운계수]],MATCH(E143, 몬스터계수[[#Data],[타입]],0),1)*C143,
IF(E143="회피형",INDEX(몬스터계수[[#Data],[행운계수]],MATCH(E143, 몬스터계수[[#Data],[타입]],0),1)*C143,
IF(E143="체력형",INDEX(몬스터계수[[#Data],[행운계수]],MATCH(E143, 몬스터계수[[#Data],[타입]],0),1)*C143,0))))</f>
        <v>350.75</v>
      </c>
      <c r="K143" s="34">
        <f>ROUND(
(($F143)*참고!$D$5)
+(($G143)*참고!$D$6)
+(($H143)*참고!$D$7)
+(($I143)*참고!$D$8)
+(($J143))*참고!$D$9,0)</f>
        <v>54542</v>
      </c>
      <c r="L143" s="34">
        <f>ROUND(
(($F143)*참고!$E$5)
+(($G143)*참고!$E$6)
+(($H143)*참고!$E$7)
+(($I143)*참고!$E$8)
+(($J143))*참고!$E$9,0)</f>
        <v>31217</v>
      </c>
      <c r="M143" s="34">
        <f>ROUND(
(($F143)*참고!$F$5)
+(($G143)*참고!$F$6)
+(($H143)*참고!$F$7)
+(($I143)*참고!$F$8)
+(($J143))*참고!$F$9,0)</f>
        <v>8769</v>
      </c>
      <c r="N143" s="34">
        <f>ROUND(
(($F143)*참고!$G$5)
+(($G143)*참고!$G$6)
+(($H143)*참고!$G$7)
+(($I143)*참고!$G$8)
+(($J143))*참고!$G$9,0)</f>
        <v>246</v>
      </c>
      <c r="O143" s="34">
        <f>ROUND(
(($F143)*참고!$H$5)
+(($G143)*참고!$H$6)
+(($H143)*참고!$H$7)
+(($I143)*참고!$H$8)
+(($J143))*참고!$H$9,0)</f>
        <v>5787</v>
      </c>
      <c r="P143" s="34">
        <f>ROUND(
(($F143)*참고!$I$5)
+(($G143)*참고!$I$6)
+(($H143)*참고!$I$7)
+(($I143)*참고!$I$8)
+(($J143))*참고!$I$9,0)</f>
        <v>10172</v>
      </c>
      <c r="Q143" s="34">
        <f>ROUND(
(($F143)*참고!$J$5)
+(($G143)*참고!$J$6)
+(($H143)*참고!$J$7)
+(($I143)*참고!$J$8)
+(($J143))*참고!$J$9,0)</f>
        <v>7015</v>
      </c>
      <c r="R143" s="34">
        <f>IF(E143="공격형",(INDEX(몬스터계수[[#Data],[속도]],MATCH(E143, 몬스터계수[[#Data],[타입]],0),1)*속도핸들러_곱계수)*(INT(몬스터밸런스[[#This Row],[Lv]]/속도핸들러_합계수+1)),
IF(E143="방어형",(INDEX(몬스터계수[[#Data],[속도]],MATCH(E143, 몬스터계수[[#Data],[타입]],0),1)*속도핸들러_곱계수)*(INT(몬스터밸런스[[#This Row],[Lv]]/속도핸들러_합계수+1)),
IF(E143="회피형",(INDEX(몬스터계수[[#Data],[속도]],MATCH(E143, 몬스터계수[[#Data],[타입]],0),1)*속도핸들러_곱계수)*(INT(몬스터밸런스[[#This Row],[Lv]]/속도핸들러_합계수+1)),
IF(E143="기본형",(INDEX(몬스터계수[[#Data],[속도]],MATCH(E143, 몬스터계수[[#Data],[타입]],0),1)*속도핸들러_곱계수)*(INT(몬스터밸런스[[#This Row],[Lv]]/속도핸들러_합계수+1)),0))))</f>
        <v>0</v>
      </c>
      <c r="S143">
        <f t="shared" si="7"/>
        <v>1872617.5</v>
      </c>
      <c r="U143">
        <v>4</v>
      </c>
      <c r="V143">
        <v>141</v>
      </c>
      <c r="W143">
        <f>$Z$1*몬스터밸런스9[[#This Row],[단계]]</f>
        <v>20</v>
      </c>
      <c r="X143" t="s">
        <v>45</v>
      </c>
      <c r="AE143" s="34">
        <f>몬스터밸런스[[#This Row],[생명]]</f>
        <v>3507.5</v>
      </c>
      <c r="AF143" s="34"/>
      <c r="AG143" s="34"/>
      <c r="AH143" s="34"/>
      <c r="AI143" s="34"/>
      <c r="AJ143" s="34"/>
      <c r="AK143" s="34"/>
      <c r="AL143">
        <f t="shared" si="6"/>
        <v>61381.25</v>
      </c>
    </row>
    <row r="144" spans="1:38">
      <c r="A144">
        <v>1410</v>
      </c>
      <c r="B144">
        <v>142</v>
      </c>
      <c r="C144">
        <f>$F$1*몬스터밸런스[[#This Row],[Lv]]+15</f>
        <v>7065</v>
      </c>
      <c r="E144" t="s">
        <v>479</v>
      </c>
      <c r="F144">
        <f>IF(E144="공격형",INDEX(몬스터계수[[#Data],[생명계수]],MATCH(E144,몬스터계수[[#Data],[타입]],0),1)*C144,
IF(E144="방어형",INDEX(몬스터계수[[#Data],[생명계수]],MATCH(E144,몬스터계수[[#Data],[타입]],0),1)*C144,
IF(E144="회피형",INDEX(몬스터계수[[#Data],[생명계수]],MATCH(E144,몬스터계수[[#Data],[타입]],0),1)*C144,
IF(E144="체력형",INDEX(몬스터계수[[#Data],[생명계수]],MATCH(E144,몬스터계수[[#Data],[타입]],0),1)*C144,0))))*IF(몬스터밸런스[[#This Row],[보스]]=TRUE,2,1)</f>
        <v>3532.5</v>
      </c>
      <c r="G144">
        <f>IF(E144="공격형",INDEX(몬스터계수[[#Data],[힘계수]],MATCH(E144, 몬스터계수[[#Data],[타입]],0),1)*C144,
IF(E144="방어형",INDEX(몬스터계수[[#Data],[힘계수]],MATCH(E144, 몬스터계수[[#Data],[타입]],0),1)*C144,
IF(E144="회피형",INDEX(몬스터계수[[#Data],[힘계수]],MATCH(E144, 몬스터계수[[#Data],[타입]],0),1)*C144,
IF(E144="체력형",INDEX(몬스터계수[[#Data],[힘계수]],MATCH(E144, 몬스터계수[[#Data],[타입]],0),1)*C144,0))))</f>
        <v>1766.25</v>
      </c>
      <c r="H144">
        <f>IF(E144="공격형",INDEX(몬스터계수[[#Data],[근력게수]],MATCH(E144,몬스터계수[[#Data],[타입]],0),1)*C144,
IF(E144="방어형",INDEX(몬스터계수[[#Data],[근력게수]],MATCH(E144,몬스터계수[[#Data],[타입]],0),1)*C144,
IF(E144="회피형",INDEX(몬스터계수[[#Data],[근력게수]],MATCH(E144,몬스터계수[[#Data],[타입]],0),1)*C144,
IF(E144="체력형",INDEX(몬스터계수[[#Data],[근력게수]],MATCH(E144,몬스터계수[[#Data],[타입]],0),1)*C144,0))))</f>
        <v>353.25</v>
      </c>
      <c r="I144">
        <f>IF(E144="공격형",INDEX(몬스터계수[[#Data],[숙련도계수]],MATCH(E144,몬스터계수[[#Data],[타입]],0),1)*C144,
IF(E144="방어형",INDEX(몬스터계수[[#Data],[숙련도계수]],MATCH(E144,몬스터계수[[#Data],[타입]],0),1)*C144,
IF(E144="회피형",INDEX(몬스터계수[[#Data],[숙련도계수]],MATCH(E144,몬스터계수[[#Data],[타입]],0),1)*C144,
IF(E144="체력형",INDEX(몬스터계수[[#Data],[숙련도계수]],MATCH(E144,몬스터계수[[#Data],[타입]],0),1)*C144,0))))</f>
        <v>1059.75</v>
      </c>
      <c r="J144">
        <f>IF(E144="공격형",INDEX(몬스터계수[[#Data],[행운계수]],MATCH(E144, 몬스터계수[[#Data],[타입]],0),1)*C144,
IF(E144="방어형",INDEX(몬스터계수[[#Data],[행운계수]],MATCH(E144, 몬스터계수[[#Data],[타입]],0),1)*C144,
IF(E144="회피형",INDEX(몬스터계수[[#Data],[행운계수]],MATCH(E144, 몬스터계수[[#Data],[타입]],0),1)*C144,
IF(E144="체력형",INDEX(몬스터계수[[#Data],[행운계수]],MATCH(E144, 몬스터계수[[#Data],[타입]],0),1)*C144,0))))</f>
        <v>353.25</v>
      </c>
      <c r="K144" s="34">
        <f>ROUND(
(($F144)*참고!$D$5)
+(($G144)*참고!$D$6)
+(($H144)*참고!$D$7)
+(($I144)*참고!$D$8)
+(($J144))*참고!$D$9,0)</f>
        <v>54930</v>
      </c>
      <c r="L144" s="34">
        <f>ROUND(
(($F144)*참고!$E$5)
+(($G144)*참고!$E$6)
+(($H144)*참고!$E$7)
+(($I144)*참고!$E$8)
+(($J144))*참고!$E$9,0)</f>
        <v>31439</v>
      </c>
      <c r="M144" s="34">
        <f>ROUND(
(($F144)*참고!$F$5)
+(($G144)*참고!$F$6)
+(($H144)*참고!$F$7)
+(($I144)*참고!$F$8)
+(($J144))*참고!$F$9,0)</f>
        <v>8831</v>
      </c>
      <c r="N144" s="34">
        <f>ROUND(
(($F144)*참고!$G$5)
+(($G144)*참고!$G$6)
+(($H144)*참고!$G$7)
+(($I144)*참고!$G$8)
+(($J144))*참고!$G$9,0)</f>
        <v>247</v>
      </c>
      <c r="O144" s="34">
        <f>ROUND(
(($F144)*참고!$H$5)
+(($G144)*참고!$H$6)
+(($H144)*참고!$H$7)
+(($I144)*참고!$H$8)
+(($J144))*참고!$H$9,0)</f>
        <v>5829</v>
      </c>
      <c r="P144" s="34">
        <f>ROUND(
(($F144)*참고!$I$5)
+(($G144)*참고!$I$6)
+(($H144)*참고!$I$7)
+(($I144)*참고!$I$8)
+(($J144))*참고!$I$9,0)</f>
        <v>10244</v>
      </c>
      <c r="Q144" s="34">
        <f>ROUND(
(($F144)*참고!$J$5)
+(($G144)*참고!$J$6)
+(($H144)*참고!$J$7)
+(($I144)*참고!$J$8)
+(($J144))*참고!$J$9,0)</f>
        <v>7065</v>
      </c>
      <c r="R144" s="34">
        <f>IF(E144="공격형",(INDEX(몬스터계수[[#Data],[속도]],MATCH(E144, 몬스터계수[[#Data],[타입]],0),1)*속도핸들러_곱계수)*(INT(몬스터밸런스[[#This Row],[Lv]]/속도핸들러_합계수+1)),
IF(E144="방어형",(INDEX(몬스터계수[[#Data],[속도]],MATCH(E144, 몬스터계수[[#Data],[타입]],0),1)*속도핸들러_곱계수)*(INT(몬스터밸런스[[#This Row],[Lv]]/속도핸들러_합계수+1)),
IF(E144="회피형",(INDEX(몬스터계수[[#Data],[속도]],MATCH(E144, 몬스터계수[[#Data],[타입]],0),1)*속도핸들러_곱계수)*(INT(몬스터밸런스[[#This Row],[Lv]]/속도핸들러_합계수+1)),
IF(E144="기본형",(INDEX(몬스터계수[[#Data],[속도]],MATCH(E144, 몬스터계수[[#Data],[타입]],0),1)*속도핸들러_곱계수)*(INT(몬스터밸런스[[#This Row],[Lv]]/속도핸들러_합계수+1)),0))))</f>
        <v>0</v>
      </c>
      <c r="S144">
        <f t="shared" si="7"/>
        <v>1885933</v>
      </c>
      <c r="U144">
        <v>4</v>
      </c>
      <c r="V144">
        <v>142</v>
      </c>
      <c r="W144">
        <f>$Z$1*몬스터밸런스9[[#This Row],[단계]]</f>
        <v>20</v>
      </c>
      <c r="X144" t="s">
        <v>45</v>
      </c>
      <c r="AE144" s="34">
        <f>몬스터밸런스[[#This Row],[생명]]</f>
        <v>3532.5</v>
      </c>
      <c r="AF144" s="34"/>
      <c r="AG144" s="34"/>
      <c r="AH144" s="34"/>
      <c r="AI144" s="34"/>
      <c r="AJ144" s="34"/>
      <c r="AK144" s="34"/>
      <c r="AL144">
        <f t="shared" si="6"/>
        <v>61818.75</v>
      </c>
    </row>
    <row r="145" spans="1:38">
      <c r="A145">
        <v>1420</v>
      </c>
      <c r="B145">
        <v>143</v>
      </c>
      <c r="C145">
        <f>$F$1*몬스터밸런스[[#This Row],[Lv]]+15</f>
        <v>7115</v>
      </c>
      <c r="E145" t="s">
        <v>479</v>
      </c>
      <c r="F145">
        <f>IF(E145="공격형",INDEX(몬스터계수[[#Data],[생명계수]],MATCH(E145,몬스터계수[[#Data],[타입]],0),1)*C145,
IF(E145="방어형",INDEX(몬스터계수[[#Data],[생명계수]],MATCH(E145,몬스터계수[[#Data],[타입]],0),1)*C145,
IF(E145="회피형",INDEX(몬스터계수[[#Data],[생명계수]],MATCH(E145,몬스터계수[[#Data],[타입]],0),1)*C145,
IF(E145="체력형",INDEX(몬스터계수[[#Data],[생명계수]],MATCH(E145,몬스터계수[[#Data],[타입]],0),1)*C145,0))))*IF(몬스터밸런스[[#This Row],[보스]]=TRUE,2,1)</f>
        <v>3557.5</v>
      </c>
      <c r="G145">
        <f>IF(E145="공격형",INDEX(몬스터계수[[#Data],[힘계수]],MATCH(E145, 몬스터계수[[#Data],[타입]],0),1)*C145,
IF(E145="방어형",INDEX(몬스터계수[[#Data],[힘계수]],MATCH(E145, 몬스터계수[[#Data],[타입]],0),1)*C145,
IF(E145="회피형",INDEX(몬스터계수[[#Data],[힘계수]],MATCH(E145, 몬스터계수[[#Data],[타입]],0),1)*C145,
IF(E145="체력형",INDEX(몬스터계수[[#Data],[힘계수]],MATCH(E145, 몬스터계수[[#Data],[타입]],0),1)*C145,0))))</f>
        <v>1778.75</v>
      </c>
      <c r="H145">
        <f>IF(E145="공격형",INDEX(몬스터계수[[#Data],[근력게수]],MATCH(E145,몬스터계수[[#Data],[타입]],0),1)*C145,
IF(E145="방어형",INDEX(몬스터계수[[#Data],[근력게수]],MATCH(E145,몬스터계수[[#Data],[타입]],0),1)*C145,
IF(E145="회피형",INDEX(몬스터계수[[#Data],[근력게수]],MATCH(E145,몬스터계수[[#Data],[타입]],0),1)*C145,
IF(E145="체력형",INDEX(몬스터계수[[#Data],[근력게수]],MATCH(E145,몬스터계수[[#Data],[타입]],0),1)*C145,0))))</f>
        <v>355.75</v>
      </c>
      <c r="I145">
        <f>IF(E145="공격형",INDEX(몬스터계수[[#Data],[숙련도계수]],MATCH(E145,몬스터계수[[#Data],[타입]],0),1)*C145,
IF(E145="방어형",INDEX(몬스터계수[[#Data],[숙련도계수]],MATCH(E145,몬스터계수[[#Data],[타입]],0),1)*C145,
IF(E145="회피형",INDEX(몬스터계수[[#Data],[숙련도계수]],MATCH(E145,몬스터계수[[#Data],[타입]],0),1)*C145,
IF(E145="체력형",INDEX(몬스터계수[[#Data],[숙련도계수]],MATCH(E145,몬스터계수[[#Data],[타입]],0),1)*C145,0))))</f>
        <v>1067.25</v>
      </c>
      <c r="J145">
        <f>IF(E145="공격형",INDEX(몬스터계수[[#Data],[행운계수]],MATCH(E145, 몬스터계수[[#Data],[타입]],0),1)*C145,
IF(E145="방어형",INDEX(몬스터계수[[#Data],[행운계수]],MATCH(E145, 몬스터계수[[#Data],[타입]],0),1)*C145,
IF(E145="회피형",INDEX(몬스터계수[[#Data],[행운계수]],MATCH(E145, 몬스터계수[[#Data],[타입]],0),1)*C145,
IF(E145="체력형",INDEX(몬스터계수[[#Data],[행운계수]],MATCH(E145, 몬스터계수[[#Data],[타입]],0),1)*C145,0))))</f>
        <v>355.75</v>
      </c>
      <c r="K145" s="34">
        <f>ROUND(
(($F145)*참고!$D$5)
+(($G145)*참고!$D$6)
+(($H145)*참고!$D$7)
+(($I145)*참고!$D$8)
+(($J145))*참고!$D$9,0)</f>
        <v>55319</v>
      </c>
      <c r="L145" s="34">
        <f>ROUND(
(($F145)*참고!$E$5)
+(($G145)*참고!$E$6)
+(($H145)*참고!$E$7)
+(($I145)*참고!$E$8)
+(($J145))*참고!$E$9,0)</f>
        <v>31662</v>
      </c>
      <c r="M145" s="34">
        <f>ROUND(
(($F145)*참고!$F$5)
+(($G145)*참고!$F$6)
+(($H145)*참고!$F$7)
+(($I145)*참고!$F$8)
+(($J145))*참고!$F$9,0)</f>
        <v>8894</v>
      </c>
      <c r="N145" s="34">
        <f>ROUND(
(($F145)*참고!$G$5)
+(($G145)*참고!$G$6)
+(($H145)*참고!$G$7)
+(($I145)*참고!$G$8)
+(($J145))*참고!$G$9,0)</f>
        <v>249</v>
      </c>
      <c r="O145" s="34">
        <f>ROUND(
(($F145)*참고!$H$5)
+(($G145)*참고!$H$6)
+(($H145)*참고!$H$7)
+(($I145)*참고!$H$8)
+(($J145))*참고!$H$9,0)</f>
        <v>5870</v>
      </c>
      <c r="P145" s="34">
        <f>ROUND(
(($F145)*참고!$I$5)
+(($G145)*참고!$I$6)
+(($H145)*참고!$I$7)
+(($I145)*참고!$I$8)
+(($J145))*참고!$I$9,0)</f>
        <v>10317</v>
      </c>
      <c r="Q145" s="34">
        <f>ROUND(
(($F145)*참고!$J$5)
+(($G145)*참고!$J$6)
+(($H145)*참고!$J$7)
+(($I145)*참고!$J$8)
+(($J145))*참고!$J$9,0)</f>
        <v>7115</v>
      </c>
      <c r="R145" s="34">
        <f>IF(E145="공격형",(INDEX(몬스터계수[[#Data],[속도]],MATCH(E145, 몬스터계수[[#Data],[타입]],0),1)*속도핸들러_곱계수)*(INT(몬스터밸런스[[#This Row],[Lv]]/속도핸들러_합계수+1)),
IF(E145="방어형",(INDEX(몬스터계수[[#Data],[속도]],MATCH(E145, 몬스터계수[[#Data],[타입]],0),1)*속도핸들러_곱계수)*(INT(몬스터밸런스[[#This Row],[Lv]]/속도핸들러_합계수+1)),
IF(E145="회피형",(INDEX(몬스터계수[[#Data],[속도]],MATCH(E145, 몬스터계수[[#Data],[타입]],0),1)*속도핸들러_곱계수)*(INT(몬스터밸런스[[#This Row],[Lv]]/속도핸들러_합계수+1)),
IF(E145="기본형",(INDEX(몬스터계수[[#Data],[속도]],MATCH(E145, 몬스터계수[[#Data],[타입]],0),1)*속도핸들러_곱계수)*(INT(몬스터밸런스[[#This Row],[Lv]]/속도핸들러_합계수+1)),0))))</f>
        <v>0</v>
      </c>
      <c r="S145">
        <f t="shared" si="7"/>
        <v>1899305</v>
      </c>
      <c r="U145">
        <v>4</v>
      </c>
      <c r="V145">
        <v>143</v>
      </c>
      <c r="W145">
        <f>$Z$1*몬스터밸런스9[[#This Row],[단계]]</f>
        <v>20</v>
      </c>
      <c r="X145" t="s">
        <v>45</v>
      </c>
      <c r="AE145" s="34">
        <f>몬스터밸런스[[#This Row],[생명]]</f>
        <v>3557.5</v>
      </c>
      <c r="AF145" s="34"/>
      <c r="AG145" s="34"/>
      <c r="AH145" s="34"/>
      <c r="AI145" s="34"/>
      <c r="AJ145" s="34"/>
      <c r="AK145" s="34"/>
      <c r="AL145">
        <f t="shared" si="6"/>
        <v>62256.25</v>
      </c>
    </row>
    <row r="146" spans="1:38">
      <c r="A146">
        <v>1430</v>
      </c>
      <c r="B146">
        <v>144</v>
      </c>
      <c r="C146">
        <f>$F$1*몬스터밸런스[[#This Row],[Lv]]+15</f>
        <v>7165</v>
      </c>
      <c r="E146" t="s">
        <v>479</v>
      </c>
      <c r="F146">
        <f>IF(E146="공격형",INDEX(몬스터계수[[#Data],[생명계수]],MATCH(E146,몬스터계수[[#Data],[타입]],0),1)*C146,
IF(E146="방어형",INDEX(몬스터계수[[#Data],[생명계수]],MATCH(E146,몬스터계수[[#Data],[타입]],0),1)*C146,
IF(E146="회피형",INDEX(몬스터계수[[#Data],[생명계수]],MATCH(E146,몬스터계수[[#Data],[타입]],0),1)*C146,
IF(E146="체력형",INDEX(몬스터계수[[#Data],[생명계수]],MATCH(E146,몬스터계수[[#Data],[타입]],0),1)*C146,0))))*IF(몬스터밸런스[[#This Row],[보스]]=TRUE,2,1)</f>
        <v>3582.5</v>
      </c>
      <c r="G146">
        <f>IF(E146="공격형",INDEX(몬스터계수[[#Data],[힘계수]],MATCH(E146, 몬스터계수[[#Data],[타입]],0),1)*C146,
IF(E146="방어형",INDEX(몬스터계수[[#Data],[힘계수]],MATCH(E146, 몬스터계수[[#Data],[타입]],0),1)*C146,
IF(E146="회피형",INDEX(몬스터계수[[#Data],[힘계수]],MATCH(E146, 몬스터계수[[#Data],[타입]],0),1)*C146,
IF(E146="체력형",INDEX(몬스터계수[[#Data],[힘계수]],MATCH(E146, 몬스터계수[[#Data],[타입]],0),1)*C146,0))))</f>
        <v>1791.25</v>
      </c>
      <c r="H146">
        <f>IF(E146="공격형",INDEX(몬스터계수[[#Data],[근력게수]],MATCH(E146,몬스터계수[[#Data],[타입]],0),1)*C146,
IF(E146="방어형",INDEX(몬스터계수[[#Data],[근력게수]],MATCH(E146,몬스터계수[[#Data],[타입]],0),1)*C146,
IF(E146="회피형",INDEX(몬스터계수[[#Data],[근력게수]],MATCH(E146,몬스터계수[[#Data],[타입]],0),1)*C146,
IF(E146="체력형",INDEX(몬스터계수[[#Data],[근력게수]],MATCH(E146,몬스터계수[[#Data],[타입]],0),1)*C146,0))))</f>
        <v>358.25</v>
      </c>
      <c r="I146">
        <f>IF(E146="공격형",INDEX(몬스터계수[[#Data],[숙련도계수]],MATCH(E146,몬스터계수[[#Data],[타입]],0),1)*C146,
IF(E146="방어형",INDEX(몬스터계수[[#Data],[숙련도계수]],MATCH(E146,몬스터계수[[#Data],[타입]],0),1)*C146,
IF(E146="회피형",INDEX(몬스터계수[[#Data],[숙련도계수]],MATCH(E146,몬스터계수[[#Data],[타입]],0),1)*C146,
IF(E146="체력형",INDEX(몬스터계수[[#Data],[숙련도계수]],MATCH(E146,몬스터계수[[#Data],[타입]],0),1)*C146,0))))</f>
        <v>1074.75</v>
      </c>
      <c r="J146">
        <f>IF(E146="공격형",INDEX(몬스터계수[[#Data],[행운계수]],MATCH(E146, 몬스터계수[[#Data],[타입]],0),1)*C146,
IF(E146="방어형",INDEX(몬스터계수[[#Data],[행운계수]],MATCH(E146, 몬스터계수[[#Data],[타입]],0),1)*C146,
IF(E146="회피형",INDEX(몬스터계수[[#Data],[행운계수]],MATCH(E146, 몬스터계수[[#Data],[타입]],0),1)*C146,
IF(E146="체력형",INDEX(몬스터계수[[#Data],[행운계수]],MATCH(E146, 몬스터계수[[#Data],[타입]],0),1)*C146,0))))</f>
        <v>358.25</v>
      </c>
      <c r="K146" s="34">
        <f>ROUND(
(($F146)*참고!$D$5)
+(($G146)*참고!$D$6)
+(($H146)*참고!$D$7)
+(($I146)*참고!$D$8)
+(($J146))*참고!$D$9,0)</f>
        <v>55708</v>
      </c>
      <c r="L146" s="34">
        <f>ROUND(
(($F146)*참고!$E$5)
+(($G146)*참고!$E$6)
+(($H146)*참고!$E$7)
+(($I146)*참고!$E$8)
+(($J146))*참고!$E$9,0)</f>
        <v>31884</v>
      </c>
      <c r="M146" s="34">
        <f>ROUND(
(($F146)*참고!$F$5)
+(($G146)*참고!$F$6)
+(($H146)*참고!$F$7)
+(($I146)*참고!$F$8)
+(($J146))*참고!$F$9,0)</f>
        <v>8956</v>
      </c>
      <c r="N146" s="34">
        <f>ROUND(
(($F146)*참고!$G$5)
+(($G146)*참고!$G$6)
+(($H146)*참고!$G$7)
+(($I146)*참고!$G$8)
+(($J146))*참고!$G$9,0)</f>
        <v>251</v>
      </c>
      <c r="O146" s="34">
        <f>ROUND(
(($F146)*참고!$H$5)
+(($G146)*참고!$H$6)
+(($H146)*참고!$H$7)
+(($I146)*참고!$H$8)
+(($J146))*참고!$H$9,0)</f>
        <v>5911</v>
      </c>
      <c r="P146" s="34">
        <f>ROUND(
(($F146)*참고!$I$5)
+(($G146)*참고!$I$6)
+(($H146)*참고!$I$7)
+(($I146)*참고!$I$8)
+(($J146))*참고!$I$9,0)</f>
        <v>10389</v>
      </c>
      <c r="Q146" s="34">
        <f>ROUND(
(($F146)*참고!$J$5)
+(($G146)*참고!$J$6)
+(($H146)*참고!$J$7)
+(($I146)*참고!$J$8)
+(($J146))*참고!$J$9,0)</f>
        <v>7165</v>
      </c>
      <c r="R146" s="34">
        <f>IF(E146="공격형",(INDEX(몬스터계수[[#Data],[속도]],MATCH(E146, 몬스터계수[[#Data],[타입]],0),1)*속도핸들러_곱계수)*(INT(몬스터밸런스[[#This Row],[Lv]]/속도핸들러_합계수+1)),
IF(E146="방어형",(INDEX(몬스터계수[[#Data],[속도]],MATCH(E146, 몬스터계수[[#Data],[타입]],0),1)*속도핸들러_곱계수)*(INT(몬스터밸런스[[#This Row],[Lv]]/속도핸들러_합계수+1)),
IF(E146="회피형",(INDEX(몬스터계수[[#Data],[속도]],MATCH(E146, 몬스터계수[[#Data],[타입]],0),1)*속도핸들러_곱계수)*(INT(몬스터밸런스[[#This Row],[Lv]]/속도핸들러_합계수+1)),
IF(E146="기본형",(INDEX(몬스터계수[[#Data],[속도]],MATCH(E146, 몬스터계수[[#Data],[타입]],0),1)*속도핸들러_곱계수)*(INT(몬스터밸런스[[#This Row],[Lv]]/속도핸들러_합계수+1)),0))))</f>
        <v>0</v>
      </c>
      <c r="S146">
        <f t="shared" si="7"/>
        <v>1912634</v>
      </c>
      <c r="U146">
        <v>4</v>
      </c>
      <c r="V146">
        <v>144</v>
      </c>
      <c r="W146">
        <f>$Z$1*몬스터밸런스9[[#This Row],[단계]]</f>
        <v>20</v>
      </c>
      <c r="X146" t="s">
        <v>45</v>
      </c>
      <c r="AE146" s="34">
        <f>몬스터밸런스[[#This Row],[생명]]</f>
        <v>3582.5</v>
      </c>
      <c r="AF146" s="34"/>
      <c r="AG146" s="34"/>
      <c r="AH146" s="34"/>
      <c r="AI146" s="34"/>
      <c r="AJ146" s="34"/>
      <c r="AK146" s="34"/>
      <c r="AL146">
        <f t="shared" si="6"/>
        <v>62693.75</v>
      </c>
    </row>
    <row r="147" spans="1:38">
      <c r="A147">
        <v>1440</v>
      </c>
      <c r="B147">
        <v>145</v>
      </c>
      <c r="C147">
        <f>$F$1*몬스터밸런스[[#This Row],[Lv]]+15</f>
        <v>7215</v>
      </c>
      <c r="E147" t="s">
        <v>479</v>
      </c>
      <c r="F147">
        <f>IF(E147="공격형",INDEX(몬스터계수[[#Data],[생명계수]],MATCH(E147,몬스터계수[[#Data],[타입]],0),1)*C147,
IF(E147="방어형",INDEX(몬스터계수[[#Data],[생명계수]],MATCH(E147,몬스터계수[[#Data],[타입]],0),1)*C147,
IF(E147="회피형",INDEX(몬스터계수[[#Data],[생명계수]],MATCH(E147,몬스터계수[[#Data],[타입]],0),1)*C147,
IF(E147="체력형",INDEX(몬스터계수[[#Data],[생명계수]],MATCH(E147,몬스터계수[[#Data],[타입]],0),1)*C147,0))))*IF(몬스터밸런스[[#This Row],[보스]]=TRUE,2,1)</f>
        <v>3607.5</v>
      </c>
      <c r="G147">
        <f>IF(E147="공격형",INDEX(몬스터계수[[#Data],[힘계수]],MATCH(E147, 몬스터계수[[#Data],[타입]],0),1)*C147,
IF(E147="방어형",INDEX(몬스터계수[[#Data],[힘계수]],MATCH(E147, 몬스터계수[[#Data],[타입]],0),1)*C147,
IF(E147="회피형",INDEX(몬스터계수[[#Data],[힘계수]],MATCH(E147, 몬스터계수[[#Data],[타입]],0),1)*C147,
IF(E147="체력형",INDEX(몬스터계수[[#Data],[힘계수]],MATCH(E147, 몬스터계수[[#Data],[타입]],0),1)*C147,0))))</f>
        <v>1803.75</v>
      </c>
      <c r="H147">
        <f>IF(E147="공격형",INDEX(몬스터계수[[#Data],[근력게수]],MATCH(E147,몬스터계수[[#Data],[타입]],0),1)*C147,
IF(E147="방어형",INDEX(몬스터계수[[#Data],[근력게수]],MATCH(E147,몬스터계수[[#Data],[타입]],0),1)*C147,
IF(E147="회피형",INDEX(몬스터계수[[#Data],[근력게수]],MATCH(E147,몬스터계수[[#Data],[타입]],0),1)*C147,
IF(E147="체력형",INDEX(몬스터계수[[#Data],[근력게수]],MATCH(E147,몬스터계수[[#Data],[타입]],0),1)*C147,0))))</f>
        <v>360.75</v>
      </c>
      <c r="I147">
        <f>IF(E147="공격형",INDEX(몬스터계수[[#Data],[숙련도계수]],MATCH(E147,몬스터계수[[#Data],[타입]],0),1)*C147,
IF(E147="방어형",INDEX(몬스터계수[[#Data],[숙련도계수]],MATCH(E147,몬스터계수[[#Data],[타입]],0),1)*C147,
IF(E147="회피형",INDEX(몬스터계수[[#Data],[숙련도계수]],MATCH(E147,몬스터계수[[#Data],[타입]],0),1)*C147,
IF(E147="체력형",INDEX(몬스터계수[[#Data],[숙련도계수]],MATCH(E147,몬스터계수[[#Data],[타입]],0),1)*C147,0))))</f>
        <v>1082.25</v>
      </c>
      <c r="J147">
        <f>IF(E147="공격형",INDEX(몬스터계수[[#Data],[행운계수]],MATCH(E147, 몬스터계수[[#Data],[타입]],0),1)*C147,
IF(E147="방어형",INDEX(몬스터계수[[#Data],[행운계수]],MATCH(E147, 몬스터계수[[#Data],[타입]],0),1)*C147,
IF(E147="회피형",INDEX(몬스터계수[[#Data],[행운계수]],MATCH(E147, 몬스터계수[[#Data],[타입]],0),1)*C147,
IF(E147="체력형",INDEX(몬스터계수[[#Data],[행운계수]],MATCH(E147, 몬스터계수[[#Data],[타입]],0),1)*C147,0))))</f>
        <v>360.75</v>
      </c>
      <c r="K147" s="34">
        <f>ROUND(
(($F147)*참고!$D$5)
+(($G147)*참고!$D$6)
+(($H147)*참고!$D$7)
+(($I147)*참고!$D$8)
+(($J147))*참고!$D$9,0)</f>
        <v>56097</v>
      </c>
      <c r="L147" s="34">
        <f>ROUND(
(($F147)*참고!$E$5)
+(($G147)*참고!$E$6)
+(($H147)*참고!$E$7)
+(($I147)*참고!$E$8)
+(($J147))*참고!$E$9,0)</f>
        <v>32107</v>
      </c>
      <c r="M147" s="34">
        <f>ROUND(
(($F147)*참고!$F$5)
+(($G147)*참고!$F$6)
+(($H147)*참고!$F$7)
+(($I147)*참고!$F$8)
+(($J147))*참고!$F$9,0)</f>
        <v>9019</v>
      </c>
      <c r="N147" s="34">
        <f>ROUND(
(($F147)*참고!$G$5)
+(($G147)*참고!$G$6)
+(($H147)*참고!$G$7)
+(($I147)*참고!$G$8)
+(($J147))*참고!$G$9,0)</f>
        <v>253</v>
      </c>
      <c r="O147" s="34">
        <f>ROUND(
(($F147)*참고!$H$5)
+(($G147)*참고!$H$6)
+(($H147)*참고!$H$7)
+(($I147)*참고!$H$8)
+(($J147))*참고!$H$9,0)</f>
        <v>5952</v>
      </c>
      <c r="P147" s="34">
        <f>ROUND(
(($F147)*참고!$I$5)
+(($G147)*참고!$I$6)
+(($H147)*참고!$I$7)
+(($I147)*참고!$I$8)
+(($J147))*참고!$I$9,0)</f>
        <v>10462</v>
      </c>
      <c r="Q147" s="34">
        <f>ROUND(
(($F147)*참고!$J$5)
+(($G147)*참고!$J$6)
+(($H147)*참고!$J$7)
+(($I147)*참고!$J$8)
+(($J147))*참고!$J$9,0)</f>
        <v>7215</v>
      </c>
      <c r="R147" s="34">
        <f>IF(E147="공격형",(INDEX(몬스터계수[[#Data],[속도]],MATCH(E147, 몬스터계수[[#Data],[타입]],0),1)*속도핸들러_곱계수)*(INT(몬스터밸런스[[#This Row],[Lv]]/속도핸들러_합계수+1)),
IF(E147="방어형",(INDEX(몬스터계수[[#Data],[속도]],MATCH(E147, 몬스터계수[[#Data],[타입]],0),1)*속도핸들러_곱계수)*(INT(몬스터밸런스[[#This Row],[Lv]]/속도핸들러_합계수+1)),
IF(E147="회피형",(INDEX(몬스터계수[[#Data],[속도]],MATCH(E147, 몬스터계수[[#Data],[타입]],0),1)*속도핸들러_곱계수)*(INT(몬스터밸런스[[#This Row],[Lv]]/속도핸들러_합계수+1)),
IF(E147="기본형",(INDEX(몬스터계수[[#Data],[속도]],MATCH(E147, 몬스터계수[[#Data],[타입]],0),1)*속도핸들러_곱계수)*(INT(몬스터밸런스[[#This Row],[Lv]]/속도핸들러_합계수+1)),0))))</f>
        <v>0</v>
      </c>
      <c r="S147">
        <f t="shared" si="7"/>
        <v>1926006</v>
      </c>
      <c r="U147">
        <v>4</v>
      </c>
      <c r="V147">
        <v>145</v>
      </c>
      <c r="W147">
        <f>$Z$1*몬스터밸런스9[[#This Row],[단계]]</f>
        <v>20</v>
      </c>
      <c r="X147" t="s">
        <v>45</v>
      </c>
      <c r="AE147" s="34">
        <f>몬스터밸런스[[#This Row],[생명]]</f>
        <v>3607.5</v>
      </c>
      <c r="AF147" s="34"/>
      <c r="AG147" s="34"/>
      <c r="AH147" s="34"/>
      <c r="AI147" s="34"/>
      <c r="AJ147" s="34"/>
      <c r="AK147" s="34"/>
      <c r="AL147">
        <f t="shared" si="6"/>
        <v>63131.25</v>
      </c>
    </row>
    <row r="148" spans="1:38">
      <c r="A148">
        <v>1450</v>
      </c>
      <c r="B148">
        <v>146</v>
      </c>
      <c r="C148">
        <f>$F$1*몬스터밸런스[[#This Row],[Lv]]+15</f>
        <v>7265</v>
      </c>
      <c r="E148" t="s">
        <v>479</v>
      </c>
      <c r="F148">
        <f>IF(E148="공격형",INDEX(몬스터계수[[#Data],[생명계수]],MATCH(E148,몬스터계수[[#Data],[타입]],0),1)*C148,
IF(E148="방어형",INDEX(몬스터계수[[#Data],[생명계수]],MATCH(E148,몬스터계수[[#Data],[타입]],0),1)*C148,
IF(E148="회피형",INDEX(몬스터계수[[#Data],[생명계수]],MATCH(E148,몬스터계수[[#Data],[타입]],0),1)*C148,
IF(E148="체력형",INDEX(몬스터계수[[#Data],[생명계수]],MATCH(E148,몬스터계수[[#Data],[타입]],0),1)*C148,0))))*IF(몬스터밸런스[[#This Row],[보스]]=TRUE,2,1)</f>
        <v>3632.5</v>
      </c>
      <c r="G148">
        <f>IF(E148="공격형",INDEX(몬스터계수[[#Data],[힘계수]],MATCH(E148, 몬스터계수[[#Data],[타입]],0),1)*C148,
IF(E148="방어형",INDEX(몬스터계수[[#Data],[힘계수]],MATCH(E148, 몬스터계수[[#Data],[타입]],0),1)*C148,
IF(E148="회피형",INDEX(몬스터계수[[#Data],[힘계수]],MATCH(E148, 몬스터계수[[#Data],[타입]],0),1)*C148,
IF(E148="체력형",INDEX(몬스터계수[[#Data],[힘계수]],MATCH(E148, 몬스터계수[[#Data],[타입]],0),1)*C148,0))))</f>
        <v>1816.25</v>
      </c>
      <c r="H148">
        <f>IF(E148="공격형",INDEX(몬스터계수[[#Data],[근력게수]],MATCH(E148,몬스터계수[[#Data],[타입]],0),1)*C148,
IF(E148="방어형",INDEX(몬스터계수[[#Data],[근력게수]],MATCH(E148,몬스터계수[[#Data],[타입]],0),1)*C148,
IF(E148="회피형",INDEX(몬스터계수[[#Data],[근력게수]],MATCH(E148,몬스터계수[[#Data],[타입]],0),1)*C148,
IF(E148="체력형",INDEX(몬스터계수[[#Data],[근력게수]],MATCH(E148,몬스터계수[[#Data],[타입]],0),1)*C148,0))))</f>
        <v>363.25</v>
      </c>
      <c r="I148">
        <f>IF(E148="공격형",INDEX(몬스터계수[[#Data],[숙련도계수]],MATCH(E148,몬스터계수[[#Data],[타입]],0),1)*C148,
IF(E148="방어형",INDEX(몬스터계수[[#Data],[숙련도계수]],MATCH(E148,몬스터계수[[#Data],[타입]],0),1)*C148,
IF(E148="회피형",INDEX(몬스터계수[[#Data],[숙련도계수]],MATCH(E148,몬스터계수[[#Data],[타입]],0),1)*C148,
IF(E148="체력형",INDEX(몬스터계수[[#Data],[숙련도계수]],MATCH(E148,몬스터계수[[#Data],[타입]],0),1)*C148,0))))</f>
        <v>1089.75</v>
      </c>
      <c r="J148">
        <f>IF(E148="공격형",INDEX(몬스터계수[[#Data],[행운계수]],MATCH(E148, 몬스터계수[[#Data],[타입]],0),1)*C148,
IF(E148="방어형",INDEX(몬스터계수[[#Data],[행운계수]],MATCH(E148, 몬스터계수[[#Data],[타입]],0),1)*C148,
IF(E148="회피형",INDEX(몬스터계수[[#Data],[행운계수]],MATCH(E148, 몬스터계수[[#Data],[타입]],0),1)*C148,
IF(E148="체력형",INDEX(몬스터계수[[#Data],[행운계수]],MATCH(E148, 몬스터계수[[#Data],[타입]],0),1)*C148,0))))</f>
        <v>363.25</v>
      </c>
      <c r="K148" s="34">
        <f>ROUND(
(($F148)*참고!$D$5)
+(($G148)*참고!$D$6)
+(($H148)*참고!$D$7)
+(($I148)*참고!$D$8)
+(($J148))*참고!$D$9,0)</f>
        <v>56485</v>
      </c>
      <c r="L148" s="34">
        <f>ROUND(
(($F148)*참고!$E$5)
+(($G148)*참고!$E$6)
+(($H148)*참고!$E$7)
+(($I148)*참고!$E$8)
+(($J148))*참고!$E$9,0)</f>
        <v>32329</v>
      </c>
      <c r="M148" s="34">
        <f>ROUND(
(($F148)*참고!$F$5)
+(($G148)*참고!$F$6)
+(($H148)*참고!$F$7)
+(($I148)*참고!$F$8)
+(($J148))*참고!$F$9,0)</f>
        <v>9081</v>
      </c>
      <c r="N148" s="34">
        <f>ROUND(
(($F148)*참고!$G$5)
+(($G148)*참고!$G$6)
+(($H148)*참고!$G$7)
+(($I148)*참고!$G$8)
+(($J148))*참고!$G$9,0)</f>
        <v>254</v>
      </c>
      <c r="O148" s="34">
        <f>ROUND(
(($F148)*참고!$H$5)
+(($G148)*참고!$H$6)
+(($H148)*참고!$H$7)
+(($I148)*참고!$H$8)
+(($J148))*참고!$H$9,0)</f>
        <v>5994</v>
      </c>
      <c r="P148" s="34">
        <f>ROUND(
(($F148)*참고!$I$5)
+(($G148)*참고!$I$6)
+(($H148)*참고!$I$7)
+(($I148)*참고!$I$8)
+(($J148))*참고!$I$9,0)</f>
        <v>10534</v>
      </c>
      <c r="Q148" s="34">
        <f>ROUND(
(($F148)*참고!$J$5)
+(($G148)*참고!$J$6)
+(($H148)*참고!$J$7)
+(($I148)*참고!$J$8)
+(($J148))*참고!$J$9,0)</f>
        <v>7265</v>
      </c>
      <c r="R148" s="34">
        <f>IF(E148="공격형",(INDEX(몬스터계수[[#Data],[속도]],MATCH(E148, 몬스터계수[[#Data],[타입]],0),1)*속도핸들러_곱계수)*(INT(몬스터밸런스[[#This Row],[Lv]]/속도핸들러_합계수+1)),
IF(E148="방어형",(INDEX(몬스터계수[[#Data],[속도]],MATCH(E148, 몬스터계수[[#Data],[타입]],0),1)*속도핸들러_곱계수)*(INT(몬스터밸런스[[#This Row],[Lv]]/속도핸들러_합계수+1)),
IF(E148="회피형",(INDEX(몬스터계수[[#Data],[속도]],MATCH(E148, 몬스터계수[[#Data],[타입]],0),1)*속도핸들러_곱계수)*(INT(몬스터밸런스[[#This Row],[Lv]]/속도핸들러_합계수+1)),
IF(E148="기본형",(INDEX(몬스터계수[[#Data],[속도]],MATCH(E148, 몬스터계수[[#Data],[타입]],0),1)*속도핸들러_곱계수)*(INT(몬스터밸런스[[#This Row],[Lv]]/속도핸들러_합계수+1)),0))))</f>
        <v>0</v>
      </c>
      <c r="S148">
        <f t="shared" si="7"/>
        <v>1939321.5</v>
      </c>
      <c r="U148">
        <v>5</v>
      </c>
      <c r="V148">
        <v>146</v>
      </c>
      <c r="W148">
        <f>$Z$1*몬스터밸런스9[[#This Row],[단계]]</f>
        <v>25</v>
      </c>
      <c r="X148" t="s">
        <v>45</v>
      </c>
      <c r="AE148" s="34">
        <f>몬스터밸런스[[#This Row],[생명]]</f>
        <v>3632.5</v>
      </c>
      <c r="AF148" s="34"/>
      <c r="AG148" s="34"/>
      <c r="AH148" s="34"/>
      <c r="AI148" s="34"/>
      <c r="AJ148" s="34"/>
      <c r="AK148" s="34"/>
      <c r="AL148">
        <f t="shared" si="6"/>
        <v>63568.75</v>
      </c>
    </row>
    <row r="149" spans="1:38">
      <c r="A149">
        <v>1460</v>
      </c>
      <c r="B149">
        <v>147</v>
      </c>
      <c r="C149">
        <f>$F$1*몬스터밸런스[[#This Row],[Lv]]+15</f>
        <v>7315</v>
      </c>
      <c r="E149" t="s">
        <v>479</v>
      </c>
      <c r="F149">
        <f>IF(E149="공격형",INDEX(몬스터계수[[#Data],[생명계수]],MATCH(E149,몬스터계수[[#Data],[타입]],0),1)*C149,
IF(E149="방어형",INDEX(몬스터계수[[#Data],[생명계수]],MATCH(E149,몬스터계수[[#Data],[타입]],0),1)*C149,
IF(E149="회피형",INDEX(몬스터계수[[#Data],[생명계수]],MATCH(E149,몬스터계수[[#Data],[타입]],0),1)*C149,
IF(E149="체력형",INDEX(몬스터계수[[#Data],[생명계수]],MATCH(E149,몬스터계수[[#Data],[타입]],0),1)*C149,0))))*IF(몬스터밸런스[[#This Row],[보스]]=TRUE,2,1)</f>
        <v>3657.5</v>
      </c>
      <c r="G149">
        <f>IF(E149="공격형",INDEX(몬스터계수[[#Data],[힘계수]],MATCH(E149, 몬스터계수[[#Data],[타입]],0),1)*C149,
IF(E149="방어형",INDEX(몬스터계수[[#Data],[힘계수]],MATCH(E149, 몬스터계수[[#Data],[타입]],0),1)*C149,
IF(E149="회피형",INDEX(몬스터계수[[#Data],[힘계수]],MATCH(E149, 몬스터계수[[#Data],[타입]],0),1)*C149,
IF(E149="체력형",INDEX(몬스터계수[[#Data],[힘계수]],MATCH(E149, 몬스터계수[[#Data],[타입]],0),1)*C149,0))))</f>
        <v>1828.75</v>
      </c>
      <c r="H149">
        <f>IF(E149="공격형",INDEX(몬스터계수[[#Data],[근력게수]],MATCH(E149,몬스터계수[[#Data],[타입]],0),1)*C149,
IF(E149="방어형",INDEX(몬스터계수[[#Data],[근력게수]],MATCH(E149,몬스터계수[[#Data],[타입]],0),1)*C149,
IF(E149="회피형",INDEX(몬스터계수[[#Data],[근력게수]],MATCH(E149,몬스터계수[[#Data],[타입]],0),1)*C149,
IF(E149="체력형",INDEX(몬스터계수[[#Data],[근력게수]],MATCH(E149,몬스터계수[[#Data],[타입]],0),1)*C149,0))))</f>
        <v>365.75</v>
      </c>
      <c r="I149">
        <f>IF(E149="공격형",INDEX(몬스터계수[[#Data],[숙련도계수]],MATCH(E149,몬스터계수[[#Data],[타입]],0),1)*C149,
IF(E149="방어형",INDEX(몬스터계수[[#Data],[숙련도계수]],MATCH(E149,몬스터계수[[#Data],[타입]],0),1)*C149,
IF(E149="회피형",INDEX(몬스터계수[[#Data],[숙련도계수]],MATCH(E149,몬스터계수[[#Data],[타입]],0),1)*C149,
IF(E149="체력형",INDEX(몬스터계수[[#Data],[숙련도계수]],MATCH(E149,몬스터계수[[#Data],[타입]],0),1)*C149,0))))</f>
        <v>1097.25</v>
      </c>
      <c r="J149">
        <f>IF(E149="공격형",INDEX(몬스터계수[[#Data],[행운계수]],MATCH(E149, 몬스터계수[[#Data],[타입]],0),1)*C149,
IF(E149="방어형",INDEX(몬스터계수[[#Data],[행운계수]],MATCH(E149, 몬스터계수[[#Data],[타입]],0),1)*C149,
IF(E149="회피형",INDEX(몬스터계수[[#Data],[행운계수]],MATCH(E149, 몬스터계수[[#Data],[타입]],0),1)*C149,
IF(E149="체력형",INDEX(몬스터계수[[#Data],[행운계수]],MATCH(E149, 몬스터계수[[#Data],[타입]],0),1)*C149,0))))</f>
        <v>365.75</v>
      </c>
      <c r="K149" s="34">
        <f>ROUND(
(($F149)*참고!$D$5)
+(($G149)*참고!$D$6)
+(($H149)*참고!$D$7)
+(($I149)*참고!$D$8)
+(($J149))*참고!$D$9,0)</f>
        <v>56874</v>
      </c>
      <c r="L149" s="34">
        <f>ROUND(
(($F149)*참고!$E$5)
+(($G149)*참고!$E$6)
+(($H149)*참고!$E$7)
+(($I149)*참고!$E$8)
+(($J149))*참고!$E$9,0)</f>
        <v>32552</v>
      </c>
      <c r="M149" s="34">
        <f>ROUND(
(($F149)*참고!$F$5)
+(($G149)*참고!$F$6)
+(($H149)*참고!$F$7)
+(($I149)*참고!$F$8)
+(($J149))*참고!$F$9,0)</f>
        <v>9144</v>
      </c>
      <c r="N149" s="34">
        <f>ROUND(
(($F149)*참고!$G$5)
+(($G149)*참고!$G$6)
+(($H149)*참고!$G$7)
+(($I149)*참고!$G$8)
+(($J149))*참고!$G$9,0)</f>
        <v>256</v>
      </c>
      <c r="O149" s="34">
        <f>ROUND(
(($F149)*참고!$H$5)
+(($G149)*참고!$H$6)
+(($H149)*참고!$H$7)
+(($I149)*참고!$H$8)
+(($J149))*참고!$H$9,0)</f>
        <v>6035</v>
      </c>
      <c r="P149" s="34">
        <f>ROUND(
(($F149)*참고!$I$5)
+(($G149)*참고!$I$6)
+(($H149)*참고!$I$7)
+(($I149)*참고!$I$8)
+(($J149))*참고!$I$9,0)</f>
        <v>10607</v>
      </c>
      <c r="Q149" s="34">
        <f>ROUND(
(($F149)*참고!$J$5)
+(($G149)*참고!$J$6)
+(($H149)*참고!$J$7)
+(($I149)*참고!$J$8)
+(($J149))*참고!$J$9,0)</f>
        <v>7315</v>
      </c>
      <c r="R149" s="34">
        <f>IF(E149="공격형",(INDEX(몬스터계수[[#Data],[속도]],MATCH(E149, 몬스터계수[[#Data],[타입]],0),1)*속도핸들러_곱계수)*(INT(몬스터밸런스[[#This Row],[Lv]]/속도핸들러_합계수+1)),
IF(E149="방어형",(INDEX(몬스터계수[[#Data],[속도]],MATCH(E149, 몬스터계수[[#Data],[타입]],0),1)*속도핸들러_곱계수)*(INT(몬스터밸런스[[#This Row],[Lv]]/속도핸들러_합계수+1)),
IF(E149="회피형",(INDEX(몬스터계수[[#Data],[속도]],MATCH(E149, 몬스터계수[[#Data],[타입]],0),1)*속도핸들러_곱계수)*(INT(몬스터밸런스[[#This Row],[Lv]]/속도핸들러_합계수+1)),
IF(E149="기본형",(INDEX(몬스터계수[[#Data],[속도]],MATCH(E149, 몬스터계수[[#Data],[타입]],0),1)*속도핸들러_곱계수)*(INT(몬스터밸런스[[#This Row],[Lv]]/속도핸들러_합계수+1)),0))))</f>
        <v>0</v>
      </c>
      <c r="S149">
        <f t="shared" si="7"/>
        <v>1952693.5</v>
      </c>
      <c r="U149">
        <v>5</v>
      </c>
      <c r="V149">
        <v>147</v>
      </c>
      <c r="W149">
        <f>$Z$1*몬스터밸런스9[[#This Row],[단계]]</f>
        <v>25</v>
      </c>
      <c r="X149" t="s">
        <v>45</v>
      </c>
      <c r="AE149" s="34">
        <f>몬스터밸런스[[#This Row],[생명]]</f>
        <v>3657.5</v>
      </c>
      <c r="AF149" s="34"/>
      <c r="AG149" s="34"/>
      <c r="AH149" s="34"/>
      <c r="AI149" s="34"/>
      <c r="AJ149" s="34"/>
      <c r="AK149" s="34"/>
      <c r="AL149">
        <f t="shared" ref="AL149:AL180" si="8">(AE149*HP계수) + (AF149*attack계수) + (AG149*Defense계수) + (AH149*CriticalRate계수) + (AI149*CriticalDamage계수) + (AJ149*Accuracy계수) + (AK149*DodgeRate계수)</f>
        <v>64006.25</v>
      </c>
    </row>
    <row r="150" spans="1:38">
      <c r="A150">
        <v>1470</v>
      </c>
      <c r="B150">
        <v>148</v>
      </c>
      <c r="C150">
        <f>$F$1*몬스터밸런스[[#This Row],[Lv]]+15</f>
        <v>7365</v>
      </c>
      <c r="E150" t="s">
        <v>479</v>
      </c>
      <c r="F150">
        <f>IF(E150="공격형",INDEX(몬스터계수[[#Data],[생명계수]],MATCH(E150,몬스터계수[[#Data],[타입]],0),1)*C150,
IF(E150="방어형",INDEX(몬스터계수[[#Data],[생명계수]],MATCH(E150,몬스터계수[[#Data],[타입]],0),1)*C150,
IF(E150="회피형",INDEX(몬스터계수[[#Data],[생명계수]],MATCH(E150,몬스터계수[[#Data],[타입]],0),1)*C150,
IF(E150="체력형",INDEX(몬스터계수[[#Data],[생명계수]],MATCH(E150,몬스터계수[[#Data],[타입]],0),1)*C150,0))))*IF(몬스터밸런스[[#This Row],[보스]]=TRUE,2,1)</f>
        <v>3682.5</v>
      </c>
      <c r="G150">
        <f>IF(E150="공격형",INDEX(몬스터계수[[#Data],[힘계수]],MATCH(E150, 몬스터계수[[#Data],[타입]],0),1)*C150,
IF(E150="방어형",INDEX(몬스터계수[[#Data],[힘계수]],MATCH(E150, 몬스터계수[[#Data],[타입]],0),1)*C150,
IF(E150="회피형",INDEX(몬스터계수[[#Data],[힘계수]],MATCH(E150, 몬스터계수[[#Data],[타입]],0),1)*C150,
IF(E150="체력형",INDEX(몬스터계수[[#Data],[힘계수]],MATCH(E150, 몬스터계수[[#Data],[타입]],0),1)*C150,0))))</f>
        <v>1841.25</v>
      </c>
      <c r="H150">
        <f>IF(E150="공격형",INDEX(몬스터계수[[#Data],[근력게수]],MATCH(E150,몬스터계수[[#Data],[타입]],0),1)*C150,
IF(E150="방어형",INDEX(몬스터계수[[#Data],[근력게수]],MATCH(E150,몬스터계수[[#Data],[타입]],0),1)*C150,
IF(E150="회피형",INDEX(몬스터계수[[#Data],[근력게수]],MATCH(E150,몬스터계수[[#Data],[타입]],0),1)*C150,
IF(E150="체력형",INDEX(몬스터계수[[#Data],[근력게수]],MATCH(E150,몬스터계수[[#Data],[타입]],0),1)*C150,0))))</f>
        <v>368.25</v>
      </c>
      <c r="I150">
        <f>IF(E150="공격형",INDEX(몬스터계수[[#Data],[숙련도계수]],MATCH(E150,몬스터계수[[#Data],[타입]],0),1)*C150,
IF(E150="방어형",INDEX(몬스터계수[[#Data],[숙련도계수]],MATCH(E150,몬스터계수[[#Data],[타입]],0),1)*C150,
IF(E150="회피형",INDEX(몬스터계수[[#Data],[숙련도계수]],MATCH(E150,몬스터계수[[#Data],[타입]],0),1)*C150,
IF(E150="체력형",INDEX(몬스터계수[[#Data],[숙련도계수]],MATCH(E150,몬스터계수[[#Data],[타입]],0),1)*C150,0))))</f>
        <v>1104.75</v>
      </c>
      <c r="J150">
        <f>IF(E150="공격형",INDEX(몬스터계수[[#Data],[행운계수]],MATCH(E150, 몬스터계수[[#Data],[타입]],0),1)*C150,
IF(E150="방어형",INDEX(몬스터계수[[#Data],[행운계수]],MATCH(E150, 몬스터계수[[#Data],[타입]],0),1)*C150,
IF(E150="회피형",INDEX(몬스터계수[[#Data],[행운계수]],MATCH(E150, 몬스터계수[[#Data],[타입]],0),1)*C150,
IF(E150="체력형",INDEX(몬스터계수[[#Data],[행운계수]],MATCH(E150, 몬스터계수[[#Data],[타입]],0),1)*C150,0))))</f>
        <v>368.25</v>
      </c>
      <c r="K150" s="34">
        <f>ROUND(
(($F150)*참고!$D$5)
+(($G150)*참고!$D$6)
+(($H150)*참고!$D$7)
+(($I150)*참고!$D$8)
+(($J150))*참고!$D$9,0)</f>
        <v>57263</v>
      </c>
      <c r="L150" s="34">
        <f>ROUND(
(($F150)*참고!$E$5)
+(($G150)*참고!$E$6)
+(($H150)*참고!$E$7)
+(($I150)*참고!$E$8)
+(($J150))*참고!$E$9,0)</f>
        <v>32774</v>
      </c>
      <c r="M150" s="34">
        <f>ROUND(
(($F150)*참고!$F$5)
+(($G150)*참고!$F$6)
+(($H150)*참고!$F$7)
+(($I150)*참고!$F$8)
+(($J150))*참고!$F$9,0)</f>
        <v>9206</v>
      </c>
      <c r="N150" s="34">
        <f>ROUND(
(($F150)*참고!$G$5)
+(($G150)*참고!$G$6)
+(($H150)*참고!$G$7)
+(($I150)*참고!$G$8)
+(($J150))*참고!$G$9,0)</f>
        <v>258</v>
      </c>
      <c r="O150" s="34">
        <f>ROUND(
(($F150)*참고!$H$5)
+(($G150)*참고!$H$6)
+(($H150)*참고!$H$7)
+(($I150)*참고!$H$8)
+(($J150))*참고!$H$9,0)</f>
        <v>6076</v>
      </c>
      <c r="P150" s="34">
        <f>ROUND(
(($F150)*참고!$I$5)
+(($G150)*참고!$I$6)
+(($H150)*참고!$I$7)
+(($I150)*참고!$I$8)
+(($J150))*참고!$I$9,0)</f>
        <v>10679</v>
      </c>
      <c r="Q150" s="34">
        <f>ROUND(
(($F150)*참고!$J$5)
+(($G150)*참고!$J$6)
+(($H150)*참고!$J$7)
+(($I150)*참고!$J$8)
+(($J150))*참고!$J$9,0)</f>
        <v>7365</v>
      </c>
      <c r="R150" s="34">
        <f>IF(E150="공격형",(INDEX(몬스터계수[[#Data],[속도]],MATCH(E150, 몬스터계수[[#Data],[타입]],0),1)*속도핸들러_곱계수)*(INT(몬스터밸런스[[#This Row],[Lv]]/속도핸들러_합계수+1)),
IF(E150="방어형",(INDEX(몬스터계수[[#Data],[속도]],MATCH(E150, 몬스터계수[[#Data],[타입]],0),1)*속도핸들러_곱계수)*(INT(몬스터밸런스[[#This Row],[Lv]]/속도핸들러_합계수+1)),
IF(E150="회피형",(INDEX(몬스터계수[[#Data],[속도]],MATCH(E150, 몬스터계수[[#Data],[타입]],0),1)*속도핸들러_곱계수)*(INT(몬스터밸런스[[#This Row],[Lv]]/속도핸들러_합계수+1)),
IF(E150="기본형",(INDEX(몬스터계수[[#Data],[속도]],MATCH(E150, 몬스터계수[[#Data],[타입]],0),1)*속도핸들러_곱계수)*(INT(몬스터밸런스[[#This Row],[Lv]]/속도핸들러_합계수+1)),0))))</f>
        <v>0</v>
      </c>
      <c r="S150">
        <f t="shared" si="7"/>
        <v>1966022.5</v>
      </c>
      <c r="U150">
        <v>5</v>
      </c>
      <c r="V150">
        <v>148</v>
      </c>
      <c r="W150">
        <f>$Z$1*몬스터밸런스9[[#This Row],[단계]]</f>
        <v>25</v>
      </c>
      <c r="X150" t="s">
        <v>45</v>
      </c>
      <c r="AE150" s="34">
        <f>몬스터밸런스[[#This Row],[생명]]</f>
        <v>3682.5</v>
      </c>
      <c r="AF150" s="34"/>
      <c r="AG150" s="34"/>
      <c r="AH150" s="34"/>
      <c r="AI150" s="34"/>
      <c r="AJ150" s="34"/>
      <c r="AK150" s="34"/>
      <c r="AL150">
        <f t="shared" si="8"/>
        <v>64443.75</v>
      </c>
    </row>
    <row r="151" spans="1:38">
      <c r="A151">
        <v>1480</v>
      </c>
      <c r="B151">
        <v>149</v>
      </c>
      <c r="C151">
        <f>$F$1*몬스터밸런스[[#This Row],[Lv]]+15</f>
        <v>7415</v>
      </c>
      <c r="E151" t="s">
        <v>479</v>
      </c>
      <c r="F151">
        <f>IF(E151="공격형",INDEX(몬스터계수[[#Data],[생명계수]],MATCH(E151,몬스터계수[[#Data],[타입]],0),1)*C151,
IF(E151="방어형",INDEX(몬스터계수[[#Data],[생명계수]],MATCH(E151,몬스터계수[[#Data],[타입]],0),1)*C151,
IF(E151="회피형",INDEX(몬스터계수[[#Data],[생명계수]],MATCH(E151,몬스터계수[[#Data],[타입]],0),1)*C151,
IF(E151="체력형",INDEX(몬스터계수[[#Data],[생명계수]],MATCH(E151,몬스터계수[[#Data],[타입]],0),1)*C151,0))))*IF(몬스터밸런스[[#This Row],[보스]]=TRUE,2,1)</f>
        <v>3707.5</v>
      </c>
      <c r="G151">
        <f>IF(E151="공격형",INDEX(몬스터계수[[#Data],[힘계수]],MATCH(E151, 몬스터계수[[#Data],[타입]],0),1)*C151,
IF(E151="방어형",INDEX(몬스터계수[[#Data],[힘계수]],MATCH(E151, 몬스터계수[[#Data],[타입]],0),1)*C151,
IF(E151="회피형",INDEX(몬스터계수[[#Data],[힘계수]],MATCH(E151, 몬스터계수[[#Data],[타입]],0),1)*C151,
IF(E151="체력형",INDEX(몬스터계수[[#Data],[힘계수]],MATCH(E151, 몬스터계수[[#Data],[타입]],0),1)*C151,0))))</f>
        <v>1853.75</v>
      </c>
      <c r="H151">
        <f>IF(E151="공격형",INDEX(몬스터계수[[#Data],[근력게수]],MATCH(E151,몬스터계수[[#Data],[타입]],0),1)*C151,
IF(E151="방어형",INDEX(몬스터계수[[#Data],[근력게수]],MATCH(E151,몬스터계수[[#Data],[타입]],0),1)*C151,
IF(E151="회피형",INDEX(몬스터계수[[#Data],[근력게수]],MATCH(E151,몬스터계수[[#Data],[타입]],0),1)*C151,
IF(E151="체력형",INDEX(몬스터계수[[#Data],[근력게수]],MATCH(E151,몬스터계수[[#Data],[타입]],0),1)*C151,0))))</f>
        <v>370.75</v>
      </c>
      <c r="I151">
        <f>IF(E151="공격형",INDEX(몬스터계수[[#Data],[숙련도계수]],MATCH(E151,몬스터계수[[#Data],[타입]],0),1)*C151,
IF(E151="방어형",INDEX(몬스터계수[[#Data],[숙련도계수]],MATCH(E151,몬스터계수[[#Data],[타입]],0),1)*C151,
IF(E151="회피형",INDEX(몬스터계수[[#Data],[숙련도계수]],MATCH(E151,몬스터계수[[#Data],[타입]],0),1)*C151,
IF(E151="체력형",INDEX(몬스터계수[[#Data],[숙련도계수]],MATCH(E151,몬스터계수[[#Data],[타입]],0),1)*C151,0))))</f>
        <v>1112.25</v>
      </c>
      <c r="J151">
        <f>IF(E151="공격형",INDEX(몬스터계수[[#Data],[행운계수]],MATCH(E151, 몬스터계수[[#Data],[타입]],0),1)*C151,
IF(E151="방어형",INDEX(몬스터계수[[#Data],[행운계수]],MATCH(E151, 몬스터계수[[#Data],[타입]],0),1)*C151,
IF(E151="회피형",INDEX(몬스터계수[[#Data],[행운계수]],MATCH(E151, 몬스터계수[[#Data],[타입]],0),1)*C151,
IF(E151="체력형",INDEX(몬스터계수[[#Data],[행운계수]],MATCH(E151, 몬스터계수[[#Data],[타입]],0),1)*C151,0))))</f>
        <v>370.75</v>
      </c>
      <c r="K151" s="34">
        <f>ROUND(
(($F151)*참고!$D$5)
+(($G151)*참고!$D$6)
+(($H151)*참고!$D$7)
+(($I151)*참고!$D$8)
+(($J151))*참고!$D$9,0)</f>
        <v>57652</v>
      </c>
      <c r="L151" s="34">
        <f>ROUND(
(($F151)*참고!$E$5)
+(($G151)*참고!$E$6)
+(($H151)*참고!$E$7)
+(($I151)*참고!$E$8)
+(($J151))*참고!$E$9,0)</f>
        <v>32997</v>
      </c>
      <c r="M151" s="34">
        <f>ROUND(
(($F151)*참고!$F$5)
+(($G151)*참고!$F$6)
+(($H151)*참고!$F$7)
+(($I151)*참고!$F$8)
+(($J151))*참고!$F$9,0)</f>
        <v>9269</v>
      </c>
      <c r="N151" s="34">
        <f>ROUND(
(($F151)*참고!$G$5)
+(($G151)*참고!$G$6)
+(($H151)*참고!$G$7)
+(($I151)*참고!$G$8)
+(($J151))*참고!$G$9,0)</f>
        <v>260</v>
      </c>
      <c r="O151" s="34">
        <f>ROUND(
(($F151)*참고!$H$5)
+(($G151)*참고!$H$6)
+(($H151)*참고!$H$7)
+(($I151)*참고!$H$8)
+(($J151))*참고!$H$9,0)</f>
        <v>6117</v>
      </c>
      <c r="P151" s="34">
        <f>ROUND(
(($F151)*참고!$I$5)
+(($G151)*참고!$I$6)
+(($H151)*참고!$I$7)
+(($I151)*참고!$I$8)
+(($J151))*참고!$I$9,0)</f>
        <v>10752</v>
      </c>
      <c r="Q151" s="34">
        <f>ROUND(
(($F151)*참고!$J$5)
+(($G151)*참고!$J$6)
+(($H151)*참고!$J$7)
+(($I151)*참고!$J$8)
+(($J151))*참고!$J$9,0)</f>
        <v>7415</v>
      </c>
      <c r="R151" s="34">
        <f>IF(E151="공격형",(INDEX(몬스터계수[[#Data],[속도]],MATCH(E151, 몬스터계수[[#Data],[타입]],0),1)*속도핸들러_곱계수)*(INT(몬스터밸런스[[#This Row],[Lv]]/속도핸들러_합계수+1)),
IF(E151="방어형",(INDEX(몬스터계수[[#Data],[속도]],MATCH(E151, 몬스터계수[[#Data],[타입]],0),1)*속도핸들러_곱계수)*(INT(몬스터밸런스[[#This Row],[Lv]]/속도핸들러_합계수+1)),
IF(E151="회피형",(INDEX(몬스터계수[[#Data],[속도]],MATCH(E151, 몬스터계수[[#Data],[타입]],0),1)*속도핸들러_곱계수)*(INT(몬스터밸런스[[#This Row],[Lv]]/속도핸들러_합계수+1)),
IF(E151="기본형",(INDEX(몬스터계수[[#Data],[속도]],MATCH(E151, 몬스터계수[[#Data],[타입]],0),1)*속도핸들러_곱계수)*(INT(몬스터밸런스[[#This Row],[Lv]]/속도핸들러_합계수+1)),0))))</f>
        <v>0</v>
      </c>
      <c r="S151">
        <f t="shared" si="7"/>
        <v>1979394.5</v>
      </c>
      <c r="U151">
        <v>5</v>
      </c>
      <c r="V151">
        <v>149</v>
      </c>
      <c r="W151">
        <f>$Z$1*몬스터밸런스9[[#This Row],[단계]]</f>
        <v>25</v>
      </c>
      <c r="X151" t="s">
        <v>45</v>
      </c>
      <c r="AE151" s="34">
        <f>몬스터밸런스[[#This Row],[생명]]</f>
        <v>3707.5</v>
      </c>
      <c r="AF151" s="34"/>
      <c r="AG151" s="34"/>
      <c r="AH151" s="34"/>
      <c r="AI151" s="34"/>
      <c r="AJ151" s="34"/>
      <c r="AK151" s="34"/>
      <c r="AL151">
        <f t="shared" si="8"/>
        <v>64881.25</v>
      </c>
    </row>
    <row r="152" spans="1:38">
      <c r="A152">
        <v>1490</v>
      </c>
      <c r="B152">
        <v>150</v>
      </c>
      <c r="C152">
        <f>$F$1*몬스터밸런스[[#This Row],[Lv]]+15</f>
        <v>7465</v>
      </c>
      <c r="E152" t="s">
        <v>479</v>
      </c>
      <c r="F152">
        <f>IF(E152="공격형",INDEX(몬스터계수[[#Data],[생명계수]],MATCH(E152,몬스터계수[[#Data],[타입]],0),1)*C152,
IF(E152="방어형",INDEX(몬스터계수[[#Data],[생명계수]],MATCH(E152,몬스터계수[[#Data],[타입]],0),1)*C152,
IF(E152="회피형",INDEX(몬스터계수[[#Data],[생명계수]],MATCH(E152,몬스터계수[[#Data],[타입]],0),1)*C152,
IF(E152="체력형",INDEX(몬스터계수[[#Data],[생명계수]],MATCH(E152,몬스터계수[[#Data],[타입]],0),1)*C152,0))))*IF(몬스터밸런스[[#This Row],[보스]]=TRUE,2,1)</f>
        <v>3732.5</v>
      </c>
      <c r="G152">
        <f>IF(E152="공격형",INDEX(몬스터계수[[#Data],[힘계수]],MATCH(E152, 몬스터계수[[#Data],[타입]],0),1)*C152,
IF(E152="방어형",INDEX(몬스터계수[[#Data],[힘계수]],MATCH(E152, 몬스터계수[[#Data],[타입]],0),1)*C152,
IF(E152="회피형",INDEX(몬스터계수[[#Data],[힘계수]],MATCH(E152, 몬스터계수[[#Data],[타입]],0),1)*C152,
IF(E152="체력형",INDEX(몬스터계수[[#Data],[힘계수]],MATCH(E152, 몬스터계수[[#Data],[타입]],0),1)*C152,0))))</f>
        <v>1866.25</v>
      </c>
      <c r="H152">
        <f>IF(E152="공격형",INDEX(몬스터계수[[#Data],[근력게수]],MATCH(E152,몬스터계수[[#Data],[타입]],0),1)*C152,
IF(E152="방어형",INDEX(몬스터계수[[#Data],[근력게수]],MATCH(E152,몬스터계수[[#Data],[타입]],0),1)*C152,
IF(E152="회피형",INDEX(몬스터계수[[#Data],[근력게수]],MATCH(E152,몬스터계수[[#Data],[타입]],0),1)*C152,
IF(E152="체력형",INDEX(몬스터계수[[#Data],[근력게수]],MATCH(E152,몬스터계수[[#Data],[타입]],0),1)*C152,0))))</f>
        <v>373.25</v>
      </c>
      <c r="I152">
        <f>IF(E152="공격형",INDEX(몬스터계수[[#Data],[숙련도계수]],MATCH(E152,몬스터계수[[#Data],[타입]],0),1)*C152,
IF(E152="방어형",INDEX(몬스터계수[[#Data],[숙련도계수]],MATCH(E152,몬스터계수[[#Data],[타입]],0),1)*C152,
IF(E152="회피형",INDEX(몬스터계수[[#Data],[숙련도계수]],MATCH(E152,몬스터계수[[#Data],[타입]],0),1)*C152,
IF(E152="체력형",INDEX(몬스터계수[[#Data],[숙련도계수]],MATCH(E152,몬스터계수[[#Data],[타입]],0),1)*C152,0))))</f>
        <v>1119.75</v>
      </c>
      <c r="J152">
        <f>IF(E152="공격형",INDEX(몬스터계수[[#Data],[행운계수]],MATCH(E152, 몬스터계수[[#Data],[타입]],0),1)*C152,
IF(E152="방어형",INDEX(몬스터계수[[#Data],[행운계수]],MATCH(E152, 몬스터계수[[#Data],[타입]],0),1)*C152,
IF(E152="회피형",INDEX(몬스터계수[[#Data],[행운계수]],MATCH(E152, 몬스터계수[[#Data],[타입]],0),1)*C152,
IF(E152="체력형",INDEX(몬스터계수[[#Data],[행운계수]],MATCH(E152, 몬스터계수[[#Data],[타입]],0),1)*C152,0))))</f>
        <v>373.25</v>
      </c>
      <c r="K152" s="34">
        <f>ROUND(
(($F152)*참고!$D$5)
+(($G152)*참고!$D$6)
+(($H152)*참고!$D$7)
+(($I152)*참고!$D$8)
+(($J152))*참고!$D$9,0)</f>
        <v>58040</v>
      </c>
      <c r="L152" s="34">
        <f>ROUND(
(($F152)*참고!$E$5)
+(($G152)*참고!$E$6)
+(($H152)*참고!$E$7)
+(($I152)*참고!$E$8)
+(($J152))*참고!$E$9,0)</f>
        <v>33219</v>
      </c>
      <c r="M152" s="34">
        <f>ROUND(
(($F152)*참고!$F$5)
+(($G152)*참고!$F$6)
+(($H152)*참고!$F$7)
+(($I152)*참고!$F$8)
+(($J152))*참고!$F$9,0)</f>
        <v>9331</v>
      </c>
      <c r="N152" s="34">
        <f>ROUND(
(($F152)*참고!$G$5)
+(($G152)*참고!$G$6)
+(($H152)*참고!$G$7)
+(($I152)*참고!$G$8)
+(($J152))*참고!$G$9,0)</f>
        <v>261</v>
      </c>
      <c r="O152" s="34">
        <f>ROUND(
(($F152)*참고!$H$5)
+(($G152)*참고!$H$6)
+(($H152)*참고!$H$7)
+(($I152)*참고!$H$8)
+(($J152))*참고!$H$9,0)</f>
        <v>6159</v>
      </c>
      <c r="P152" s="34">
        <f>ROUND(
(($F152)*참고!$I$5)
+(($G152)*참고!$I$6)
+(($H152)*참고!$I$7)
+(($I152)*참고!$I$8)
+(($J152))*참고!$I$9,0)</f>
        <v>10824</v>
      </c>
      <c r="Q152" s="34">
        <f>ROUND(
(($F152)*참고!$J$5)
+(($G152)*참고!$J$6)
+(($H152)*참고!$J$7)
+(($I152)*참고!$J$8)
+(($J152))*참고!$J$9,0)</f>
        <v>7465</v>
      </c>
      <c r="R152" s="34">
        <f>IF(E152="공격형",(INDEX(몬스터계수[[#Data],[속도]],MATCH(E152, 몬스터계수[[#Data],[타입]],0),1)*속도핸들러_곱계수)*(INT(몬스터밸런스[[#This Row],[Lv]]/속도핸들러_합계수+1)),
IF(E152="방어형",(INDEX(몬스터계수[[#Data],[속도]],MATCH(E152, 몬스터계수[[#Data],[타입]],0),1)*속도핸들러_곱계수)*(INT(몬스터밸런스[[#This Row],[Lv]]/속도핸들러_합계수+1)),
IF(E152="회피형",(INDEX(몬스터계수[[#Data],[속도]],MATCH(E152, 몬스터계수[[#Data],[타입]],0),1)*속도핸들러_곱계수)*(INT(몬스터밸런스[[#This Row],[Lv]]/속도핸들러_합계수+1)),
IF(E152="기본형",(INDEX(몬스터계수[[#Data],[속도]],MATCH(E152, 몬스터계수[[#Data],[타입]],0),1)*속도핸들러_곱계수)*(INT(몬스터밸런스[[#This Row],[Lv]]/속도핸들러_합계수+1)),0))))</f>
        <v>0</v>
      </c>
      <c r="S152">
        <f t="shared" si="7"/>
        <v>1992710</v>
      </c>
      <c r="U152">
        <v>5</v>
      </c>
      <c r="V152">
        <v>150</v>
      </c>
      <c r="W152">
        <f>$Z$1*몬스터밸런스9[[#This Row],[단계]]</f>
        <v>25</v>
      </c>
      <c r="X152" t="s">
        <v>45</v>
      </c>
      <c r="AE152" s="34">
        <f>몬스터밸런스[[#This Row],[생명]]</f>
        <v>3732.5</v>
      </c>
      <c r="AF152" s="34"/>
      <c r="AG152" s="34"/>
      <c r="AH152" s="34"/>
      <c r="AI152" s="34"/>
      <c r="AJ152" s="34"/>
      <c r="AK152" s="34"/>
      <c r="AL152">
        <f t="shared" si="8"/>
        <v>65318.75</v>
      </c>
    </row>
    <row r="153" spans="1:38">
      <c r="A153">
        <v>1500</v>
      </c>
      <c r="B153">
        <v>151</v>
      </c>
      <c r="C153">
        <f>$F$1*몬스터밸런스[[#This Row],[Lv]]+15</f>
        <v>7515</v>
      </c>
      <c r="E153" t="s">
        <v>479</v>
      </c>
      <c r="F153">
        <f>IF(E153="공격형",INDEX(몬스터계수[[#Data],[생명계수]],MATCH(E153,몬스터계수[[#Data],[타입]],0),1)*C153,
IF(E153="방어형",INDEX(몬스터계수[[#Data],[생명계수]],MATCH(E153,몬스터계수[[#Data],[타입]],0),1)*C153,
IF(E153="회피형",INDEX(몬스터계수[[#Data],[생명계수]],MATCH(E153,몬스터계수[[#Data],[타입]],0),1)*C153,
IF(E153="체력형",INDEX(몬스터계수[[#Data],[생명계수]],MATCH(E153,몬스터계수[[#Data],[타입]],0),1)*C153,0))))*IF(몬스터밸런스[[#This Row],[보스]]=TRUE,2,1)</f>
        <v>3757.5</v>
      </c>
      <c r="G153">
        <f>IF(E153="공격형",INDEX(몬스터계수[[#Data],[힘계수]],MATCH(E153, 몬스터계수[[#Data],[타입]],0),1)*C153,
IF(E153="방어형",INDEX(몬스터계수[[#Data],[힘계수]],MATCH(E153, 몬스터계수[[#Data],[타입]],0),1)*C153,
IF(E153="회피형",INDEX(몬스터계수[[#Data],[힘계수]],MATCH(E153, 몬스터계수[[#Data],[타입]],0),1)*C153,
IF(E153="체력형",INDEX(몬스터계수[[#Data],[힘계수]],MATCH(E153, 몬스터계수[[#Data],[타입]],0),1)*C153,0))))</f>
        <v>1878.75</v>
      </c>
      <c r="H153">
        <f>IF(E153="공격형",INDEX(몬스터계수[[#Data],[근력게수]],MATCH(E153,몬스터계수[[#Data],[타입]],0),1)*C153,
IF(E153="방어형",INDEX(몬스터계수[[#Data],[근력게수]],MATCH(E153,몬스터계수[[#Data],[타입]],0),1)*C153,
IF(E153="회피형",INDEX(몬스터계수[[#Data],[근력게수]],MATCH(E153,몬스터계수[[#Data],[타입]],0),1)*C153,
IF(E153="체력형",INDEX(몬스터계수[[#Data],[근력게수]],MATCH(E153,몬스터계수[[#Data],[타입]],0),1)*C153,0))))</f>
        <v>375.75</v>
      </c>
      <c r="I153">
        <f>IF(E153="공격형",INDEX(몬스터계수[[#Data],[숙련도계수]],MATCH(E153,몬스터계수[[#Data],[타입]],0),1)*C153,
IF(E153="방어형",INDEX(몬스터계수[[#Data],[숙련도계수]],MATCH(E153,몬스터계수[[#Data],[타입]],0),1)*C153,
IF(E153="회피형",INDEX(몬스터계수[[#Data],[숙련도계수]],MATCH(E153,몬스터계수[[#Data],[타입]],0),1)*C153,
IF(E153="체력형",INDEX(몬스터계수[[#Data],[숙련도계수]],MATCH(E153,몬스터계수[[#Data],[타입]],0),1)*C153,0))))</f>
        <v>1127.25</v>
      </c>
      <c r="J153">
        <f>IF(E153="공격형",INDEX(몬스터계수[[#Data],[행운계수]],MATCH(E153, 몬스터계수[[#Data],[타입]],0),1)*C153,
IF(E153="방어형",INDEX(몬스터계수[[#Data],[행운계수]],MATCH(E153, 몬스터계수[[#Data],[타입]],0),1)*C153,
IF(E153="회피형",INDEX(몬스터계수[[#Data],[행운계수]],MATCH(E153, 몬스터계수[[#Data],[타입]],0),1)*C153,
IF(E153="체력형",INDEX(몬스터계수[[#Data],[행운계수]],MATCH(E153, 몬스터계수[[#Data],[타입]],0),1)*C153,0))))</f>
        <v>375.75</v>
      </c>
      <c r="K153" s="34">
        <f>ROUND(
(($F153)*참고!$D$5)
+(($G153)*참고!$D$6)
+(($H153)*참고!$D$7)
+(($I153)*참고!$D$8)
+(($J153))*참고!$D$9,0)</f>
        <v>58429</v>
      </c>
      <c r="L153" s="34">
        <f>ROUND(
(($F153)*참고!$E$5)
+(($G153)*참고!$E$6)
+(($H153)*참고!$E$7)
+(($I153)*참고!$E$8)
+(($J153))*참고!$E$9,0)</f>
        <v>33442</v>
      </c>
      <c r="M153" s="34">
        <f>ROUND(
(($F153)*참고!$F$5)
+(($G153)*참고!$F$6)
+(($H153)*참고!$F$7)
+(($I153)*참고!$F$8)
+(($J153))*참고!$F$9,0)</f>
        <v>9394</v>
      </c>
      <c r="N153" s="34">
        <f>ROUND(
(($F153)*참고!$G$5)
+(($G153)*참고!$G$6)
+(($H153)*참고!$G$7)
+(($I153)*참고!$G$8)
+(($J153))*참고!$G$9,0)</f>
        <v>263</v>
      </c>
      <c r="O153" s="34">
        <f>ROUND(
(($F153)*참고!$H$5)
+(($G153)*참고!$H$6)
+(($H153)*참고!$H$7)
+(($I153)*참고!$H$8)
+(($J153))*참고!$H$9,0)</f>
        <v>6200</v>
      </c>
      <c r="P153" s="34">
        <f>ROUND(
(($F153)*참고!$I$5)
+(($G153)*참고!$I$6)
+(($H153)*참고!$I$7)
+(($I153)*참고!$I$8)
+(($J153))*참고!$I$9,0)</f>
        <v>10897</v>
      </c>
      <c r="Q153" s="34">
        <f>ROUND(
(($F153)*참고!$J$5)
+(($G153)*참고!$J$6)
+(($H153)*참고!$J$7)
+(($I153)*참고!$J$8)
+(($J153))*참고!$J$9,0)</f>
        <v>7515</v>
      </c>
      <c r="R153" s="34">
        <f>IF(E153="공격형",(INDEX(몬스터계수[[#Data],[속도]],MATCH(E153, 몬스터계수[[#Data],[타입]],0),1)*속도핸들러_곱계수)*(INT(몬스터밸런스[[#This Row],[Lv]]/속도핸들러_합계수+1)),
IF(E153="방어형",(INDEX(몬스터계수[[#Data],[속도]],MATCH(E153, 몬스터계수[[#Data],[타입]],0),1)*속도핸들러_곱계수)*(INT(몬스터밸런스[[#This Row],[Lv]]/속도핸들러_합계수+1)),
IF(E153="회피형",(INDEX(몬스터계수[[#Data],[속도]],MATCH(E153, 몬스터계수[[#Data],[타입]],0),1)*속도핸들러_곱계수)*(INT(몬스터밸런스[[#This Row],[Lv]]/속도핸들러_합계수+1)),
IF(E153="기본형",(INDEX(몬스터계수[[#Data],[속도]],MATCH(E153, 몬스터계수[[#Data],[타입]],0),1)*속도핸들러_곱계수)*(INT(몬스터밸런스[[#This Row],[Lv]]/속도핸들러_합계수+1)),0))))</f>
        <v>0</v>
      </c>
      <c r="S153">
        <f t="shared" si="7"/>
        <v>2006082</v>
      </c>
      <c r="U153">
        <v>1</v>
      </c>
      <c r="V153">
        <v>151</v>
      </c>
      <c r="W153">
        <f>$Z$1*몬스터밸런스9[[#This Row],[단계]]</f>
        <v>5</v>
      </c>
      <c r="X153" t="s">
        <v>63</v>
      </c>
      <c r="AE153" s="34"/>
      <c r="AF153" s="34"/>
      <c r="AG153" s="34">
        <f>몬스터밸런스[[#This Row],[Defense]]*0.3</f>
        <v>2818.2</v>
      </c>
      <c r="AH153" s="34"/>
      <c r="AI153" s="34"/>
      <c r="AJ153" s="34">
        <f>몬스터밸런스[[#This Row],[Accuracy]]*0.2</f>
        <v>2179.4</v>
      </c>
      <c r="AK153" s="34"/>
      <c r="AL153">
        <f t="shared" si="8"/>
        <v>69064.600000000006</v>
      </c>
    </row>
    <row r="154" spans="1:38">
      <c r="A154">
        <v>1510</v>
      </c>
      <c r="B154">
        <v>152</v>
      </c>
      <c r="C154">
        <f>$F$1*몬스터밸런스[[#This Row],[Lv]]+15</f>
        <v>7565</v>
      </c>
      <c r="E154" t="s">
        <v>479</v>
      </c>
      <c r="F154">
        <f>IF(E154="공격형",INDEX(몬스터계수[[#Data],[생명계수]],MATCH(E154,몬스터계수[[#Data],[타입]],0),1)*C154,
IF(E154="방어형",INDEX(몬스터계수[[#Data],[생명계수]],MATCH(E154,몬스터계수[[#Data],[타입]],0),1)*C154,
IF(E154="회피형",INDEX(몬스터계수[[#Data],[생명계수]],MATCH(E154,몬스터계수[[#Data],[타입]],0),1)*C154,
IF(E154="체력형",INDEX(몬스터계수[[#Data],[생명계수]],MATCH(E154,몬스터계수[[#Data],[타입]],0),1)*C154,0))))*IF(몬스터밸런스[[#This Row],[보스]]=TRUE,2,1)</f>
        <v>3782.5</v>
      </c>
      <c r="G154">
        <f>IF(E154="공격형",INDEX(몬스터계수[[#Data],[힘계수]],MATCH(E154, 몬스터계수[[#Data],[타입]],0),1)*C154,
IF(E154="방어형",INDEX(몬스터계수[[#Data],[힘계수]],MATCH(E154, 몬스터계수[[#Data],[타입]],0),1)*C154,
IF(E154="회피형",INDEX(몬스터계수[[#Data],[힘계수]],MATCH(E154, 몬스터계수[[#Data],[타입]],0),1)*C154,
IF(E154="체력형",INDEX(몬스터계수[[#Data],[힘계수]],MATCH(E154, 몬스터계수[[#Data],[타입]],0),1)*C154,0))))</f>
        <v>1891.25</v>
      </c>
      <c r="H154">
        <f>IF(E154="공격형",INDEX(몬스터계수[[#Data],[근력게수]],MATCH(E154,몬스터계수[[#Data],[타입]],0),1)*C154,
IF(E154="방어형",INDEX(몬스터계수[[#Data],[근력게수]],MATCH(E154,몬스터계수[[#Data],[타입]],0),1)*C154,
IF(E154="회피형",INDEX(몬스터계수[[#Data],[근력게수]],MATCH(E154,몬스터계수[[#Data],[타입]],0),1)*C154,
IF(E154="체력형",INDEX(몬스터계수[[#Data],[근력게수]],MATCH(E154,몬스터계수[[#Data],[타입]],0),1)*C154,0))))</f>
        <v>378.25</v>
      </c>
      <c r="I154">
        <f>IF(E154="공격형",INDEX(몬스터계수[[#Data],[숙련도계수]],MATCH(E154,몬스터계수[[#Data],[타입]],0),1)*C154,
IF(E154="방어형",INDEX(몬스터계수[[#Data],[숙련도계수]],MATCH(E154,몬스터계수[[#Data],[타입]],0),1)*C154,
IF(E154="회피형",INDEX(몬스터계수[[#Data],[숙련도계수]],MATCH(E154,몬스터계수[[#Data],[타입]],0),1)*C154,
IF(E154="체력형",INDEX(몬스터계수[[#Data],[숙련도계수]],MATCH(E154,몬스터계수[[#Data],[타입]],0),1)*C154,0))))</f>
        <v>1134.75</v>
      </c>
      <c r="J154">
        <f>IF(E154="공격형",INDEX(몬스터계수[[#Data],[행운계수]],MATCH(E154, 몬스터계수[[#Data],[타입]],0),1)*C154,
IF(E154="방어형",INDEX(몬스터계수[[#Data],[행운계수]],MATCH(E154, 몬스터계수[[#Data],[타입]],0),1)*C154,
IF(E154="회피형",INDEX(몬스터계수[[#Data],[행운계수]],MATCH(E154, 몬스터계수[[#Data],[타입]],0),1)*C154,
IF(E154="체력형",INDEX(몬스터계수[[#Data],[행운계수]],MATCH(E154, 몬스터계수[[#Data],[타입]],0),1)*C154,0))))</f>
        <v>378.25</v>
      </c>
      <c r="K154" s="34">
        <f>ROUND(
(($F154)*참고!$D$5)
+(($G154)*참고!$D$6)
+(($H154)*참고!$D$7)
+(($I154)*참고!$D$8)
+(($J154))*참고!$D$9,0)</f>
        <v>58818</v>
      </c>
      <c r="L154" s="34">
        <f>ROUND(
(($F154)*참고!$E$5)
+(($G154)*참고!$E$6)
+(($H154)*참고!$E$7)
+(($I154)*참고!$E$8)
+(($J154))*참고!$E$9,0)</f>
        <v>33664</v>
      </c>
      <c r="M154" s="34">
        <f>ROUND(
(($F154)*참고!$F$5)
+(($G154)*참고!$F$6)
+(($H154)*참고!$F$7)
+(($I154)*참고!$F$8)
+(($J154))*참고!$F$9,0)</f>
        <v>9456</v>
      </c>
      <c r="N154" s="34">
        <f>ROUND(
(($F154)*참고!$G$5)
+(($G154)*참고!$G$6)
+(($H154)*참고!$G$7)
+(($I154)*참고!$G$8)
+(($J154))*참고!$G$9,0)</f>
        <v>265</v>
      </c>
      <c r="O154" s="34">
        <f>ROUND(
(($F154)*참고!$H$5)
+(($G154)*참고!$H$6)
+(($H154)*참고!$H$7)
+(($I154)*참고!$H$8)
+(($J154))*참고!$H$9,0)</f>
        <v>6241</v>
      </c>
      <c r="P154" s="34">
        <f>ROUND(
(($F154)*참고!$I$5)
+(($G154)*참고!$I$6)
+(($H154)*참고!$I$7)
+(($I154)*참고!$I$8)
+(($J154))*참고!$I$9,0)</f>
        <v>10969</v>
      </c>
      <c r="Q154" s="34">
        <f>ROUND(
(($F154)*참고!$J$5)
+(($G154)*참고!$J$6)
+(($H154)*참고!$J$7)
+(($I154)*참고!$J$8)
+(($J154))*참고!$J$9,0)</f>
        <v>7565</v>
      </c>
      <c r="R154" s="34">
        <f>IF(E154="공격형",(INDEX(몬스터계수[[#Data],[속도]],MATCH(E154, 몬스터계수[[#Data],[타입]],0),1)*속도핸들러_곱계수)*(INT(몬스터밸런스[[#This Row],[Lv]]/속도핸들러_합계수+1)),
IF(E154="방어형",(INDEX(몬스터계수[[#Data],[속도]],MATCH(E154, 몬스터계수[[#Data],[타입]],0),1)*속도핸들러_곱계수)*(INT(몬스터밸런스[[#This Row],[Lv]]/속도핸들러_합계수+1)),
IF(E154="회피형",(INDEX(몬스터계수[[#Data],[속도]],MATCH(E154, 몬스터계수[[#Data],[타입]],0),1)*속도핸들러_곱계수)*(INT(몬스터밸런스[[#This Row],[Lv]]/속도핸들러_합계수+1)),
IF(E154="기본형",(INDEX(몬스터계수[[#Data],[속도]],MATCH(E154, 몬스터계수[[#Data],[타입]],0),1)*속도핸들러_곱계수)*(INT(몬스터밸런스[[#This Row],[Lv]]/속도핸들러_합계수+1)),0))))</f>
        <v>0</v>
      </c>
      <c r="S154">
        <f t="shared" si="7"/>
        <v>2019411</v>
      </c>
      <c r="U154">
        <v>1</v>
      </c>
      <c r="V154">
        <v>152</v>
      </c>
      <c r="W154">
        <f>$Z$1*몬스터밸런스9[[#This Row],[단계]]</f>
        <v>5</v>
      </c>
      <c r="X154" t="s">
        <v>63</v>
      </c>
      <c r="AE154" s="34"/>
      <c r="AF154" s="34"/>
      <c r="AG154" s="34">
        <f>몬스터밸런스[[#This Row],[Defense]]*0.3</f>
        <v>2836.7999999999997</v>
      </c>
      <c r="AH154" s="34"/>
      <c r="AI154" s="34"/>
      <c r="AJ154" s="34">
        <f>몬스터밸런스[[#This Row],[Accuracy]]*0.2</f>
        <v>2193.8000000000002</v>
      </c>
      <c r="AK154" s="34"/>
      <c r="AL154">
        <f t="shared" si="8"/>
        <v>69520.600000000006</v>
      </c>
    </row>
    <row r="155" spans="1:38">
      <c r="A155">
        <v>1520</v>
      </c>
      <c r="B155">
        <v>153</v>
      </c>
      <c r="C155">
        <f>$F$1*몬스터밸런스[[#This Row],[Lv]]+15</f>
        <v>7615</v>
      </c>
      <c r="E155" t="s">
        <v>479</v>
      </c>
      <c r="F155">
        <f>IF(E155="공격형",INDEX(몬스터계수[[#Data],[생명계수]],MATCH(E155,몬스터계수[[#Data],[타입]],0),1)*C155,
IF(E155="방어형",INDEX(몬스터계수[[#Data],[생명계수]],MATCH(E155,몬스터계수[[#Data],[타입]],0),1)*C155,
IF(E155="회피형",INDEX(몬스터계수[[#Data],[생명계수]],MATCH(E155,몬스터계수[[#Data],[타입]],0),1)*C155,
IF(E155="체력형",INDEX(몬스터계수[[#Data],[생명계수]],MATCH(E155,몬스터계수[[#Data],[타입]],0),1)*C155,0))))*IF(몬스터밸런스[[#This Row],[보스]]=TRUE,2,1)</f>
        <v>3807.5</v>
      </c>
      <c r="G155">
        <f>IF(E155="공격형",INDEX(몬스터계수[[#Data],[힘계수]],MATCH(E155, 몬스터계수[[#Data],[타입]],0),1)*C155,
IF(E155="방어형",INDEX(몬스터계수[[#Data],[힘계수]],MATCH(E155, 몬스터계수[[#Data],[타입]],0),1)*C155,
IF(E155="회피형",INDEX(몬스터계수[[#Data],[힘계수]],MATCH(E155, 몬스터계수[[#Data],[타입]],0),1)*C155,
IF(E155="체력형",INDEX(몬스터계수[[#Data],[힘계수]],MATCH(E155, 몬스터계수[[#Data],[타입]],0),1)*C155,0))))</f>
        <v>1903.75</v>
      </c>
      <c r="H155">
        <f>IF(E155="공격형",INDEX(몬스터계수[[#Data],[근력게수]],MATCH(E155,몬스터계수[[#Data],[타입]],0),1)*C155,
IF(E155="방어형",INDEX(몬스터계수[[#Data],[근력게수]],MATCH(E155,몬스터계수[[#Data],[타입]],0),1)*C155,
IF(E155="회피형",INDEX(몬스터계수[[#Data],[근력게수]],MATCH(E155,몬스터계수[[#Data],[타입]],0),1)*C155,
IF(E155="체력형",INDEX(몬스터계수[[#Data],[근력게수]],MATCH(E155,몬스터계수[[#Data],[타입]],0),1)*C155,0))))</f>
        <v>380.75</v>
      </c>
      <c r="I155">
        <f>IF(E155="공격형",INDEX(몬스터계수[[#Data],[숙련도계수]],MATCH(E155,몬스터계수[[#Data],[타입]],0),1)*C155,
IF(E155="방어형",INDEX(몬스터계수[[#Data],[숙련도계수]],MATCH(E155,몬스터계수[[#Data],[타입]],0),1)*C155,
IF(E155="회피형",INDEX(몬스터계수[[#Data],[숙련도계수]],MATCH(E155,몬스터계수[[#Data],[타입]],0),1)*C155,
IF(E155="체력형",INDEX(몬스터계수[[#Data],[숙련도계수]],MATCH(E155,몬스터계수[[#Data],[타입]],0),1)*C155,0))))</f>
        <v>1142.25</v>
      </c>
      <c r="J155">
        <f>IF(E155="공격형",INDEX(몬스터계수[[#Data],[행운계수]],MATCH(E155, 몬스터계수[[#Data],[타입]],0),1)*C155,
IF(E155="방어형",INDEX(몬스터계수[[#Data],[행운계수]],MATCH(E155, 몬스터계수[[#Data],[타입]],0),1)*C155,
IF(E155="회피형",INDEX(몬스터계수[[#Data],[행운계수]],MATCH(E155, 몬스터계수[[#Data],[타입]],0),1)*C155,
IF(E155="체력형",INDEX(몬스터계수[[#Data],[행운계수]],MATCH(E155, 몬스터계수[[#Data],[타입]],0),1)*C155,0))))</f>
        <v>380.75</v>
      </c>
      <c r="K155" s="34">
        <f>ROUND(
(($F155)*참고!$D$5)
+(($G155)*참고!$D$6)
+(($H155)*참고!$D$7)
+(($I155)*참고!$D$8)
+(($J155))*참고!$D$9,0)</f>
        <v>59207</v>
      </c>
      <c r="L155" s="34">
        <f>ROUND(
(($F155)*참고!$E$5)
+(($G155)*참고!$E$6)
+(($H155)*참고!$E$7)
+(($I155)*참고!$E$8)
+(($J155))*참고!$E$9,0)</f>
        <v>33887</v>
      </c>
      <c r="M155" s="34">
        <f>ROUND(
(($F155)*참고!$F$5)
+(($G155)*참고!$F$6)
+(($H155)*참고!$F$7)
+(($I155)*참고!$F$8)
+(($J155))*참고!$F$9,0)</f>
        <v>9519</v>
      </c>
      <c r="N155" s="34">
        <f>ROUND(
(($F155)*참고!$G$5)
+(($G155)*참고!$G$6)
+(($H155)*참고!$G$7)
+(($I155)*참고!$G$8)
+(($J155))*참고!$G$9,0)</f>
        <v>267</v>
      </c>
      <c r="O155" s="34">
        <f>ROUND(
(($F155)*참고!$H$5)
+(($G155)*참고!$H$6)
+(($H155)*참고!$H$7)
+(($I155)*참고!$H$8)
+(($J155))*참고!$H$9,0)</f>
        <v>6282</v>
      </c>
      <c r="P155" s="34">
        <f>ROUND(
(($F155)*참고!$I$5)
+(($G155)*참고!$I$6)
+(($H155)*참고!$I$7)
+(($I155)*참고!$I$8)
+(($J155))*참고!$I$9,0)</f>
        <v>11042</v>
      </c>
      <c r="Q155" s="34">
        <f>ROUND(
(($F155)*참고!$J$5)
+(($G155)*참고!$J$6)
+(($H155)*참고!$J$7)
+(($I155)*참고!$J$8)
+(($J155))*참고!$J$9,0)</f>
        <v>7615</v>
      </c>
      <c r="R155" s="34">
        <f>IF(E155="공격형",(INDEX(몬스터계수[[#Data],[속도]],MATCH(E155, 몬스터계수[[#Data],[타입]],0),1)*속도핸들러_곱계수)*(INT(몬스터밸런스[[#This Row],[Lv]]/속도핸들러_합계수+1)),
IF(E155="방어형",(INDEX(몬스터계수[[#Data],[속도]],MATCH(E155, 몬스터계수[[#Data],[타입]],0),1)*속도핸들러_곱계수)*(INT(몬스터밸런스[[#This Row],[Lv]]/속도핸들러_합계수+1)),
IF(E155="회피형",(INDEX(몬스터계수[[#Data],[속도]],MATCH(E155, 몬스터계수[[#Data],[타입]],0),1)*속도핸들러_곱계수)*(INT(몬스터밸런스[[#This Row],[Lv]]/속도핸들러_합계수+1)),
IF(E155="기본형",(INDEX(몬스터계수[[#Data],[속도]],MATCH(E155, 몬스터계수[[#Data],[타입]],0),1)*속도핸들러_곱계수)*(INT(몬스터밸런스[[#This Row],[Lv]]/속도핸들러_합계수+1)),0))))</f>
        <v>0</v>
      </c>
      <c r="S155">
        <f t="shared" si="7"/>
        <v>2032783</v>
      </c>
      <c r="U155">
        <v>1</v>
      </c>
      <c r="V155">
        <v>153</v>
      </c>
      <c r="W155">
        <f>$Z$1*몬스터밸런스9[[#This Row],[단계]]</f>
        <v>5</v>
      </c>
      <c r="X155" t="s">
        <v>63</v>
      </c>
      <c r="AE155" s="34"/>
      <c r="AF155" s="34"/>
      <c r="AG155" s="34">
        <f>몬스터밸런스[[#This Row],[Defense]]*0.3</f>
        <v>2855.7</v>
      </c>
      <c r="AH155" s="34"/>
      <c r="AI155" s="34"/>
      <c r="AJ155" s="34">
        <f>몬스터밸런스[[#This Row],[Accuracy]]*0.2</f>
        <v>2208.4</v>
      </c>
      <c r="AK155" s="34"/>
      <c r="AL155">
        <f t="shared" si="8"/>
        <v>69983.600000000006</v>
      </c>
    </row>
    <row r="156" spans="1:38">
      <c r="A156">
        <v>1530</v>
      </c>
      <c r="B156">
        <v>154</v>
      </c>
      <c r="C156">
        <f>$F$1*몬스터밸런스[[#This Row],[Lv]]+15</f>
        <v>7665</v>
      </c>
      <c r="E156" t="s">
        <v>479</v>
      </c>
      <c r="F156">
        <f>IF(E156="공격형",INDEX(몬스터계수[[#Data],[생명계수]],MATCH(E156,몬스터계수[[#Data],[타입]],0),1)*C156,
IF(E156="방어형",INDEX(몬스터계수[[#Data],[생명계수]],MATCH(E156,몬스터계수[[#Data],[타입]],0),1)*C156,
IF(E156="회피형",INDEX(몬스터계수[[#Data],[생명계수]],MATCH(E156,몬스터계수[[#Data],[타입]],0),1)*C156,
IF(E156="체력형",INDEX(몬스터계수[[#Data],[생명계수]],MATCH(E156,몬스터계수[[#Data],[타입]],0),1)*C156,0))))*IF(몬스터밸런스[[#This Row],[보스]]=TRUE,2,1)</f>
        <v>3832.5</v>
      </c>
      <c r="G156">
        <f>IF(E156="공격형",INDEX(몬스터계수[[#Data],[힘계수]],MATCH(E156, 몬스터계수[[#Data],[타입]],0),1)*C156,
IF(E156="방어형",INDEX(몬스터계수[[#Data],[힘계수]],MATCH(E156, 몬스터계수[[#Data],[타입]],0),1)*C156,
IF(E156="회피형",INDEX(몬스터계수[[#Data],[힘계수]],MATCH(E156, 몬스터계수[[#Data],[타입]],0),1)*C156,
IF(E156="체력형",INDEX(몬스터계수[[#Data],[힘계수]],MATCH(E156, 몬스터계수[[#Data],[타입]],0),1)*C156,0))))</f>
        <v>1916.25</v>
      </c>
      <c r="H156">
        <f>IF(E156="공격형",INDEX(몬스터계수[[#Data],[근력게수]],MATCH(E156,몬스터계수[[#Data],[타입]],0),1)*C156,
IF(E156="방어형",INDEX(몬스터계수[[#Data],[근력게수]],MATCH(E156,몬스터계수[[#Data],[타입]],0),1)*C156,
IF(E156="회피형",INDEX(몬스터계수[[#Data],[근력게수]],MATCH(E156,몬스터계수[[#Data],[타입]],0),1)*C156,
IF(E156="체력형",INDEX(몬스터계수[[#Data],[근력게수]],MATCH(E156,몬스터계수[[#Data],[타입]],0),1)*C156,0))))</f>
        <v>383.25</v>
      </c>
      <c r="I156">
        <f>IF(E156="공격형",INDEX(몬스터계수[[#Data],[숙련도계수]],MATCH(E156,몬스터계수[[#Data],[타입]],0),1)*C156,
IF(E156="방어형",INDEX(몬스터계수[[#Data],[숙련도계수]],MATCH(E156,몬스터계수[[#Data],[타입]],0),1)*C156,
IF(E156="회피형",INDEX(몬스터계수[[#Data],[숙련도계수]],MATCH(E156,몬스터계수[[#Data],[타입]],0),1)*C156,
IF(E156="체력형",INDEX(몬스터계수[[#Data],[숙련도계수]],MATCH(E156,몬스터계수[[#Data],[타입]],0),1)*C156,0))))</f>
        <v>1149.75</v>
      </c>
      <c r="J156">
        <f>IF(E156="공격형",INDEX(몬스터계수[[#Data],[행운계수]],MATCH(E156, 몬스터계수[[#Data],[타입]],0),1)*C156,
IF(E156="방어형",INDEX(몬스터계수[[#Data],[행운계수]],MATCH(E156, 몬스터계수[[#Data],[타입]],0),1)*C156,
IF(E156="회피형",INDEX(몬스터계수[[#Data],[행운계수]],MATCH(E156, 몬스터계수[[#Data],[타입]],0),1)*C156,
IF(E156="체력형",INDEX(몬스터계수[[#Data],[행운계수]],MATCH(E156, 몬스터계수[[#Data],[타입]],0),1)*C156,0))))</f>
        <v>383.25</v>
      </c>
      <c r="K156" s="34">
        <f>ROUND(
(($F156)*참고!$D$5)
+(($G156)*참고!$D$6)
+(($H156)*참고!$D$7)
+(($I156)*참고!$D$8)
+(($J156))*참고!$D$9,0)</f>
        <v>59595</v>
      </c>
      <c r="L156" s="34">
        <f>ROUND(
(($F156)*참고!$E$5)
+(($G156)*참고!$E$6)
+(($H156)*참고!$E$7)
+(($I156)*참고!$E$8)
+(($J156))*참고!$E$9,0)</f>
        <v>34109</v>
      </c>
      <c r="M156" s="34">
        <f>ROUND(
(($F156)*참고!$F$5)
+(($G156)*참고!$F$6)
+(($H156)*참고!$F$7)
+(($I156)*참고!$F$8)
+(($J156))*참고!$F$9,0)</f>
        <v>9581</v>
      </c>
      <c r="N156" s="34">
        <f>ROUND(
(($F156)*참고!$G$5)
+(($G156)*참고!$G$6)
+(($H156)*참고!$G$7)
+(($I156)*참고!$G$8)
+(($J156))*참고!$G$9,0)</f>
        <v>268</v>
      </c>
      <c r="O156" s="34">
        <f>ROUND(
(($F156)*참고!$H$5)
+(($G156)*참고!$H$6)
+(($H156)*참고!$H$7)
+(($I156)*참고!$H$8)
+(($J156))*참고!$H$9,0)</f>
        <v>6324</v>
      </c>
      <c r="P156" s="34">
        <f>ROUND(
(($F156)*참고!$I$5)
+(($G156)*참고!$I$6)
+(($H156)*참고!$I$7)
+(($I156)*참고!$I$8)
+(($J156))*참고!$I$9,0)</f>
        <v>11114</v>
      </c>
      <c r="Q156" s="34">
        <f>ROUND(
(($F156)*참고!$J$5)
+(($G156)*참고!$J$6)
+(($H156)*참고!$J$7)
+(($I156)*참고!$J$8)
+(($J156))*참고!$J$9,0)</f>
        <v>7665</v>
      </c>
      <c r="R156" s="34">
        <f>IF(E156="공격형",(INDEX(몬스터계수[[#Data],[속도]],MATCH(E156, 몬스터계수[[#Data],[타입]],0),1)*속도핸들러_곱계수)*(INT(몬스터밸런스[[#This Row],[Lv]]/속도핸들러_합계수+1)),
IF(E156="방어형",(INDEX(몬스터계수[[#Data],[속도]],MATCH(E156, 몬스터계수[[#Data],[타입]],0),1)*속도핸들러_곱계수)*(INT(몬스터밸런스[[#This Row],[Lv]]/속도핸들러_합계수+1)),
IF(E156="회피형",(INDEX(몬스터계수[[#Data],[속도]],MATCH(E156, 몬스터계수[[#Data],[타입]],0),1)*속도핸들러_곱계수)*(INT(몬스터밸런스[[#This Row],[Lv]]/속도핸들러_합계수+1)),
IF(E156="기본형",(INDEX(몬스터계수[[#Data],[속도]],MATCH(E156, 몬스터계수[[#Data],[타입]],0),1)*속도핸들러_곱계수)*(INT(몬스터밸런스[[#This Row],[Lv]]/속도핸들러_합계수+1)),0))))</f>
        <v>0</v>
      </c>
      <c r="S156">
        <f t="shared" si="7"/>
        <v>2046098.5</v>
      </c>
      <c r="U156">
        <v>1</v>
      </c>
      <c r="V156">
        <v>154</v>
      </c>
      <c r="W156">
        <f>$Z$1*몬스터밸런스9[[#This Row],[단계]]</f>
        <v>5</v>
      </c>
      <c r="X156" t="s">
        <v>63</v>
      </c>
      <c r="AE156" s="34"/>
      <c r="AF156" s="34"/>
      <c r="AG156" s="34">
        <f>몬스터밸런스[[#This Row],[Defense]]*0.3</f>
        <v>2874.2999999999997</v>
      </c>
      <c r="AH156" s="34"/>
      <c r="AI156" s="34"/>
      <c r="AJ156" s="34">
        <f>몬스터밸런스[[#This Row],[Accuracy]]*0.2</f>
        <v>2222.8000000000002</v>
      </c>
      <c r="AK156" s="34"/>
      <c r="AL156">
        <f t="shared" si="8"/>
        <v>70439.600000000006</v>
      </c>
    </row>
    <row r="157" spans="1:38">
      <c r="A157">
        <v>1540</v>
      </c>
      <c r="B157">
        <v>155</v>
      </c>
      <c r="C157">
        <f>$F$1*몬스터밸런스[[#This Row],[Lv]]+15</f>
        <v>7715</v>
      </c>
      <c r="E157" t="s">
        <v>479</v>
      </c>
      <c r="F157">
        <f>IF(E157="공격형",INDEX(몬스터계수[[#Data],[생명계수]],MATCH(E157,몬스터계수[[#Data],[타입]],0),1)*C157,
IF(E157="방어형",INDEX(몬스터계수[[#Data],[생명계수]],MATCH(E157,몬스터계수[[#Data],[타입]],0),1)*C157,
IF(E157="회피형",INDEX(몬스터계수[[#Data],[생명계수]],MATCH(E157,몬스터계수[[#Data],[타입]],0),1)*C157,
IF(E157="체력형",INDEX(몬스터계수[[#Data],[생명계수]],MATCH(E157,몬스터계수[[#Data],[타입]],0),1)*C157,0))))*IF(몬스터밸런스[[#This Row],[보스]]=TRUE,2,1)</f>
        <v>3857.5</v>
      </c>
      <c r="G157">
        <f>IF(E157="공격형",INDEX(몬스터계수[[#Data],[힘계수]],MATCH(E157, 몬스터계수[[#Data],[타입]],0),1)*C157,
IF(E157="방어형",INDEX(몬스터계수[[#Data],[힘계수]],MATCH(E157, 몬스터계수[[#Data],[타입]],0),1)*C157,
IF(E157="회피형",INDEX(몬스터계수[[#Data],[힘계수]],MATCH(E157, 몬스터계수[[#Data],[타입]],0),1)*C157,
IF(E157="체력형",INDEX(몬스터계수[[#Data],[힘계수]],MATCH(E157, 몬스터계수[[#Data],[타입]],0),1)*C157,0))))</f>
        <v>1928.75</v>
      </c>
      <c r="H157">
        <f>IF(E157="공격형",INDEX(몬스터계수[[#Data],[근력게수]],MATCH(E157,몬스터계수[[#Data],[타입]],0),1)*C157,
IF(E157="방어형",INDEX(몬스터계수[[#Data],[근력게수]],MATCH(E157,몬스터계수[[#Data],[타입]],0),1)*C157,
IF(E157="회피형",INDEX(몬스터계수[[#Data],[근력게수]],MATCH(E157,몬스터계수[[#Data],[타입]],0),1)*C157,
IF(E157="체력형",INDEX(몬스터계수[[#Data],[근력게수]],MATCH(E157,몬스터계수[[#Data],[타입]],0),1)*C157,0))))</f>
        <v>385.75</v>
      </c>
      <c r="I157">
        <f>IF(E157="공격형",INDEX(몬스터계수[[#Data],[숙련도계수]],MATCH(E157,몬스터계수[[#Data],[타입]],0),1)*C157,
IF(E157="방어형",INDEX(몬스터계수[[#Data],[숙련도계수]],MATCH(E157,몬스터계수[[#Data],[타입]],0),1)*C157,
IF(E157="회피형",INDEX(몬스터계수[[#Data],[숙련도계수]],MATCH(E157,몬스터계수[[#Data],[타입]],0),1)*C157,
IF(E157="체력형",INDEX(몬스터계수[[#Data],[숙련도계수]],MATCH(E157,몬스터계수[[#Data],[타입]],0),1)*C157,0))))</f>
        <v>1157.25</v>
      </c>
      <c r="J157">
        <f>IF(E157="공격형",INDEX(몬스터계수[[#Data],[행운계수]],MATCH(E157, 몬스터계수[[#Data],[타입]],0),1)*C157,
IF(E157="방어형",INDEX(몬스터계수[[#Data],[행운계수]],MATCH(E157, 몬스터계수[[#Data],[타입]],0),1)*C157,
IF(E157="회피형",INDEX(몬스터계수[[#Data],[행운계수]],MATCH(E157, 몬스터계수[[#Data],[타입]],0),1)*C157,
IF(E157="체력형",INDEX(몬스터계수[[#Data],[행운계수]],MATCH(E157, 몬스터계수[[#Data],[타입]],0),1)*C157,0))))</f>
        <v>385.75</v>
      </c>
      <c r="K157" s="34">
        <f>ROUND(
(($F157)*참고!$D$5)
+(($G157)*참고!$D$6)
+(($H157)*참고!$D$7)
+(($I157)*참고!$D$8)
+(($J157))*참고!$D$9,0)</f>
        <v>59984</v>
      </c>
      <c r="L157" s="34">
        <f>ROUND(
(($F157)*참고!$E$5)
+(($G157)*참고!$E$6)
+(($H157)*참고!$E$7)
+(($I157)*참고!$E$8)
+(($J157))*참고!$E$9,0)</f>
        <v>34332</v>
      </c>
      <c r="M157" s="34">
        <f>ROUND(
(($F157)*참고!$F$5)
+(($G157)*참고!$F$6)
+(($H157)*참고!$F$7)
+(($I157)*참고!$F$8)
+(($J157))*참고!$F$9,0)</f>
        <v>9644</v>
      </c>
      <c r="N157" s="34">
        <f>ROUND(
(($F157)*참고!$G$5)
+(($G157)*참고!$G$6)
+(($H157)*참고!$G$7)
+(($I157)*참고!$G$8)
+(($J157))*참고!$G$9,0)</f>
        <v>270</v>
      </c>
      <c r="O157" s="34">
        <f>ROUND(
(($F157)*참고!$H$5)
+(($G157)*참고!$H$6)
+(($H157)*참고!$H$7)
+(($I157)*참고!$H$8)
+(($J157))*참고!$H$9,0)</f>
        <v>6365</v>
      </c>
      <c r="P157" s="34">
        <f>ROUND(
(($F157)*참고!$I$5)
+(($G157)*참고!$I$6)
+(($H157)*참고!$I$7)
+(($I157)*참고!$I$8)
+(($J157))*참고!$I$9,0)</f>
        <v>11187</v>
      </c>
      <c r="Q157" s="34">
        <f>ROUND(
(($F157)*참고!$J$5)
+(($G157)*참고!$J$6)
+(($H157)*참고!$J$7)
+(($I157)*참고!$J$8)
+(($J157))*참고!$J$9,0)</f>
        <v>7715</v>
      </c>
      <c r="R157" s="34">
        <f>IF(E157="공격형",(INDEX(몬스터계수[[#Data],[속도]],MATCH(E157, 몬스터계수[[#Data],[타입]],0),1)*속도핸들러_곱계수)*(INT(몬스터밸런스[[#This Row],[Lv]]/속도핸들러_합계수+1)),
IF(E157="방어형",(INDEX(몬스터계수[[#Data],[속도]],MATCH(E157, 몬스터계수[[#Data],[타입]],0),1)*속도핸들러_곱계수)*(INT(몬스터밸런스[[#This Row],[Lv]]/속도핸들러_합계수+1)),
IF(E157="회피형",(INDEX(몬스터계수[[#Data],[속도]],MATCH(E157, 몬스터계수[[#Data],[타입]],0),1)*속도핸들러_곱계수)*(INT(몬스터밸런스[[#This Row],[Lv]]/속도핸들러_합계수+1)),
IF(E157="기본형",(INDEX(몬스터계수[[#Data],[속도]],MATCH(E157, 몬스터계수[[#Data],[타입]],0),1)*속도핸들러_곱계수)*(INT(몬스터밸런스[[#This Row],[Lv]]/속도핸들러_합계수+1)),0))))</f>
        <v>0</v>
      </c>
      <c r="S157">
        <f t="shared" si="7"/>
        <v>2059470.5</v>
      </c>
      <c r="U157">
        <v>1</v>
      </c>
      <c r="V157">
        <v>155</v>
      </c>
      <c r="W157">
        <f>$Z$1*몬스터밸런스9[[#This Row],[단계]]</f>
        <v>5</v>
      </c>
      <c r="X157" t="s">
        <v>63</v>
      </c>
      <c r="AE157" s="34"/>
      <c r="AF157" s="34"/>
      <c r="AG157" s="34">
        <f>몬스터밸런스[[#This Row],[Defense]]*0.3</f>
        <v>2893.2</v>
      </c>
      <c r="AH157" s="34"/>
      <c r="AI157" s="34"/>
      <c r="AJ157" s="34">
        <f>몬스터밸런스[[#This Row],[Accuracy]]*0.2</f>
        <v>2237.4</v>
      </c>
      <c r="AK157" s="34"/>
      <c r="AL157">
        <f t="shared" si="8"/>
        <v>70902.600000000006</v>
      </c>
    </row>
    <row r="158" spans="1:38">
      <c r="A158">
        <v>1550</v>
      </c>
      <c r="B158">
        <v>156</v>
      </c>
      <c r="C158">
        <f>$F$1*몬스터밸런스[[#This Row],[Lv]]+15</f>
        <v>7765</v>
      </c>
      <c r="E158" t="s">
        <v>479</v>
      </c>
      <c r="F158">
        <f>IF(E158="공격형",INDEX(몬스터계수[[#Data],[생명계수]],MATCH(E158,몬스터계수[[#Data],[타입]],0),1)*C158,
IF(E158="방어형",INDEX(몬스터계수[[#Data],[생명계수]],MATCH(E158,몬스터계수[[#Data],[타입]],0),1)*C158,
IF(E158="회피형",INDEX(몬스터계수[[#Data],[생명계수]],MATCH(E158,몬스터계수[[#Data],[타입]],0),1)*C158,
IF(E158="체력형",INDEX(몬스터계수[[#Data],[생명계수]],MATCH(E158,몬스터계수[[#Data],[타입]],0),1)*C158,0))))*IF(몬스터밸런스[[#This Row],[보스]]=TRUE,2,1)</f>
        <v>3882.5</v>
      </c>
      <c r="G158">
        <f>IF(E158="공격형",INDEX(몬스터계수[[#Data],[힘계수]],MATCH(E158, 몬스터계수[[#Data],[타입]],0),1)*C158,
IF(E158="방어형",INDEX(몬스터계수[[#Data],[힘계수]],MATCH(E158, 몬스터계수[[#Data],[타입]],0),1)*C158,
IF(E158="회피형",INDEX(몬스터계수[[#Data],[힘계수]],MATCH(E158, 몬스터계수[[#Data],[타입]],0),1)*C158,
IF(E158="체력형",INDEX(몬스터계수[[#Data],[힘계수]],MATCH(E158, 몬스터계수[[#Data],[타입]],0),1)*C158,0))))</f>
        <v>1941.25</v>
      </c>
      <c r="H158">
        <f>IF(E158="공격형",INDEX(몬스터계수[[#Data],[근력게수]],MATCH(E158,몬스터계수[[#Data],[타입]],0),1)*C158,
IF(E158="방어형",INDEX(몬스터계수[[#Data],[근력게수]],MATCH(E158,몬스터계수[[#Data],[타입]],0),1)*C158,
IF(E158="회피형",INDEX(몬스터계수[[#Data],[근력게수]],MATCH(E158,몬스터계수[[#Data],[타입]],0),1)*C158,
IF(E158="체력형",INDEX(몬스터계수[[#Data],[근력게수]],MATCH(E158,몬스터계수[[#Data],[타입]],0),1)*C158,0))))</f>
        <v>388.25</v>
      </c>
      <c r="I158">
        <f>IF(E158="공격형",INDEX(몬스터계수[[#Data],[숙련도계수]],MATCH(E158,몬스터계수[[#Data],[타입]],0),1)*C158,
IF(E158="방어형",INDEX(몬스터계수[[#Data],[숙련도계수]],MATCH(E158,몬스터계수[[#Data],[타입]],0),1)*C158,
IF(E158="회피형",INDEX(몬스터계수[[#Data],[숙련도계수]],MATCH(E158,몬스터계수[[#Data],[타입]],0),1)*C158,
IF(E158="체력형",INDEX(몬스터계수[[#Data],[숙련도계수]],MATCH(E158,몬스터계수[[#Data],[타입]],0),1)*C158,0))))</f>
        <v>1164.75</v>
      </c>
      <c r="J158">
        <f>IF(E158="공격형",INDEX(몬스터계수[[#Data],[행운계수]],MATCH(E158, 몬스터계수[[#Data],[타입]],0),1)*C158,
IF(E158="방어형",INDEX(몬스터계수[[#Data],[행운계수]],MATCH(E158, 몬스터계수[[#Data],[타입]],0),1)*C158,
IF(E158="회피형",INDEX(몬스터계수[[#Data],[행운계수]],MATCH(E158, 몬스터계수[[#Data],[타입]],0),1)*C158,
IF(E158="체력형",INDEX(몬스터계수[[#Data],[행운계수]],MATCH(E158, 몬스터계수[[#Data],[타입]],0),1)*C158,0))))</f>
        <v>388.25</v>
      </c>
      <c r="K158" s="34">
        <f>ROUND(
(($F158)*참고!$D$5)
+(($G158)*참고!$D$6)
+(($H158)*참고!$D$7)
+(($I158)*참고!$D$8)
+(($J158))*참고!$D$9,0)</f>
        <v>60373</v>
      </c>
      <c r="L158" s="34">
        <f>ROUND(
(($F158)*참고!$E$5)
+(($G158)*참고!$E$6)
+(($H158)*참고!$E$7)
+(($I158)*참고!$E$8)
+(($J158))*참고!$E$9,0)</f>
        <v>34554</v>
      </c>
      <c r="M158" s="34">
        <f>ROUND(
(($F158)*참고!$F$5)
+(($G158)*참고!$F$6)
+(($H158)*참고!$F$7)
+(($I158)*참고!$F$8)
+(($J158))*참고!$F$9,0)</f>
        <v>9706</v>
      </c>
      <c r="N158" s="34">
        <f>ROUND(
(($F158)*참고!$G$5)
+(($G158)*참고!$G$6)
+(($H158)*참고!$G$7)
+(($I158)*참고!$G$8)
+(($J158))*참고!$G$9,0)</f>
        <v>272</v>
      </c>
      <c r="O158" s="34">
        <f>ROUND(
(($F158)*참고!$H$5)
+(($G158)*참고!$H$6)
+(($H158)*참고!$H$7)
+(($I158)*참고!$H$8)
+(($J158))*참고!$H$9,0)</f>
        <v>6406</v>
      </c>
      <c r="P158" s="34">
        <f>ROUND(
(($F158)*참고!$I$5)
+(($G158)*참고!$I$6)
+(($H158)*참고!$I$7)
+(($I158)*참고!$I$8)
+(($J158))*참고!$I$9,0)</f>
        <v>11259</v>
      </c>
      <c r="Q158" s="34">
        <f>ROUND(
(($F158)*참고!$J$5)
+(($G158)*참고!$J$6)
+(($H158)*참고!$J$7)
+(($I158)*참고!$J$8)
+(($J158))*참고!$J$9,0)</f>
        <v>7765</v>
      </c>
      <c r="R158" s="34">
        <f>IF(E158="공격형",(INDEX(몬스터계수[[#Data],[속도]],MATCH(E158, 몬스터계수[[#Data],[타입]],0),1)*속도핸들러_곱계수)*(INT(몬스터밸런스[[#This Row],[Lv]]/속도핸들러_합계수+1)),
IF(E158="방어형",(INDEX(몬스터계수[[#Data],[속도]],MATCH(E158, 몬스터계수[[#Data],[타입]],0),1)*속도핸들러_곱계수)*(INT(몬스터밸런스[[#This Row],[Lv]]/속도핸들러_합계수+1)),
IF(E158="회피형",(INDEX(몬스터계수[[#Data],[속도]],MATCH(E158, 몬스터계수[[#Data],[타입]],0),1)*속도핸들러_곱계수)*(INT(몬스터밸런스[[#This Row],[Lv]]/속도핸들러_합계수+1)),
IF(E158="기본형",(INDEX(몬스터계수[[#Data],[속도]],MATCH(E158, 몬스터계수[[#Data],[타입]],0),1)*속도핸들러_곱계수)*(INT(몬스터밸런스[[#This Row],[Lv]]/속도핸들러_합계수+1)),0))))</f>
        <v>0</v>
      </c>
      <c r="S158">
        <f t="shared" si="7"/>
        <v>2072799.5</v>
      </c>
      <c r="U158">
        <v>2</v>
      </c>
      <c r="V158">
        <v>156</v>
      </c>
      <c r="W158">
        <f>$Z$1*몬스터밸런스9[[#This Row],[단계]]</f>
        <v>10</v>
      </c>
      <c r="X158" t="s">
        <v>63</v>
      </c>
      <c r="AE158" s="34"/>
      <c r="AF158" s="34"/>
      <c r="AG158" s="34">
        <f>몬스터밸런스[[#This Row],[Defense]]*0.3</f>
        <v>2911.7999999999997</v>
      </c>
      <c r="AH158" s="34"/>
      <c r="AI158" s="34"/>
      <c r="AJ158" s="34">
        <f>몬스터밸런스[[#This Row],[Accuracy]]*0.2</f>
        <v>2251.8000000000002</v>
      </c>
      <c r="AK158" s="34"/>
      <c r="AL158">
        <f t="shared" si="8"/>
        <v>71358.600000000006</v>
      </c>
    </row>
    <row r="159" spans="1:38">
      <c r="A159">
        <v>1560</v>
      </c>
      <c r="B159">
        <v>157</v>
      </c>
      <c r="C159">
        <f>$F$1*몬스터밸런스[[#This Row],[Lv]]+15</f>
        <v>7815</v>
      </c>
      <c r="E159" t="s">
        <v>479</v>
      </c>
      <c r="F159">
        <f>IF(E159="공격형",INDEX(몬스터계수[[#Data],[생명계수]],MATCH(E159,몬스터계수[[#Data],[타입]],0),1)*C159,
IF(E159="방어형",INDEX(몬스터계수[[#Data],[생명계수]],MATCH(E159,몬스터계수[[#Data],[타입]],0),1)*C159,
IF(E159="회피형",INDEX(몬스터계수[[#Data],[생명계수]],MATCH(E159,몬스터계수[[#Data],[타입]],0),1)*C159,
IF(E159="체력형",INDEX(몬스터계수[[#Data],[생명계수]],MATCH(E159,몬스터계수[[#Data],[타입]],0),1)*C159,0))))*IF(몬스터밸런스[[#This Row],[보스]]=TRUE,2,1)</f>
        <v>3907.5</v>
      </c>
      <c r="G159">
        <f>IF(E159="공격형",INDEX(몬스터계수[[#Data],[힘계수]],MATCH(E159, 몬스터계수[[#Data],[타입]],0),1)*C159,
IF(E159="방어형",INDEX(몬스터계수[[#Data],[힘계수]],MATCH(E159, 몬스터계수[[#Data],[타입]],0),1)*C159,
IF(E159="회피형",INDEX(몬스터계수[[#Data],[힘계수]],MATCH(E159, 몬스터계수[[#Data],[타입]],0),1)*C159,
IF(E159="체력형",INDEX(몬스터계수[[#Data],[힘계수]],MATCH(E159, 몬스터계수[[#Data],[타입]],0),1)*C159,0))))</f>
        <v>1953.75</v>
      </c>
      <c r="H159">
        <f>IF(E159="공격형",INDEX(몬스터계수[[#Data],[근력게수]],MATCH(E159,몬스터계수[[#Data],[타입]],0),1)*C159,
IF(E159="방어형",INDEX(몬스터계수[[#Data],[근력게수]],MATCH(E159,몬스터계수[[#Data],[타입]],0),1)*C159,
IF(E159="회피형",INDEX(몬스터계수[[#Data],[근력게수]],MATCH(E159,몬스터계수[[#Data],[타입]],0),1)*C159,
IF(E159="체력형",INDEX(몬스터계수[[#Data],[근력게수]],MATCH(E159,몬스터계수[[#Data],[타입]],0),1)*C159,0))))</f>
        <v>390.75</v>
      </c>
      <c r="I159">
        <f>IF(E159="공격형",INDEX(몬스터계수[[#Data],[숙련도계수]],MATCH(E159,몬스터계수[[#Data],[타입]],0),1)*C159,
IF(E159="방어형",INDEX(몬스터계수[[#Data],[숙련도계수]],MATCH(E159,몬스터계수[[#Data],[타입]],0),1)*C159,
IF(E159="회피형",INDEX(몬스터계수[[#Data],[숙련도계수]],MATCH(E159,몬스터계수[[#Data],[타입]],0),1)*C159,
IF(E159="체력형",INDEX(몬스터계수[[#Data],[숙련도계수]],MATCH(E159,몬스터계수[[#Data],[타입]],0),1)*C159,0))))</f>
        <v>1172.25</v>
      </c>
      <c r="J159">
        <f>IF(E159="공격형",INDEX(몬스터계수[[#Data],[행운계수]],MATCH(E159, 몬스터계수[[#Data],[타입]],0),1)*C159,
IF(E159="방어형",INDEX(몬스터계수[[#Data],[행운계수]],MATCH(E159, 몬스터계수[[#Data],[타입]],0),1)*C159,
IF(E159="회피형",INDEX(몬스터계수[[#Data],[행운계수]],MATCH(E159, 몬스터계수[[#Data],[타입]],0),1)*C159,
IF(E159="체력형",INDEX(몬스터계수[[#Data],[행운계수]],MATCH(E159, 몬스터계수[[#Data],[타입]],0),1)*C159,0))))</f>
        <v>390.75</v>
      </c>
      <c r="K159" s="34">
        <f>ROUND(
(($F159)*참고!$D$5)
+(($G159)*참고!$D$6)
+(($H159)*참고!$D$7)
+(($I159)*참고!$D$8)
+(($J159))*참고!$D$9,0)</f>
        <v>60762</v>
      </c>
      <c r="L159" s="34">
        <f>ROUND(
(($F159)*참고!$E$5)
+(($G159)*참고!$E$6)
+(($H159)*참고!$E$7)
+(($I159)*참고!$E$8)
+(($J159))*참고!$E$9,0)</f>
        <v>34777</v>
      </c>
      <c r="M159" s="34">
        <f>ROUND(
(($F159)*참고!$F$5)
+(($G159)*참고!$F$6)
+(($H159)*참고!$F$7)
+(($I159)*참고!$F$8)
+(($J159))*참고!$F$9,0)</f>
        <v>9769</v>
      </c>
      <c r="N159" s="34">
        <f>ROUND(
(($F159)*참고!$G$5)
+(($G159)*참고!$G$6)
+(($H159)*참고!$G$7)
+(($I159)*참고!$G$8)
+(($J159))*참고!$G$9,0)</f>
        <v>274</v>
      </c>
      <c r="O159" s="34">
        <f>ROUND(
(($F159)*참고!$H$5)
+(($G159)*참고!$H$6)
+(($H159)*참고!$H$7)
+(($I159)*참고!$H$8)
+(($J159))*참고!$H$9,0)</f>
        <v>6447</v>
      </c>
      <c r="P159" s="34">
        <f>ROUND(
(($F159)*참고!$I$5)
+(($G159)*참고!$I$6)
+(($H159)*참고!$I$7)
+(($I159)*참고!$I$8)
+(($J159))*참고!$I$9,0)</f>
        <v>11332</v>
      </c>
      <c r="Q159" s="34">
        <f>ROUND(
(($F159)*참고!$J$5)
+(($G159)*참고!$J$6)
+(($H159)*참고!$J$7)
+(($I159)*참고!$J$8)
+(($J159))*참고!$J$9,0)</f>
        <v>7815</v>
      </c>
      <c r="R159" s="34">
        <f>IF(E159="공격형",(INDEX(몬스터계수[[#Data],[속도]],MATCH(E159, 몬스터계수[[#Data],[타입]],0),1)*속도핸들러_곱계수)*(INT(몬스터밸런스[[#This Row],[Lv]]/속도핸들러_합계수+1)),
IF(E159="방어형",(INDEX(몬스터계수[[#Data],[속도]],MATCH(E159, 몬스터계수[[#Data],[타입]],0),1)*속도핸들러_곱계수)*(INT(몬스터밸런스[[#This Row],[Lv]]/속도핸들러_합계수+1)),
IF(E159="회피형",(INDEX(몬스터계수[[#Data],[속도]],MATCH(E159, 몬스터계수[[#Data],[타입]],0),1)*속도핸들러_곱계수)*(INT(몬스터밸런스[[#This Row],[Lv]]/속도핸들러_합계수+1)),
IF(E159="기본형",(INDEX(몬스터계수[[#Data],[속도]],MATCH(E159, 몬스터계수[[#Data],[타입]],0),1)*속도핸들러_곱계수)*(INT(몬스터밸런스[[#This Row],[Lv]]/속도핸들러_합계수+1)),0))))</f>
        <v>0</v>
      </c>
      <c r="S159">
        <f t="shared" si="7"/>
        <v>2086171.5</v>
      </c>
      <c r="U159">
        <v>2</v>
      </c>
      <c r="V159">
        <v>157</v>
      </c>
      <c r="W159">
        <f>$Z$1*몬스터밸런스9[[#This Row],[단계]]</f>
        <v>10</v>
      </c>
      <c r="X159" t="s">
        <v>63</v>
      </c>
      <c r="AE159" s="34"/>
      <c r="AF159" s="34"/>
      <c r="AG159" s="34">
        <f>몬스터밸런스[[#This Row],[Defense]]*0.3</f>
        <v>2930.7</v>
      </c>
      <c r="AH159" s="34"/>
      <c r="AI159" s="34"/>
      <c r="AJ159" s="34">
        <f>몬스터밸런스[[#This Row],[Accuracy]]*0.2</f>
        <v>2266.4</v>
      </c>
      <c r="AK159" s="34"/>
      <c r="AL159">
        <f t="shared" si="8"/>
        <v>71821.600000000006</v>
      </c>
    </row>
    <row r="160" spans="1:38">
      <c r="A160">
        <v>1570</v>
      </c>
      <c r="B160">
        <v>158</v>
      </c>
      <c r="C160">
        <f>$F$1*몬스터밸런스[[#This Row],[Lv]]+15</f>
        <v>7865</v>
      </c>
      <c r="E160" t="s">
        <v>479</v>
      </c>
      <c r="F160">
        <f>IF(E160="공격형",INDEX(몬스터계수[[#Data],[생명계수]],MATCH(E160,몬스터계수[[#Data],[타입]],0),1)*C160,
IF(E160="방어형",INDEX(몬스터계수[[#Data],[생명계수]],MATCH(E160,몬스터계수[[#Data],[타입]],0),1)*C160,
IF(E160="회피형",INDEX(몬스터계수[[#Data],[생명계수]],MATCH(E160,몬스터계수[[#Data],[타입]],0),1)*C160,
IF(E160="체력형",INDEX(몬스터계수[[#Data],[생명계수]],MATCH(E160,몬스터계수[[#Data],[타입]],0),1)*C160,0))))*IF(몬스터밸런스[[#This Row],[보스]]=TRUE,2,1)</f>
        <v>3932.5</v>
      </c>
      <c r="G160">
        <f>IF(E160="공격형",INDEX(몬스터계수[[#Data],[힘계수]],MATCH(E160, 몬스터계수[[#Data],[타입]],0),1)*C160,
IF(E160="방어형",INDEX(몬스터계수[[#Data],[힘계수]],MATCH(E160, 몬스터계수[[#Data],[타입]],0),1)*C160,
IF(E160="회피형",INDEX(몬스터계수[[#Data],[힘계수]],MATCH(E160, 몬스터계수[[#Data],[타입]],0),1)*C160,
IF(E160="체력형",INDEX(몬스터계수[[#Data],[힘계수]],MATCH(E160, 몬스터계수[[#Data],[타입]],0),1)*C160,0))))</f>
        <v>1966.25</v>
      </c>
      <c r="H160">
        <f>IF(E160="공격형",INDEX(몬스터계수[[#Data],[근력게수]],MATCH(E160,몬스터계수[[#Data],[타입]],0),1)*C160,
IF(E160="방어형",INDEX(몬스터계수[[#Data],[근력게수]],MATCH(E160,몬스터계수[[#Data],[타입]],0),1)*C160,
IF(E160="회피형",INDEX(몬스터계수[[#Data],[근력게수]],MATCH(E160,몬스터계수[[#Data],[타입]],0),1)*C160,
IF(E160="체력형",INDEX(몬스터계수[[#Data],[근력게수]],MATCH(E160,몬스터계수[[#Data],[타입]],0),1)*C160,0))))</f>
        <v>393.25</v>
      </c>
      <c r="I160">
        <f>IF(E160="공격형",INDEX(몬스터계수[[#Data],[숙련도계수]],MATCH(E160,몬스터계수[[#Data],[타입]],0),1)*C160,
IF(E160="방어형",INDEX(몬스터계수[[#Data],[숙련도계수]],MATCH(E160,몬스터계수[[#Data],[타입]],0),1)*C160,
IF(E160="회피형",INDEX(몬스터계수[[#Data],[숙련도계수]],MATCH(E160,몬스터계수[[#Data],[타입]],0),1)*C160,
IF(E160="체력형",INDEX(몬스터계수[[#Data],[숙련도계수]],MATCH(E160,몬스터계수[[#Data],[타입]],0),1)*C160,0))))</f>
        <v>1179.75</v>
      </c>
      <c r="J160">
        <f>IF(E160="공격형",INDEX(몬스터계수[[#Data],[행운계수]],MATCH(E160, 몬스터계수[[#Data],[타입]],0),1)*C160,
IF(E160="방어형",INDEX(몬스터계수[[#Data],[행운계수]],MATCH(E160, 몬스터계수[[#Data],[타입]],0),1)*C160,
IF(E160="회피형",INDEX(몬스터계수[[#Data],[행운계수]],MATCH(E160, 몬스터계수[[#Data],[타입]],0),1)*C160,
IF(E160="체력형",INDEX(몬스터계수[[#Data],[행운계수]],MATCH(E160, 몬스터계수[[#Data],[타입]],0),1)*C160,0))))</f>
        <v>393.25</v>
      </c>
      <c r="K160" s="34">
        <f>ROUND(
(($F160)*참고!$D$5)
+(($G160)*참고!$D$6)
+(($H160)*참고!$D$7)
+(($I160)*참고!$D$8)
+(($J160))*참고!$D$9,0)</f>
        <v>61150</v>
      </c>
      <c r="L160" s="34">
        <f>ROUND(
(($F160)*참고!$E$5)
+(($G160)*참고!$E$6)
+(($H160)*참고!$E$7)
+(($I160)*참고!$E$8)
+(($J160))*참고!$E$9,0)</f>
        <v>34999</v>
      </c>
      <c r="M160" s="34">
        <f>ROUND(
(($F160)*참고!$F$5)
+(($G160)*참고!$F$6)
+(($H160)*참고!$F$7)
+(($I160)*참고!$F$8)
+(($J160))*참고!$F$9,0)</f>
        <v>9831</v>
      </c>
      <c r="N160" s="34">
        <f>ROUND(
(($F160)*참고!$G$5)
+(($G160)*참고!$G$6)
+(($H160)*참고!$G$7)
+(($I160)*참고!$G$8)
+(($J160))*참고!$G$9,0)</f>
        <v>275</v>
      </c>
      <c r="O160" s="34">
        <f>ROUND(
(($F160)*참고!$H$5)
+(($G160)*참고!$H$6)
+(($H160)*참고!$H$7)
+(($I160)*참고!$H$8)
+(($J160))*참고!$H$9,0)</f>
        <v>6489</v>
      </c>
      <c r="P160" s="34">
        <f>ROUND(
(($F160)*참고!$I$5)
+(($G160)*참고!$I$6)
+(($H160)*참고!$I$7)
+(($I160)*참고!$I$8)
+(($J160))*참고!$I$9,0)</f>
        <v>11404</v>
      </c>
      <c r="Q160" s="34">
        <f>ROUND(
(($F160)*참고!$J$5)
+(($G160)*참고!$J$6)
+(($H160)*참고!$J$7)
+(($I160)*참고!$J$8)
+(($J160))*참고!$J$9,0)</f>
        <v>7865</v>
      </c>
      <c r="R160" s="34">
        <f>IF(E160="공격형",(INDEX(몬스터계수[[#Data],[속도]],MATCH(E160, 몬스터계수[[#Data],[타입]],0),1)*속도핸들러_곱계수)*(INT(몬스터밸런스[[#This Row],[Lv]]/속도핸들러_합계수+1)),
IF(E160="방어형",(INDEX(몬스터계수[[#Data],[속도]],MATCH(E160, 몬스터계수[[#Data],[타입]],0),1)*속도핸들러_곱계수)*(INT(몬스터밸런스[[#This Row],[Lv]]/속도핸들러_합계수+1)),
IF(E160="회피형",(INDEX(몬스터계수[[#Data],[속도]],MATCH(E160, 몬스터계수[[#Data],[타입]],0),1)*속도핸들러_곱계수)*(INT(몬스터밸런스[[#This Row],[Lv]]/속도핸들러_합계수+1)),
IF(E160="기본형",(INDEX(몬스터계수[[#Data],[속도]],MATCH(E160, 몬스터계수[[#Data],[타입]],0),1)*속도핸들러_곱계수)*(INT(몬스터밸런스[[#This Row],[Lv]]/속도핸들러_합계수+1)),0))))</f>
        <v>0</v>
      </c>
      <c r="S160">
        <f t="shared" si="7"/>
        <v>2099487</v>
      </c>
      <c r="U160">
        <v>2</v>
      </c>
      <c r="V160">
        <v>158</v>
      </c>
      <c r="W160">
        <f>$Z$1*몬스터밸런스9[[#This Row],[단계]]</f>
        <v>10</v>
      </c>
      <c r="X160" t="s">
        <v>63</v>
      </c>
      <c r="AE160" s="34"/>
      <c r="AF160" s="34"/>
      <c r="AG160" s="34">
        <f>몬스터밸런스[[#This Row],[Defense]]*0.3</f>
        <v>2949.2999999999997</v>
      </c>
      <c r="AH160" s="34"/>
      <c r="AI160" s="34"/>
      <c r="AJ160" s="34">
        <f>몬스터밸런스[[#This Row],[Accuracy]]*0.2</f>
        <v>2280.8000000000002</v>
      </c>
      <c r="AK160" s="34"/>
      <c r="AL160">
        <f t="shared" si="8"/>
        <v>72277.600000000006</v>
      </c>
    </row>
    <row r="161" spans="1:38">
      <c r="A161">
        <v>1580</v>
      </c>
      <c r="B161">
        <v>159</v>
      </c>
      <c r="C161">
        <f>$F$1*몬스터밸런스[[#This Row],[Lv]]+15</f>
        <v>7915</v>
      </c>
      <c r="E161" t="s">
        <v>479</v>
      </c>
      <c r="F161">
        <f>IF(E161="공격형",INDEX(몬스터계수[[#Data],[생명계수]],MATCH(E161,몬스터계수[[#Data],[타입]],0),1)*C161,
IF(E161="방어형",INDEX(몬스터계수[[#Data],[생명계수]],MATCH(E161,몬스터계수[[#Data],[타입]],0),1)*C161,
IF(E161="회피형",INDEX(몬스터계수[[#Data],[생명계수]],MATCH(E161,몬스터계수[[#Data],[타입]],0),1)*C161,
IF(E161="체력형",INDEX(몬스터계수[[#Data],[생명계수]],MATCH(E161,몬스터계수[[#Data],[타입]],0),1)*C161,0))))*IF(몬스터밸런스[[#This Row],[보스]]=TRUE,2,1)</f>
        <v>3957.5</v>
      </c>
      <c r="G161">
        <f>IF(E161="공격형",INDEX(몬스터계수[[#Data],[힘계수]],MATCH(E161, 몬스터계수[[#Data],[타입]],0),1)*C161,
IF(E161="방어형",INDEX(몬스터계수[[#Data],[힘계수]],MATCH(E161, 몬스터계수[[#Data],[타입]],0),1)*C161,
IF(E161="회피형",INDEX(몬스터계수[[#Data],[힘계수]],MATCH(E161, 몬스터계수[[#Data],[타입]],0),1)*C161,
IF(E161="체력형",INDEX(몬스터계수[[#Data],[힘계수]],MATCH(E161, 몬스터계수[[#Data],[타입]],0),1)*C161,0))))</f>
        <v>1978.75</v>
      </c>
      <c r="H161">
        <f>IF(E161="공격형",INDEX(몬스터계수[[#Data],[근력게수]],MATCH(E161,몬스터계수[[#Data],[타입]],0),1)*C161,
IF(E161="방어형",INDEX(몬스터계수[[#Data],[근력게수]],MATCH(E161,몬스터계수[[#Data],[타입]],0),1)*C161,
IF(E161="회피형",INDEX(몬스터계수[[#Data],[근력게수]],MATCH(E161,몬스터계수[[#Data],[타입]],0),1)*C161,
IF(E161="체력형",INDEX(몬스터계수[[#Data],[근력게수]],MATCH(E161,몬스터계수[[#Data],[타입]],0),1)*C161,0))))</f>
        <v>395.75</v>
      </c>
      <c r="I161">
        <f>IF(E161="공격형",INDEX(몬스터계수[[#Data],[숙련도계수]],MATCH(E161,몬스터계수[[#Data],[타입]],0),1)*C161,
IF(E161="방어형",INDEX(몬스터계수[[#Data],[숙련도계수]],MATCH(E161,몬스터계수[[#Data],[타입]],0),1)*C161,
IF(E161="회피형",INDEX(몬스터계수[[#Data],[숙련도계수]],MATCH(E161,몬스터계수[[#Data],[타입]],0),1)*C161,
IF(E161="체력형",INDEX(몬스터계수[[#Data],[숙련도계수]],MATCH(E161,몬스터계수[[#Data],[타입]],0),1)*C161,0))))</f>
        <v>1187.25</v>
      </c>
      <c r="J161">
        <f>IF(E161="공격형",INDEX(몬스터계수[[#Data],[행운계수]],MATCH(E161, 몬스터계수[[#Data],[타입]],0),1)*C161,
IF(E161="방어형",INDEX(몬스터계수[[#Data],[행운계수]],MATCH(E161, 몬스터계수[[#Data],[타입]],0),1)*C161,
IF(E161="회피형",INDEX(몬스터계수[[#Data],[행운계수]],MATCH(E161, 몬스터계수[[#Data],[타입]],0),1)*C161,
IF(E161="체력형",INDEX(몬스터계수[[#Data],[행운계수]],MATCH(E161, 몬스터계수[[#Data],[타입]],0),1)*C161,0))))</f>
        <v>395.75</v>
      </c>
      <c r="K161" s="34">
        <f>ROUND(
(($F161)*참고!$D$5)
+(($G161)*참고!$D$6)
+(($H161)*참고!$D$7)
+(($I161)*참고!$D$8)
+(($J161))*참고!$D$9,0)</f>
        <v>61539</v>
      </c>
      <c r="L161" s="34">
        <f>ROUND(
(($F161)*참고!$E$5)
+(($G161)*참고!$E$6)
+(($H161)*참고!$E$7)
+(($I161)*참고!$E$8)
+(($J161))*참고!$E$9,0)</f>
        <v>35222</v>
      </c>
      <c r="M161" s="34">
        <f>ROUND(
(($F161)*참고!$F$5)
+(($G161)*참고!$F$6)
+(($H161)*참고!$F$7)
+(($I161)*참고!$F$8)
+(($J161))*참고!$F$9,0)</f>
        <v>9894</v>
      </c>
      <c r="N161" s="34">
        <f>ROUND(
(($F161)*참고!$G$5)
+(($G161)*참고!$G$6)
+(($H161)*참고!$G$7)
+(($I161)*참고!$G$8)
+(($J161))*참고!$G$9,0)</f>
        <v>277</v>
      </c>
      <c r="O161" s="34">
        <f>ROUND(
(($F161)*참고!$H$5)
+(($G161)*참고!$H$6)
+(($H161)*참고!$H$7)
+(($I161)*참고!$H$8)
+(($J161))*참고!$H$9,0)</f>
        <v>6530</v>
      </c>
      <c r="P161" s="34">
        <f>ROUND(
(($F161)*참고!$I$5)
+(($G161)*참고!$I$6)
+(($H161)*참고!$I$7)
+(($I161)*참고!$I$8)
+(($J161))*참고!$I$9,0)</f>
        <v>11477</v>
      </c>
      <c r="Q161" s="34">
        <f>ROUND(
(($F161)*참고!$J$5)
+(($G161)*참고!$J$6)
+(($H161)*참고!$J$7)
+(($I161)*참고!$J$8)
+(($J161))*참고!$J$9,0)</f>
        <v>7915</v>
      </c>
      <c r="R161" s="34">
        <f>IF(E161="공격형",(INDEX(몬스터계수[[#Data],[속도]],MATCH(E161, 몬스터계수[[#Data],[타입]],0),1)*속도핸들러_곱계수)*(INT(몬스터밸런스[[#This Row],[Lv]]/속도핸들러_합계수+1)),
IF(E161="방어형",(INDEX(몬스터계수[[#Data],[속도]],MATCH(E161, 몬스터계수[[#Data],[타입]],0),1)*속도핸들러_곱계수)*(INT(몬스터밸런스[[#This Row],[Lv]]/속도핸들러_합계수+1)),
IF(E161="회피형",(INDEX(몬스터계수[[#Data],[속도]],MATCH(E161, 몬스터계수[[#Data],[타입]],0),1)*속도핸들러_곱계수)*(INT(몬스터밸런스[[#This Row],[Lv]]/속도핸들러_합계수+1)),
IF(E161="기본형",(INDEX(몬스터계수[[#Data],[속도]],MATCH(E161, 몬스터계수[[#Data],[타입]],0),1)*속도핸들러_곱계수)*(INT(몬스터밸런스[[#This Row],[Lv]]/속도핸들러_합계수+1)),0))))</f>
        <v>0</v>
      </c>
      <c r="S161">
        <f t="shared" si="7"/>
        <v>2112859</v>
      </c>
      <c r="U161">
        <v>2</v>
      </c>
      <c r="V161">
        <v>159</v>
      </c>
      <c r="W161">
        <f>$Z$1*몬스터밸런스9[[#This Row],[단계]]</f>
        <v>10</v>
      </c>
      <c r="X161" t="s">
        <v>63</v>
      </c>
      <c r="AE161" s="34"/>
      <c r="AF161" s="34"/>
      <c r="AG161" s="34">
        <f>몬스터밸런스[[#This Row],[Defense]]*0.3</f>
        <v>2968.2</v>
      </c>
      <c r="AH161" s="34"/>
      <c r="AI161" s="34"/>
      <c r="AJ161" s="34">
        <f>몬스터밸런스[[#This Row],[Accuracy]]*0.2</f>
        <v>2295.4</v>
      </c>
      <c r="AK161" s="34"/>
      <c r="AL161">
        <f t="shared" si="8"/>
        <v>72740.600000000006</v>
      </c>
    </row>
    <row r="162" spans="1:38">
      <c r="A162">
        <v>1590</v>
      </c>
      <c r="B162">
        <v>160</v>
      </c>
      <c r="C162">
        <f>$F$1*몬스터밸런스[[#This Row],[Lv]]+15</f>
        <v>7965</v>
      </c>
      <c r="E162" t="s">
        <v>479</v>
      </c>
      <c r="F162">
        <f>IF(E162="공격형",INDEX(몬스터계수[[#Data],[생명계수]],MATCH(E162,몬스터계수[[#Data],[타입]],0),1)*C162,
IF(E162="방어형",INDEX(몬스터계수[[#Data],[생명계수]],MATCH(E162,몬스터계수[[#Data],[타입]],0),1)*C162,
IF(E162="회피형",INDEX(몬스터계수[[#Data],[생명계수]],MATCH(E162,몬스터계수[[#Data],[타입]],0),1)*C162,
IF(E162="체력형",INDEX(몬스터계수[[#Data],[생명계수]],MATCH(E162,몬스터계수[[#Data],[타입]],0),1)*C162,0))))*IF(몬스터밸런스[[#This Row],[보스]]=TRUE,2,1)</f>
        <v>3982.5</v>
      </c>
      <c r="G162">
        <f>IF(E162="공격형",INDEX(몬스터계수[[#Data],[힘계수]],MATCH(E162, 몬스터계수[[#Data],[타입]],0),1)*C162,
IF(E162="방어형",INDEX(몬스터계수[[#Data],[힘계수]],MATCH(E162, 몬스터계수[[#Data],[타입]],0),1)*C162,
IF(E162="회피형",INDEX(몬스터계수[[#Data],[힘계수]],MATCH(E162, 몬스터계수[[#Data],[타입]],0),1)*C162,
IF(E162="체력형",INDEX(몬스터계수[[#Data],[힘계수]],MATCH(E162, 몬스터계수[[#Data],[타입]],0),1)*C162,0))))</f>
        <v>1991.25</v>
      </c>
      <c r="H162">
        <f>IF(E162="공격형",INDEX(몬스터계수[[#Data],[근력게수]],MATCH(E162,몬스터계수[[#Data],[타입]],0),1)*C162,
IF(E162="방어형",INDEX(몬스터계수[[#Data],[근력게수]],MATCH(E162,몬스터계수[[#Data],[타입]],0),1)*C162,
IF(E162="회피형",INDEX(몬스터계수[[#Data],[근력게수]],MATCH(E162,몬스터계수[[#Data],[타입]],0),1)*C162,
IF(E162="체력형",INDEX(몬스터계수[[#Data],[근력게수]],MATCH(E162,몬스터계수[[#Data],[타입]],0),1)*C162,0))))</f>
        <v>398.25</v>
      </c>
      <c r="I162">
        <f>IF(E162="공격형",INDEX(몬스터계수[[#Data],[숙련도계수]],MATCH(E162,몬스터계수[[#Data],[타입]],0),1)*C162,
IF(E162="방어형",INDEX(몬스터계수[[#Data],[숙련도계수]],MATCH(E162,몬스터계수[[#Data],[타입]],0),1)*C162,
IF(E162="회피형",INDEX(몬스터계수[[#Data],[숙련도계수]],MATCH(E162,몬스터계수[[#Data],[타입]],0),1)*C162,
IF(E162="체력형",INDEX(몬스터계수[[#Data],[숙련도계수]],MATCH(E162,몬스터계수[[#Data],[타입]],0),1)*C162,0))))</f>
        <v>1194.75</v>
      </c>
      <c r="J162">
        <f>IF(E162="공격형",INDEX(몬스터계수[[#Data],[행운계수]],MATCH(E162, 몬스터계수[[#Data],[타입]],0),1)*C162,
IF(E162="방어형",INDEX(몬스터계수[[#Data],[행운계수]],MATCH(E162, 몬스터계수[[#Data],[타입]],0),1)*C162,
IF(E162="회피형",INDEX(몬스터계수[[#Data],[행운계수]],MATCH(E162, 몬스터계수[[#Data],[타입]],0),1)*C162,
IF(E162="체력형",INDEX(몬스터계수[[#Data],[행운계수]],MATCH(E162, 몬스터계수[[#Data],[타입]],0),1)*C162,0))))</f>
        <v>398.25</v>
      </c>
      <c r="K162" s="34">
        <f>ROUND(
(($F162)*참고!$D$5)
+(($G162)*참고!$D$6)
+(($H162)*참고!$D$7)
+(($I162)*참고!$D$8)
+(($J162))*참고!$D$9,0)</f>
        <v>61928</v>
      </c>
      <c r="L162" s="34">
        <f>ROUND(
(($F162)*참고!$E$5)
+(($G162)*참고!$E$6)
+(($H162)*참고!$E$7)
+(($I162)*참고!$E$8)
+(($J162))*참고!$E$9,0)</f>
        <v>35444</v>
      </c>
      <c r="M162" s="34">
        <f>ROUND(
(($F162)*참고!$F$5)
+(($G162)*참고!$F$6)
+(($H162)*참고!$F$7)
+(($I162)*참고!$F$8)
+(($J162))*참고!$F$9,0)</f>
        <v>9956</v>
      </c>
      <c r="N162" s="34">
        <f>ROUND(
(($F162)*참고!$G$5)
+(($G162)*참고!$G$6)
+(($H162)*참고!$G$7)
+(($I162)*참고!$G$8)
+(($J162))*참고!$G$9,0)</f>
        <v>279</v>
      </c>
      <c r="O162" s="34">
        <f>ROUND(
(($F162)*참고!$H$5)
+(($G162)*참고!$H$6)
+(($H162)*참고!$H$7)
+(($I162)*참고!$H$8)
+(($J162))*참고!$H$9,0)</f>
        <v>6571</v>
      </c>
      <c r="P162" s="34">
        <f>ROUND(
(($F162)*참고!$I$5)
+(($G162)*참고!$I$6)
+(($H162)*참고!$I$7)
+(($I162)*참고!$I$8)
+(($J162))*참고!$I$9,0)</f>
        <v>11549</v>
      </c>
      <c r="Q162" s="34">
        <f>ROUND(
(($F162)*참고!$J$5)
+(($G162)*참고!$J$6)
+(($H162)*참고!$J$7)
+(($I162)*참고!$J$8)
+(($J162))*참고!$J$9,0)</f>
        <v>7965</v>
      </c>
      <c r="R162" s="34">
        <f>IF(E162="공격형",(INDEX(몬스터계수[[#Data],[속도]],MATCH(E162, 몬스터계수[[#Data],[타입]],0),1)*속도핸들러_곱계수)*(INT(몬스터밸런스[[#This Row],[Lv]]/속도핸들러_합계수+1)),
IF(E162="방어형",(INDEX(몬스터계수[[#Data],[속도]],MATCH(E162, 몬스터계수[[#Data],[타입]],0),1)*속도핸들러_곱계수)*(INT(몬스터밸런스[[#This Row],[Lv]]/속도핸들러_합계수+1)),
IF(E162="회피형",(INDEX(몬스터계수[[#Data],[속도]],MATCH(E162, 몬스터계수[[#Data],[타입]],0),1)*속도핸들러_곱계수)*(INT(몬스터밸런스[[#This Row],[Lv]]/속도핸들러_합계수+1)),
IF(E162="기본형",(INDEX(몬스터계수[[#Data],[속도]],MATCH(E162, 몬스터계수[[#Data],[타입]],0),1)*속도핸들러_곱계수)*(INT(몬스터밸런스[[#This Row],[Lv]]/속도핸들러_합계수+1)),0))))</f>
        <v>0</v>
      </c>
      <c r="S162">
        <f t="shared" si="7"/>
        <v>2126188</v>
      </c>
      <c r="U162">
        <v>2</v>
      </c>
      <c r="V162">
        <v>160</v>
      </c>
      <c r="W162">
        <f>$Z$1*몬스터밸런스9[[#This Row],[단계]]</f>
        <v>10</v>
      </c>
      <c r="X162" t="s">
        <v>63</v>
      </c>
      <c r="AE162" s="34"/>
      <c r="AF162" s="34"/>
      <c r="AG162" s="34">
        <f>몬스터밸런스[[#This Row],[Defense]]*0.3</f>
        <v>2986.7999999999997</v>
      </c>
      <c r="AH162" s="34"/>
      <c r="AI162" s="34"/>
      <c r="AJ162" s="34">
        <f>몬스터밸런스[[#This Row],[Accuracy]]*0.2</f>
        <v>2309.8000000000002</v>
      </c>
      <c r="AK162" s="34"/>
      <c r="AL162">
        <f t="shared" si="8"/>
        <v>73196.600000000006</v>
      </c>
    </row>
    <row r="163" spans="1:38">
      <c r="A163">
        <v>1600</v>
      </c>
      <c r="B163">
        <v>161</v>
      </c>
      <c r="C163">
        <f>$F$1*몬스터밸런스[[#This Row],[Lv]]+15</f>
        <v>8015</v>
      </c>
      <c r="E163" t="s">
        <v>479</v>
      </c>
      <c r="F163">
        <f>IF(E163="공격형",INDEX(몬스터계수[[#Data],[생명계수]],MATCH(E163,몬스터계수[[#Data],[타입]],0),1)*C163,
IF(E163="방어형",INDEX(몬스터계수[[#Data],[생명계수]],MATCH(E163,몬스터계수[[#Data],[타입]],0),1)*C163,
IF(E163="회피형",INDEX(몬스터계수[[#Data],[생명계수]],MATCH(E163,몬스터계수[[#Data],[타입]],0),1)*C163,
IF(E163="체력형",INDEX(몬스터계수[[#Data],[생명계수]],MATCH(E163,몬스터계수[[#Data],[타입]],0),1)*C163,0))))*IF(몬스터밸런스[[#This Row],[보스]]=TRUE,2,1)</f>
        <v>4007.5</v>
      </c>
      <c r="G163">
        <f>IF(E163="공격형",INDEX(몬스터계수[[#Data],[힘계수]],MATCH(E163, 몬스터계수[[#Data],[타입]],0),1)*C163,
IF(E163="방어형",INDEX(몬스터계수[[#Data],[힘계수]],MATCH(E163, 몬스터계수[[#Data],[타입]],0),1)*C163,
IF(E163="회피형",INDEX(몬스터계수[[#Data],[힘계수]],MATCH(E163, 몬스터계수[[#Data],[타입]],0),1)*C163,
IF(E163="체력형",INDEX(몬스터계수[[#Data],[힘계수]],MATCH(E163, 몬스터계수[[#Data],[타입]],0),1)*C163,0))))</f>
        <v>2003.75</v>
      </c>
      <c r="H163">
        <f>IF(E163="공격형",INDEX(몬스터계수[[#Data],[근력게수]],MATCH(E163,몬스터계수[[#Data],[타입]],0),1)*C163,
IF(E163="방어형",INDEX(몬스터계수[[#Data],[근력게수]],MATCH(E163,몬스터계수[[#Data],[타입]],0),1)*C163,
IF(E163="회피형",INDEX(몬스터계수[[#Data],[근력게수]],MATCH(E163,몬스터계수[[#Data],[타입]],0),1)*C163,
IF(E163="체력형",INDEX(몬스터계수[[#Data],[근력게수]],MATCH(E163,몬스터계수[[#Data],[타입]],0),1)*C163,0))))</f>
        <v>400.75</v>
      </c>
      <c r="I163">
        <f>IF(E163="공격형",INDEX(몬스터계수[[#Data],[숙련도계수]],MATCH(E163,몬스터계수[[#Data],[타입]],0),1)*C163,
IF(E163="방어형",INDEX(몬스터계수[[#Data],[숙련도계수]],MATCH(E163,몬스터계수[[#Data],[타입]],0),1)*C163,
IF(E163="회피형",INDEX(몬스터계수[[#Data],[숙련도계수]],MATCH(E163,몬스터계수[[#Data],[타입]],0),1)*C163,
IF(E163="체력형",INDEX(몬스터계수[[#Data],[숙련도계수]],MATCH(E163,몬스터계수[[#Data],[타입]],0),1)*C163,0))))</f>
        <v>1202.25</v>
      </c>
      <c r="J163">
        <f>IF(E163="공격형",INDEX(몬스터계수[[#Data],[행운계수]],MATCH(E163, 몬스터계수[[#Data],[타입]],0),1)*C163,
IF(E163="방어형",INDEX(몬스터계수[[#Data],[행운계수]],MATCH(E163, 몬스터계수[[#Data],[타입]],0),1)*C163,
IF(E163="회피형",INDEX(몬스터계수[[#Data],[행운계수]],MATCH(E163, 몬스터계수[[#Data],[타입]],0),1)*C163,
IF(E163="체력형",INDEX(몬스터계수[[#Data],[행운계수]],MATCH(E163, 몬스터계수[[#Data],[타입]],0),1)*C163,0))))</f>
        <v>400.75</v>
      </c>
      <c r="K163" s="34">
        <f>ROUND(
(($F163)*참고!$D$5)
+(($G163)*참고!$D$6)
+(($H163)*참고!$D$7)
+(($I163)*참고!$D$8)
+(($J163))*참고!$D$9,0)</f>
        <v>62317</v>
      </c>
      <c r="L163" s="34">
        <f>ROUND(
(($F163)*참고!$E$5)
+(($G163)*참고!$E$6)
+(($H163)*참고!$E$7)
+(($I163)*참고!$E$8)
+(($J163))*참고!$E$9,0)</f>
        <v>35667</v>
      </c>
      <c r="M163" s="34">
        <f>ROUND(
(($F163)*참고!$F$5)
+(($G163)*참고!$F$6)
+(($H163)*참고!$F$7)
+(($I163)*참고!$F$8)
+(($J163))*참고!$F$9,0)</f>
        <v>10019</v>
      </c>
      <c r="N163" s="34">
        <f>ROUND(
(($F163)*참고!$G$5)
+(($G163)*참고!$G$6)
+(($H163)*참고!$G$7)
+(($I163)*참고!$G$8)
+(($J163))*참고!$G$9,0)</f>
        <v>281</v>
      </c>
      <c r="O163" s="34">
        <f>ROUND(
(($F163)*참고!$H$5)
+(($G163)*참고!$H$6)
+(($H163)*참고!$H$7)
+(($I163)*참고!$H$8)
+(($J163))*참고!$H$9,0)</f>
        <v>6612</v>
      </c>
      <c r="P163" s="34">
        <f>ROUND(
(($F163)*참고!$I$5)
+(($G163)*참고!$I$6)
+(($H163)*참고!$I$7)
+(($I163)*참고!$I$8)
+(($J163))*참고!$I$9,0)</f>
        <v>11622</v>
      </c>
      <c r="Q163" s="34">
        <f>ROUND(
(($F163)*참고!$J$5)
+(($G163)*참고!$J$6)
+(($H163)*참고!$J$7)
+(($I163)*참고!$J$8)
+(($J163))*참고!$J$9,0)</f>
        <v>8015</v>
      </c>
      <c r="R163" s="34">
        <f>IF(E163="공격형",(INDEX(몬스터계수[[#Data],[속도]],MATCH(E163, 몬스터계수[[#Data],[타입]],0),1)*속도핸들러_곱계수)*(INT(몬스터밸런스[[#This Row],[Lv]]/속도핸들러_합계수+1)),
IF(E163="방어형",(INDEX(몬스터계수[[#Data],[속도]],MATCH(E163, 몬스터계수[[#Data],[타입]],0),1)*속도핸들러_곱계수)*(INT(몬스터밸런스[[#This Row],[Lv]]/속도핸들러_합계수+1)),
IF(E163="회피형",(INDEX(몬스터계수[[#Data],[속도]],MATCH(E163, 몬스터계수[[#Data],[타입]],0),1)*속도핸들러_곱계수)*(INT(몬스터밸런스[[#This Row],[Lv]]/속도핸들러_합계수+1)),
IF(E163="기본형",(INDEX(몬스터계수[[#Data],[속도]],MATCH(E163, 몬스터계수[[#Data],[타입]],0),1)*속도핸들러_곱계수)*(INT(몬스터밸런스[[#This Row],[Lv]]/속도핸들러_합계수+1)),0))))</f>
        <v>0</v>
      </c>
      <c r="S163">
        <f t="shared" si="7"/>
        <v>2139560</v>
      </c>
      <c r="U163">
        <v>3</v>
      </c>
      <c r="V163">
        <v>161</v>
      </c>
      <c r="W163">
        <f>$Z$1*몬스터밸런스9[[#This Row],[단계]]</f>
        <v>15</v>
      </c>
      <c r="X163" t="s">
        <v>63</v>
      </c>
      <c r="AE163" s="34"/>
      <c r="AF163" s="34"/>
      <c r="AG163" s="34">
        <f>몬스터밸런스[[#This Row],[Defense]]*0.3</f>
        <v>3005.7</v>
      </c>
      <c r="AH163" s="34"/>
      <c r="AI163" s="34"/>
      <c r="AJ163" s="34">
        <f>몬스터밸런스[[#This Row],[Accuracy]]*0.2</f>
        <v>2324.4</v>
      </c>
      <c r="AK163" s="34"/>
      <c r="AL163">
        <f t="shared" si="8"/>
        <v>73659.600000000006</v>
      </c>
    </row>
    <row r="164" spans="1:38">
      <c r="A164">
        <v>1610</v>
      </c>
      <c r="B164">
        <v>162</v>
      </c>
      <c r="C164">
        <f>$F$1*몬스터밸런스[[#This Row],[Lv]]+15</f>
        <v>8065</v>
      </c>
      <c r="E164" t="s">
        <v>479</v>
      </c>
      <c r="F164">
        <f>IF(E164="공격형",INDEX(몬스터계수[[#Data],[생명계수]],MATCH(E164,몬스터계수[[#Data],[타입]],0),1)*C164,
IF(E164="방어형",INDEX(몬스터계수[[#Data],[생명계수]],MATCH(E164,몬스터계수[[#Data],[타입]],0),1)*C164,
IF(E164="회피형",INDEX(몬스터계수[[#Data],[생명계수]],MATCH(E164,몬스터계수[[#Data],[타입]],0),1)*C164,
IF(E164="체력형",INDEX(몬스터계수[[#Data],[생명계수]],MATCH(E164,몬스터계수[[#Data],[타입]],0),1)*C164,0))))*IF(몬스터밸런스[[#This Row],[보스]]=TRUE,2,1)</f>
        <v>4032.5</v>
      </c>
      <c r="G164">
        <f>IF(E164="공격형",INDEX(몬스터계수[[#Data],[힘계수]],MATCH(E164, 몬스터계수[[#Data],[타입]],0),1)*C164,
IF(E164="방어형",INDEX(몬스터계수[[#Data],[힘계수]],MATCH(E164, 몬스터계수[[#Data],[타입]],0),1)*C164,
IF(E164="회피형",INDEX(몬스터계수[[#Data],[힘계수]],MATCH(E164, 몬스터계수[[#Data],[타입]],0),1)*C164,
IF(E164="체력형",INDEX(몬스터계수[[#Data],[힘계수]],MATCH(E164, 몬스터계수[[#Data],[타입]],0),1)*C164,0))))</f>
        <v>2016.25</v>
      </c>
      <c r="H164">
        <f>IF(E164="공격형",INDEX(몬스터계수[[#Data],[근력게수]],MATCH(E164,몬스터계수[[#Data],[타입]],0),1)*C164,
IF(E164="방어형",INDEX(몬스터계수[[#Data],[근력게수]],MATCH(E164,몬스터계수[[#Data],[타입]],0),1)*C164,
IF(E164="회피형",INDEX(몬스터계수[[#Data],[근력게수]],MATCH(E164,몬스터계수[[#Data],[타입]],0),1)*C164,
IF(E164="체력형",INDEX(몬스터계수[[#Data],[근력게수]],MATCH(E164,몬스터계수[[#Data],[타입]],0),1)*C164,0))))</f>
        <v>403.25</v>
      </c>
      <c r="I164">
        <f>IF(E164="공격형",INDEX(몬스터계수[[#Data],[숙련도계수]],MATCH(E164,몬스터계수[[#Data],[타입]],0),1)*C164,
IF(E164="방어형",INDEX(몬스터계수[[#Data],[숙련도계수]],MATCH(E164,몬스터계수[[#Data],[타입]],0),1)*C164,
IF(E164="회피형",INDEX(몬스터계수[[#Data],[숙련도계수]],MATCH(E164,몬스터계수[[#Data],[타입]],0),1)*C164,
IF(E164="체력형",INDEX(몬스터계수[[#Data],[숙련도계수]],MATCH(E164,몬스터계수[[#Data],[타입]],0),1)*C164,0))))</f>
        <v>1209.75</v>
      </c>
      <c r="J164">
        <f>IF(E164="공격형",INDEX(몬스터계수[[#Data],[행운계수]],MATCH(E164, 몬스터계수[[#Data],[타입]],0),1)*C164,
IF(E164="방어형",INDEX(몬스터계수[[#Data],[행운계수]],MATCH(E164, 몬스터계수[[#Data],[타입]],0),1)*C164,
IF(E164="회피형",INDEX(몬스터계수[[#Data],[행운계수]],MATCH(E164, 몬스터계수[[#Data],[타입]],0),1)*C164,
IF(E164="체력형",INDEX(몬스터계수[[#Data],[행운계수]],MATCH(E164, 몬스터계수[[#Data],[타입]],0),1)*C164,0))))</f>
        <v>403.25</v>
      </c>
      <c r="K164" s="34">
        <f>ROUND(
(($F164)*참고!$D$5)
+(($G164)*참고!$D$6)
+(($H164)*참고!$D$7)
+(($I164)*참고!$D$8)
+(($J164))*참고!$D$9,0)</f>
        <v>62705</v>
      </c>
      <c r="L164" s="34">
        <f>ROUND(
(($F164)*참고!$E$5)
+(($G164)*참고!$E$6)
+(($H164)*참고!$E$7)
+(($I164)*참고!$E$8)
+(($J164))*참고!$E$9,0)</f>
        <v>35889</v>
      </c>
      <c r="M164" s="34">
        <f>ROUND(
(($F164)*참고!$F$5)
+(($G164)*참고!$F$6)
+(($H164)*참고!$F$7)
+(($I164)*참고!$F$8)
+(($J164))*참고!$F$9,0)</f>
        <v>10081</v>
      </c>
      <c r="N164" s="34">
        <f>ROUND(
(($F164)*참고!$G$5)
+(($G164)*참고!$G$6)
+(($H164)*참고!$G$7)
+(($I164)*참고!$G$8)
+(($J164))*참고!$G$9,0)</f>
        <v>282</v>
      </c>
      <c r="O164" s="34">
        <f>ROUND(
(($F164)*참고!$H$5)
+(($G164)*참고!$H$6)
+(($H164)*참고!$H$7)
+(($I164)*참고!$H$8)
+(($J164))*참고!$H$9,0)</f>
        <v>6654</v>
      </c>
      <c r="P164" s="34">
        <f>ROUND(
(($F164)*참고!$I$5)
+(($G164)*참고!$I$6)
+(($H164)*참고!$I$7)
+(($I164)*참고!$I$8)
+(($J164))*참고!$I$9,0)</f>
        <v>11694</v>
      </c>
      <c r="Q164" s="34">
        <f>ROUND(
(($F164)*참고!$J$5)
+(($G164)*참고!$J$6)
+(($H164)*참고!$J$7)
+(($I164)*참고!$J$8)
+(($J164))*참고!$J$9,0)</f>
        <v>8065</v>
      </c>
      <c r="R164" s="34">
        <f>IF(E164="공격형",(INDEX(몬스터계수[[#Data],[속도]],MATCH(E164, 몬스터계수[[#Data],[타입]],0),1)*속도핸들러_곱계수)*(INT(몬스터밸런스[[#This Row],[Lv]]/속도핸들러_합계수+1)),
IF(E164="방어형",(INDEX(몬스터계수[[#Data],[속도]],MATCH(E164, 몬스터계수[[#Data],[타입]],0),1)*속도핸들러_곱계수)*(INT(몬스터밸런스[[#This Row],[Lv]]/속도핸들러_합계수+1)),
IF(E164="회피형",(INDEX(몬스터계수[[#Data],[속도]],MATCH(E164, 몬스터계수[[#Data],[타입]],0),1)*속도핸들러_곱계수)*(INT(몬스터밸런스[[#This Row],[Lv]]/속도핸들러_합계수+1)),
IF(E164="기본형",(INDEX(몬스터계수[[#Data],[속도]],MATCH(E164, 몬스터계수[[#Data],[타입]],0),1)*속도핸들러_곱계수)*(INT(몬스터밸런스[[#This Row],[Lv]]/속도핸들러_합계수+1)),0))))</f>
        <v>0</v>
      </c>
      <c r="S164">
        <f t="shared" si="7"/>
        <v>2152875.5</v>
      </c>
      <c r="U164">
        <v>3</v>
      </c>
      <c r="V164">
        <v>162</v>
      </c>
      <c r="W164">
        <f>$Z$1*몬스터밸런스9[[#This Row],[단계]]</f>
        <v>15</v>
      </c>
      <c r="X164" t="s">
        <v>63</v>
      </c>
      <c r="AE164" s="34"/>
      <c r="AF164" s="34"/>
      <c r="AG164" s="34">
        <f>몬스터밸런스[[#This Row],[Defense]]*0.3</f>
        <v>3024.2999999999997</v>
      </c>
      <c r="AH164" s="34"/>
      <c r="AI164" s="34"/>
      <c r="AJ164" s="34">
        <f>몬스터밸런스[[#This Row],[Accuracy]]*0.2</f>
        <v>2338.8000000000002</v>
      </c>
      <c r="AK164" s="34"/>
      <c r="AL164">
        <f t="shared" si="8"/>
        <v>74115.600000000006</v>
      </c>
    </row>
    <row r="165" spans="1:38">
      <c r="A165">
        <v>1620</v>
      </c>
      <c r="B165">
        <v>163</v>
      </c>
      <c r="C165">
        <f>$F$1*몬스터밸런스[[#This Row],[Lv]]+15</f>
        <v>8115</v>
      </c>
      <c r="E165" t="s">
        <v>479</v>
      </c>
      <c r="F165">
        <f>IF(E165="공격형",INDEX(몬스터계수[[#Data],[생명계수]],MATCH(E165,몬스터계수[[#Data],[타입]],0),1)*C165,
IF(E165="방어형",INDEX(몬스터계수[[#Data],[생명계수]],MATCH(E165,몬스터계수[[#Data],[타입]],0),1)*C165,
IF(E165="회피형",INDEX(몬스터계수[[#Data],[생명계수]],MATCH(E165,몬스터계수[[#Data],[타입]],0),1)*C165,
IF(E165="체력형",INDEX(몬스터계수[[#Data],[생명계수]],MATCH(E165,몬스터계수[[#Data],[타입]],0),1)*C165,0))))*IF(몬스터밸런스[[#This Row],[보스]]=TRUE,2,1)</f>
        <v>4057.5</v>
      </c>
      <c r="G165">
        <f>IF(E165="공격형",INDEX(몬스터계수[[#Data],[힘계수]],MATCH(E165, 몬스터계수[[#Data],[타입]],0),1)*C165,
IF(E165="방어형",INDEX(몬스터계수[[#Data],[힘계수]],MATCH(E165, 몬스터계수[[#Data],[타입]],0),1)*C165,
IF(E165="회피형",INDEX(몬스터계수[[#Data],[힘계수]],MATCH(E165, 몬스터계수[[#Data],[타입]],0),1)*C165,
IF(E165="체력형",INDEX(몬스터계수[[#Data],[힘계수]],MATCH(E165, 몬스터계수[[#Data],[타입]],0),1)*C165,0))))</f>
        <v>2028.75</v>
      </c>
      <c r="H165">
        <f>IF(E165="공격형",INDEX(몬스터계수[[#Data],[근력게수]],MATCH(E165,몬스터계수[[#Data],[타입]],0),1)*C165,
IF(E165="방어형",INDEX(몬스터계수[[#Data],[근력게수]],MATCH(E165,몬스터계수[[#Data],[타입]],0),1)*C165,
IF(E165="회피형",INDEX(몬스터계수[[#Data],[근력게수]],MATCH(E165,몬스터계수[[#Data],[타입]],0),1)*C165,
IF(E165="체력형",INDEX(몬스터계수[[#Data],[근력게수]],MATCH(E165,몬스터계수[[#Data],[타입]],0),1)*C165,0))))</f>
        <v>405.75</v>
      </c>
      <c r="I165">
        <f>IF(E165="공격형",INDEX(몬스터계수[[#Data],[숙련도계수]],MATCH(E165,몬스터계수[[#Data],[타입]],0),1)*C165,
IF(E165="방어형",INDEX(몬스터계수[[#Data],[숙련도계수]],MATCH(E165,몬스터계수[[#Data],[타입]],0),1)*C165,
IF(E165="회피형",INDEX(몬스터계수[[#Data],[숙련도계수]],MATCH(E165,몬스터계수[[#Data],[타입]],0),1)*C165,
IF(E165="체력형",INDEX(몬스터계수[[#Data],[숙련도계수]],MATCH(E165,몬스터계수[[#Data],[타입]],0),1)*C165,0))))</f>
        <v>1217.25</v>
      </c>
      <c r="J165">
        <f>IF(E165="공격형",INDEX(몬스터계수[[#Data],[행운계수]],MATCH(E165, 몬스터계수[[#Data],[타입]],0),1)*C165,
IF(E165="방어형",INDEX(몬스터계수[[#Data],[행운계수]],MATCH(E165, 몬스터계수[[#Data],[타입]],0),1)*C165,
IF(E165="회피형",INDEX(몬스터계수[[#Data],[행운계수]],MATCH(E165, 몬스터계수[[#Data],[타입]],0),1)*C165,
IF(E165="체력형",INDEX(몬스터계수[[#Data],[행운계수]],MATCH(E165, 몬스터계수[[#Data],[타입]],0),1)*C165,0))))</f>
        <v>405.75</v>
      </c>
      <c r="K165" s="34">
        <f>ROUND(
(($F165)*참고!$D$5)
+(($G165)*참고!$D$6)
+(($H165)*참고!$D$7)
+(($I165)*참고!$D$8)
+(($J165))*참고!$D$9,0)</f>
        <v>63094</v>
      </c>
      <c r="L165" s="34">
        <f>ROUND(
(($F165)*참고!$E$5)
+(($G165)*참고!$E$6)
+(($H165)*참고!$E$7)
+(($I165)*참고!$E$8)
+(($J165))*참고!$E$9,0)</f>
        <v>36112</v>
      </c>
      <c r="M165" s="34">
        <f>ROUND(
(($F165)*참고!$F$5)
+(($G165)*참고!$F$6)
+(($H165)*참고!$F$7)
+(($I165)*참고!$F$8)
+(($J165))*참고!$F$9,0)</f>
        <v>10144</v>
      </c>
      <c r="N165" s="34">
        <f>ROUND(
(($F165)*참고!$G$5)
+(($G165)*참고!$G$6)
+(($H165)*참고!$G$7)
+(($I165)*참고!$G$8)
+(($J165))*참고!$G$9,0)</f>
        <v>284</v>
      </c>
      <c r="O165" s="34">
        <f>ROUND(
(($F165)*참고!$H$5)
+(($G165)*참고!$H$6)
+(($H165)*참고!$H$7)
+(($I165)*참고!$H$8)
+(($J165))*참고!$H$9,0)</f>
        <v>6695</v>
      </c>
      <c r="P165" s="34">
        <f>ROUND(
(($F165)*참고!$I$5)
+(($G165)*참고!$I$6)
+(($H165)*참고!$I$7)
+(($I165)*참고!$I$8)
+(($J165))*참고!$I$9,0)</f>
        <v>11767</v>
      </c>
      <c r="Q165" s="34">
        <f>ROUND(
(($F165)*참고!$J$5)
+(($G165)*참고!$J$6)
+(($H165)*참고!$J$7)
+(($I165)*참고!$J$8)
+(($J165))*참고!$J$9,0)</f>
        <v>8115</v>
      </c>
      <c r="R165" s="34">
        <f>IF(E165="공격형",(INDEX(몬스터계수[[#Data],[속도]],MATCH(E165, 몬스터계수[[#Data],[타입]],0),1)*속도핸들러_곱계수)*(INT(몬스터밸런스[[#This Row],[Lv]]/속도핸들러_합계수+1)),
IF(E165="방어형",(INDEX(몬스터계수[[#Data],[속도]],MATCH(E165, 몬스터계수[[#Data],[타입]],0),1)*속도핸들러_곱계수)*(INT(몬스터밸런스[[#This Row],[Lv]]/속도핸들러_합계수+1)),
IF(E165="회피형",(INDEX(몬스터계수[[#Data],[속도]],MATCH(E165, 몬스터계수[[#Data],[타입]],0),1)*속도핸들러_곱계수)*(INT(몬스터밸런스[[#This Row],[Lv]]/속도핸들러_합계수+1)),
IF(E165="기본형",(INDEX(몬스터계수[[#Data],[속도]],MATCH(E165, 몬스터계수[[#Data],[타입]],0),1)*속도핸들러_곱계수)*(INT(몬스터밸런스[[#This Row],[Lv]]/속도핸들러_합계수+1)),0))))</f>
        <v>0</v>
      </c>
      <c r="S165">
        <f t="shared" si="7"/>
        <v>2166247.5</v>
      </c>
      <c r="U165">
        <v>3</v>
      </c>
      <c r="V165">
        <v>163</v>
      </c>
      <c r="W165">
        <f>$Z$1*몬스터밸런스9[[#This Row],[단계]]</f>
        <v>15</v>
      </c>
      <c r="X165" t="s">
        <v>63</v>
      </c>
      <c r="AE165" s="34"/>
      <c r="AF165" s="34"/>
      <c r="AG165" s="34">
        <f>몬스터밸런스[[#This Row],[Defense]]*0.3</f>
        <v>3043.2</v>
      </c>
      <c r="AH165" s="34"/>
      <c r="AI165" s="34"/>
      <c r="AJ165" s="34">
        <f>몬스터밸런스[[#This Row],[Accuracy]]*0.2</f>
        <v>2353.4</v>
      </c>
      <c r="AK165" s="34"/>
      <c r="AL165">
        <f t="shared" si="8"/>
        <v>74578.600000000006</v>
      </c>
    </row>
    <row r="166" spans="1:38">
      <c r="A166">
        <v>1630</v>
      </c>
      <c r="B166">
        <v>164</v>
      </c>
      <c r="C166">
        <f>$F$1*몬스터밸런스[[#This Row],[Lv]]+15</f>
        <v>8165</v>
      </c>
      <c r="E166" t="s">
        <v>479</v>
      </c>
      <c r="F166">
        <f>IF(E166="공격형",INDEX(몬스터계수[[#Data],[생명계수]],MATCH(E166,몬스터계수[[#Data],[타입]],0),1)*C166,
IF(E166="방어형",INDEX(몬스터계수[[#Data],[생명계수]],MATCH(E166,몬스터계수[[#Data],[타입]],0),1)*C166,
IF(E166="회피형",INDEX(몬스터계수[[#Data],[생명계수]],MATCH(E166,몬스터계수[[#Data],[타입]],0),1)*C166,
IF(E166="체력형",INDEX(몬스터계수[[#Data],[생명계수]],MATCH(E166,몬스터계수[[#Data],[타입]],0),1)*C166,0))))*IF(몬스터밸런스[[#This Row],[보스]]=TRUE,2,1)</f>
        <v>4082.5</v>
      </c>
      <c r="G166">
        <f>IF(E166="공격형",INDEX(몬스터계수[[#Data],[힘계수]],MATCH(E166, 몬스터계수[[#Data],[타입]],0),1)*C166,
IF(E166="방어형",INDEX(몬스터계수[[#Data],[힘계수]],MATCH(E166, 몬스터계수[[#Data],[타입]],0),1)*C166,
IF(E166="회피형",INDEX(몬스터계수[[#Data],[힘계수]],MATCH(E166, 몬스터계수[[#Data],[타입]],0),1)*C166,
IF(E166="체력형",INDEX(몬스터계수[[#Data],[힘계수]],MATCH(E166, 몬스터계수[[#Data],[타입]],0),1)*C166,0))))</f>
        <v>2041.25</v>
      </c>
      <c r="H166">
        <f>IF(E166="공격형",INDEX(몬스터계수[[#Data],[근력게수]],MATCH(E166,몬스터계수[[#Data],[타입]],0),1)*C166,
IF(E166="방어형",INDEX(몬스터계수[[#Data],[근력게수]],MATCH(E166,몬스터계수[[#Data],[타입]],0),1)*C166,
IF(E166="회피형",INDEX(몬스터계수[[#Data],[근력게수]],MATCH(E166,몬스터계수[[#Data],[타입]],0),1)*C166,
IF(E166="체력형",INDEX(몬스터계수[[#Data],[근력게수]],MATCH(E166,몬스터계수[[#Data],[타입]],0),1)*C166,0))))</f>
        <v>408.25</v>
      </c>
      <c r="I166">
        <f>IF(E166="공격형",INDEX(몬스터계수[[#Data],[숙련도계수]],MATCH(E166,몬스터계수[[#Data],[타입]],0),1)*C166,
IF(E166="방어형",INDEX(몬스터계수[[#Data],[숙련도계수]],MATCH(E166,몬스터계수[[#Data],[타입]],0),1)*C166,
IF(E166="회피형",INDEX(몬스터계수[[#Data],[숙련도계수]],MATCH(E166,몬스터계수[[#Data],[타입]],0),1)*C166,
IF(E166="체력형",INDEX(몬스터계수[[#Data],[숙련도계수]],MATCH(E166,몬스터계수[[#Data],[타입]],0),1)*C166,0))))</f>
        <v>1224.75</v>
      </c>
      <c r="J166">
        <f>IF(E166="공격형",INDEX(몬스터계수[[#Data],[행운계수]],MATCH(E166, 몬스터계수[[#Data],[타입]],0),1)*C166,
IF(E166="방어형",INDEX(몬스터계수[[#Data],[행운계수]],MATCH(E166, 몬스터계수[[#Data],[타입]],0),1)*C166,
IF(E166="회피형",INDEX(몬스터계수[[#Data],[행운계수]],MATCH(E166, 몬스터계수[[#Data],[타입]],0),1)*C166,
IF(E166="체력형",INDEX(몬스터계수[[#Data],[행운계수]],MATCH(E166, 몬스터계수[[#Data],[타입]],0),1)*C166,0))))</f>
        <v>408.25</v>
      </c>
      <c r="K166" s="34">
        <f>ROUND(
(($F166)*참고!$D$5)
+(($G166)*참고!$D$6)
+(($H166)*참고!$D$7)
+(($I166)*참고!$D$8)
+(($J166))*참고!$D$9,0)</f>
        <v>63483</v>
      </c>
      <c r="L166" s="34">
        <f>ROUND(
(($F166)*참고!$E$5)
+(($G166)*참고!$E$6)
+(($H166)*참고!$E$7)
+(($I166)*참고!$E$8)
+(($J166))*참고!$E$9,0)</f>
        <v>36334</v>
      </c>
      <c r="M166" s="34">
        <f>ROUND(
(($F166)*참고!$F$5)
+(($G166)*참고!$F$6)
+(($H166)*참고!$F$7)
+(($I166)*참고!$F$8)
+(($J166))*참고!$F$9,0)</f>
        <v>10206</v>
      </c>
      <c r="N166" s="34">
        <f>ROUND(
(($F166)*참고!$G$5)
+(($G166)*참고!$G$6)
+(($H166)*참고!$G$7)
+(($I166)*참고!$G$8)
+(($J166))*참고!$G$9,0)</f>
        <v>286</v>
      </c>
      <c r="O166" s="34">
        <f>ROUND(
(($F166)*참고!$H$5)
+(($G166)*참고!$H$6)
+(($H166)*참고!$H$7)
+(($I166)*참고!$H$8)
+(($J166))*참고!$H$9,0)</f>
        <v>6736</v>
      </c>
      <c r="P166" s="34">
        <f>ROUND(
(($F166)*참고!$I$5)
+(($G166)*참고!$I$6)
+(($H166)*참고!$I$7)
+(($I166)*참고!$I$8)
+(($J166))*참고!$I$9,0)</f>
        <v>11839</v>
      </c>
      <c r="Q166" s="34">
        <f>ROUND(
(($F166)*참고!$J$5)
+(($G166)*참고!$J$6)
+(($H166)*참고!$J$7)
+(($I166)*참고!$J$8)
+(($J166))*참고!$J$9,0)</f>
        <v>8165</v>
      </c>
      <c r="R166" s="34">
        <f>IF(E166="공격형",(INDEX(몬스터계수[[#Data],[속도]],MATCH(E166, 몬스터계수[[#Data],[타입]],0),1)*속도핸들러_곱계수)*(INT(몬스터밸런스[[#This Row],[Lv]]/속도핸들러_합계수+1)),
IF(E166="방어형",(INDEX(몬스터계수[[#Data],[속도]],MATCH(E166, 몬스터계수[[#Data],[타입]],0),1)*속도핸들러_곱계수)*(INT(몬스터밸런스[[#This Row],[Lv]]/속도핸들러_합계수+1)),
IF(E166="회피형",(INDEX(몬스터계수[[#Data],[속도]],MATCH(E166, 몬스터계수[[#Data],[타입]],0),1)*속도핸들러_곱계수)*(INT(몬스터밸런스[[#This Row],[Lv]]/속도핸들러_합계수+1)),
IF(E166="기본형",(INDEX(몬스터계수[[#Data],[속도]],MATCH(E166, 몬스터계수[[#Data],[타입]],0),1)*속도핸들러_곱계수)*(INT(몬스터밸런스[[#This Row],[Lv]]/속도핸들러_합계수+1)),0))))</f>
        <v>0</v>
      </c>
      <c r="S166">
        <f t="shared" si="7"/>
        <v>2179576.5</v>
      </c>
      <c r="U166">
        <v>3</v>
      </c>
      <c r="V166">
        <v>164</v>
      </c>
      <c r="W166">
        <f>$Z$1*몬스터밸런스9[[#This Row],[단계]]</f>
        <v>15</v>
      </c>
      <c r="X166" t="s">
        <v>63</v>
      </c>
      <c r="AE166" s="34"/>
      <c r="AF166" s="34"/>
      <c r="AG166" s="34">
        <f>몬스터밸런스[[#This Row],[Defense]]*0.3</f>
        <v>3061.7999999999997</v>
      </c>
      <c r="AH166" s="34"/>
      <c r="AI166" s="34"/>
      <c r="AJ166" s="34">
        <f>몬스터밸런스[[#This Row],[Accuracy]]*0.2</f>
        <v>2367.8000000000002</v>
      </c>
      <c r="AK166" s="34"/>
      <c r="AL166">
        <f t="shared" si="8"/>
        <v>75034.600000000006</v>
      </c>
    </row>
    <row r="167" spans="1:38">
      <c r="A167">
        <v>1640</v>
      </c>
      <c r="B167">
        <v>165</v>
      </c>
      <c r="C167">
        <f>$F$1*몬스터밸런스[[#This Row],[Lv]]+15</f>
        <v>8215</v>
      </c>
      <c r="E167" t="s">
        <v>479</v>
      </c>
      <c r="F167">
        <f>IF(E167="공격형",INDEX(몬스터계수[[#Data],[생명계수]],MATCH(E167,몬스터계수[[#Data],[타입]],0),1)*C167,
IF(E167="방어형",INDEX(몬스터계수[[#Data],[생명계수]],MATCH(E167,몬스터계수[[#Data],[타입]],0),1)*C167,
IF(E167="회피형",INDEX(몬스터계수[[#Data],[생명계수]],MATCH(E167,몬스터계수[[#Data],[타입]],0),1)*C167,
IF(E167="체력형",INDEX(몬스터계수[[#Data],[생명계수]],MATCH(E167,몬스터계수[[#Data],[타입]],0),1)*C167,0))))*IF(몬스터밸런스[[#This Row],[보스]]=TRUE,2,1)</f>
        <v>4107.5</v>
      </c>
      <c r="G167">
        <f>IF(E167="공격형",INDEX(몬스터계수[[#Data],[힘계수]],MATCH(E167, 몬스터계수[[#Data],[타입]],0),1)*C167,
IF(E167="방어형",INDEX(몬스터계수[[#Data],[힘계수]],MATCH(E167, 몬스터계수[[#Data],[타입]],0),1)*C167,
IF(E167="회피형",INDEX(몬스터계수[[#Data],[힘계수]],MATCH(E167, 몬스터계수[[#Data],[타입]],0),1)*C167,
IF(E167="체력형",INDEX(몬스터계수[[#Data],[힘계수]],MATCH(E167, 몬스터계수[[#Data],[타입]],0),1)*C167,0))))</f>
        <v>2053.75</v>
      </c>
      <c r="H167">
        <f>IF(E167="공격형",INDEX(몬스터계수[[#Data],[근력게수]],MATCH(E167,몬스터계수[[#Data],[타입]],0),1)*C167,
IF(E167="방어형",INDEX(몬스터계수[[#Data],[근력게수]],MATCH(E167,몬스터계수[[#Data],[타입]],0),1)*C167,
IF(E167="회피형",INDEX(몬스터계수[[#Data],[근력게수]],MATCH(E167,몬스터계수[[#Data],[타입]],0),1)*C167,
IF(E167="체력형",INDEX(몬스터계수[[#Data],[근력게수]],MATCH(E167,몬스터계수[[#Data],[타입]],0),1)*C167,0))))</f>
        <v>410.75</v>
      </c>
      <c r="I167">
        <f>IF(E167="공격형",INDEX(몬스터계수[[#Data],[숙련도계수]],MATCH(E167,몬스터계수[[#Data],[타입]],0),1)*C167,
IF(E167="방어형",INDEX(몬스터계수[[#Data],[숙련도계수]],MATCH(E167,몬스터계수[[#Data],[타입]],0),1)*C167,
IF(E167="회피형",INDEX(몬스터계수[[#Data],[숙련도계수]],MATCH(E167,몬스터계수[[#Data],[타입]],0),1)*C167,
IF(E167="체력형",INDEX(몬스터계수[[#Data],[숙련도계수]],MATCH(E167,몬스터계수[[#Data],[타입]],0),1)*C167,0))))</f>
        <v>1232.25</v>
      </c>
      <c r="J167">
        <f>IF(E167="공격형",INDEX(몬스터계수[[#Data],[행운계수]],MATCH(E167, 몬스터계수[[#Data],[타입]],0),1)*C167,
IF(E167="방어형",INDEX(몬스터계수[[#Data],[행운계수]],MATCH(E167, 몬스터계수[[#Data],[타입]],0),1)*C167,
IF(E167="회피형",INDEX(몬스터계수[[#Data],[행운계수]],MATCH(E167, 몬스터계수[[#Data],[타입]],0),1)*C167,
IF(E167="체력형",INDEX(몬스터계수[[#Data],[행운계수]],MATCH(E167, 몬스터계수[[#Data],[타입]],0),1)*C167,0))))</f>
        <v>410.75</v>
      </c>
      <c r="K167" s="34">
        <f>ROUND(
(($F167)*참고!$D$5)
+(($G167)*참고!$D$6)
+(($H167)*참고!$D$7)
+(($I167)*참고!$D$8)
+(($J167))*참고!$D$9,0)</f>
        <v>63872</v>
      </c>
      <c r="L167" s="34">
        <f>ROUND(
(($F167)*참고!$E$5)
+(($G167)*참고!$E$6)
+(($H167)*참고!$E$7)
+(($I167)*참고!$E$8)
+(($J167))*참고!$E$9,0)</f>
        <v>36557</v>
      </c>
      <c r="M167" s="34">
        <f>ROUND(
(($F167)*참고!$F$5)
+(($G167)*참고!$F$6)
+(($H167)*참고!$F$7)
+(($I167)*참고!$F$8)
+(($J167))*참고!$F$9,0)</f>
        <v>10269</v>
      </c>
      <c r="N167" s="34">
        <f>ROUND(
(($F167)*참고!$G$5)
+(($G167)*참고!$G$6)
+(($H167)*참고!$G$7)
+(($I167)*참고!$G$8)
+(($J167))*참고!$G$9,0)</f>
        <v>288</v>
      </c>
      <c r="O167" s="34">
        <f>ROUND(
(($F167)*참고!$H$5)
+(($G167)*참고!$H$6)
+(($H167)*참고!$H$7)
+(($I167)*참고!$H$8)
+(($J167))*참고!$H$9,0)</f>
        <v>6777</v>
      </c>
      <c r="P167" s="34">
        <f>ROUND(
(($F167)*참고!$I$5)
+(($G167)*참고!$I$6)
+(($H167)*참고!$I$7)
+(($I167)*참고!$I$8)
+(($J167))*참고!$I$9,0)</f>
        <v>11912</v>
      </c>
      <c r="Q167" s="34">
        <f>ROUND(
(($F167)*참고!$J$5)
+(($G167)*참고!$J$6)
+(($H167)*참고!$J$7)
+(($I167)*참고!$J$8)
+(($J167))*참고!$J$9,0)</f>
        <v>8215</v>
      </c>
      <c r="R167" s="34">
        <f>IF(E167="공격형",(INDEX(몬스터계수[[#Data],[속도]],MATCH(E167, 몬스터계수[[#Data],[타입]],0),1)*속도핸들러_곱계수)*(INT(몬스터밸런스[[#This Row],[Lv]]/속도핸들러_합계수+1)),
IF(E167="방어형",(INDEX(몬스터계수[[#Data],[속도]],MATCH(E167, 몬스터계수[[#Data],[타입]],0),1)*속도핸들러_곱계수)*(INT(몬스터밸런스[[#This Row],[Lv]]/속도핸들러_합계수+1)),
IF(E167="회피형",(INDEX(몬스터계수[[#Data],[속도]],MATCH(E167, 몬스터계수[[#Data],[타입]],0),1)*속도핸들러_곱계수)*(INT(몬스터밸런스[[#This Row],[Lv]]/속도핸들러_합계수+1)),
IF(E167="기본형",(INDEX(몬스터계수[[#Data],[속도]],MATCH(E167, 몬스터계수[[#Data],[타입]],0),1)*속도핸들러_곱계수)*(INT(몬스터밸런스[[#This Row],[Lv]]/속도핸들러_합계수+1)),0))))</f>
        <v>0</v>
      </c>
      <c r="S167">
        <f t="shared" si="7"/>
        <v>2192948.5</v>
      </c>
      <c r="U167">
        <v>3</v>
      </c>
      <c r="V167">
        <v>165</v>
      </c>
      <c r="W167">
        <f>$Z$1*몬스터밸런스9[[#This Row],[단계]]</f>
        <v>15</v>
      </c>
      <c r="X167" t="s">
        <v>63</v>
      </c>
      <c r="AE167" s="34"/>
      <c r="AF167" s="34"/>
      <c r="AG167" s="34">
        <f>몬스터밸런스[[#This Row],[Defense]]*0.3</f>
        <v>3080.7</v>
      </c>
      <c r="AH167" s="34"/>
      <c r="AI167" s="34"/>
      <c r="AJ167" s="34">
        <f>몬스터밸런스[[#This Row],[Accuracy]]*0.2</f>
        <v>2382.4</v>
      </c>
      <c r="AK167" s="34"/>
      <c r="AL167">
        <f t="shared" si="8"/>
        <v>75497.600000000006</v>
      </c>
    </row>
    <row r="168" spans="1:38">
      <c r="A168">
        <v>1650</v>
      </c>
      <c r="B168">
        <v>166</v>
      </c>
      <c r="C168">
        <f>$F$1*몬스터밸런스[[#This Row],[Lv]]+15</f>
        <v>8265</v>
      </c>
      <c r="E168" t="s">
        <v>479</v>
      </c>
      <c r="F168">
        <f>IF(E168="공격형",INDEX(몬스터계수[[#Data],[생명계수]],MATCH(E168,몬스터계수[[#Data],[타입]],0),1)*C168,
IF(E168="방어형",INDEX(몬스터계수[[#Data],[생명계수]],MATCH(E168,몬스터계수[[#Data],[타입]],0),1)*C168,
IF(E168="회피형",INDEX(몬스터계수[[#Data],[생명계수]],MATCH(E168,몬스터계수[[#Data],[타입]],0),1)*C168,
IF(E168="체력형",INDEX(몬스터계수[[#Data],[생명계수]],MATCH(E168,몬스터계수[[#Data],[타입]],0),1)*C168,0))))*IF(몬스터밸런스[[#This Row],[보스]]=TRUE,2,1)</f>
        <v>4132.5</v>
      </c>
      <c r="G168">
        <f>IF(E168="공격형",INDEX(몬스터계수[[#Data],[힘계수]],MATCH(E168, 몬스터계수[[#Data],[타입]],0),1)*C168,
IF(E168="방어형",INDEX(몬스터계수[[#Data],[힘계수]],MATCH(E168, 몬스터계수[[#Data],[타입]],0),1)*C168,
IF(E168="회피형",INDEX(몬스터계수[[#Data],[힘계수]],MATCH(E168, 몬스터계수[[#Data],[타입]],0),1)*C168,
IF(E168="체력형",INDEX(몬스터계수[[#Data],[힘계수]],MATCH(E168, 몬스터계수[[#Data],[타입]],0),1)*C168,0))))</f>
        <v>2066.25</v>
      </c>
      <c r="H168">
        <f>IF(E168="공격형",INDEX(몬스터계수[[#Data],[근력게수]],MATCH(E168,몬스터계수[[#Data],[타입]],0),1)*C168,
IF(E168="방어형",INDEX(몬스터계수[[#Data],[근력게수]],MATCH(E168,몬스터계수[[#Data],[타입]],0),1)*C168,
IF(E168="회피형",INDEX(몬스터계수[[#Data],[근력게수]],MATCH(E168,몬스터계수[[#Data],[타입]],0),1)*C168,
IF(E168="체력형",INDEX(몬스터계수[[#Data],[근력게수]],MATCH(E168,몬스터계수[[#Data],[타입]],0),1)*C168,0))))</f>
        <v>413.25</v>
      </c>
      <c r="I168">
        <f>IF(E168="공격형",INDEX(몬스터계수[[#Data],[숙련도계수]],MATCH(E168,몬스터계수[[#Data],[타입]],0),1)*C168,
IF(E168="방어형",INDEX(몬스터계수[[#Data],[숙련도계수]],MATCH(E168,몬스터계수[[#Data],[타입]],0),1)*C168,
IF(E168="회피형",INDEX(몬스터계수[[#Data],[숙련도계수]],MATCH(E168,몬스터계수[[#Data],[타입]],0),1)*C168,
IF(E168="체력형",INDEX(몬스터계수[[#Data],[숙련도계수]],MATCH(E168,몬스터계수[[#Data],[타입]],0),1)*C168,0))))</f>
        <v>1239.75</v>
      </c>
      <c r="J168">
        <f>IF(E168="공격형",INDEX(몬스터계수[[#Data],[행운계수]],MATCH(E168, 몬스터계수[[#Data],[타입]],0),1)*C168,
IF(E168="방어형",INDEX(몬스터계수[[#Data],[행운계수]],MATCH(E168, 몬스터계수[[#Data],[타입]],0),1)*C168,
IF(E168="회피형",INDEX(몬스터계수[[#Data],[행운계수]],MATCH(E168, 몬스터계수[[#Data],[타입]],0),1)*C168,
IF(E168="체력형",INDEX(몬스터계수[[#Data],[행운계수]],MATCH(E168, 몬스터계수[[#Data],[타입]],0),1)*C168,0))))</f>
        <v>413.25</v>
      </c>
      <c r="K168" s="34">
        <f>ROUND(
(($F168)*참고!$D$5)
+(($G168)*참고!$D$6)
+(($H168)*참고!$D$7)
+(($I168)*참고!$D$8)
+(($J168))*참고!$D$9,0)</f>
        <v>64260</v>
      </c>
      <c r="L168" s="34">
        <f>ROUND(
(($F168)*참고!$E$5)
+(($G168)*참고!$E$6)
+(($H168)*참고!$E$7)
+(($I168)*참고!$E$8)
+(($J168))*참고!$E$9,0)</f>
        <v>36779</v>
      </c>
      <c r="M168" s="34">
        <f>ROUND(
(($F168)*참고!$F$5)
+(($G168)*참고!$F$6)
+(($H168)*참고!$F$7)
+(($I168)*참고!$F$8)
+(($J168))*참고!$F$9,0)</f>
        <v>10331</v>
      </c>
      <c r="N168" s="34">
        <f>ROUND(
(($F168)*참고!$G$5)
+(($G168)*참고!$G$6)
+(($H168)*참고!$G$7)
+(($I168)*참고!$G$8)
+(($J168))*참고!$G$9,0)</f>
        <v>289</v>
      </c>
      <c r="O168" s="34">
        <f>ROUND(
(($F168)*참고!$H$5)
+(($G168)*참고!$H$6)
+(($H168)*참고!$H$7)
+(($I168)*참고!$H$8)
+(($J168))*참고!$H$9,0)</f>
        <v>6819</v>
      </c>
      <c r="P168" s="34">
        <f>ROUND(
(($F168)*참고!$I$5)
+(($G168)*참고!$I$6)
+(($H168)*참고!$I$7)
+(($I168)*참고!$I$8)
+(($J168))*참고!$I$9,0)</f>
        <v>11984</v>
      </c>
      <c r="Q168" s="34">
        <f>ROUND(
(($F168)*참고!$J$5)
+(($G168)*참고!$J$6)
+(($H168)*참고!$J$7)
+(($I168)*참고!$J$8)
+(($J168))*참고!$J$9,0)</f>
        <v>8265</v>
      </c>
      <c r="R168" s="34">
        <f>IF(E168="공격형",(INDEX(몬스터계수[[#Data],[속도]],MATCH(E168, 몬스터계수[[#Data],[타입]],0),1)*속도핸들러_곱계수)*(INT(몬스터밸런스[[#This Row],[Lv]]/속도핸들러_합계수+1)),
IF(E168="방어형",(INDEX(몬스터계수[[#Data],[속도]],MATCH(E168, 몬스터계수[[#Data],[타입]],0),1)*속도핸들러_곱계수)*(INT(몬스터밸런스[[#This Row],[Lv]]/속도핸들러_합계수+1)),
IF(E168="회피형",(INDEX(몬스터계수[[#Data],[속도]],MATCH(E168, 몬스터계수[[#Data],[타입]],0),1)*속도핸들러_곱계수)*(INT(몬스터밸런스[[#This Row],[Lv]]/속도핸들러_합계수+1)),
IF(E168="기본형",(INDEX(몬스터계수[[#Data],[속도]],MATCH(E168, 몬스터계수[[#Data],[타입]],0),1)*속도핸들러_곱계수)*(INT(몬스터밸런스[[#This Row],[Lv]]/속도핸들러_합계수+1)),0))))</f>
        <v>0</v>
      </c>
      <c r="S168">
        <f t="shared" si="7"/>
        <v>2206264</v>
      </c>
      <c r="U168">
        <v>4</v>
      </c>
      <c r="V168">
        <v>166</v>
      </c>
      <c r="W168">
        <f>$Z$1*몬스터밸런스9[[#This Row],[단계]]</f>
        <v>20</v>
      </c>
      <c r="X168" t="s">
        <v>63</v>
      </c>
      <c r="AE168" s="34"/>
      <c r="AF168" s="34"/>
      <c r="AG168" s="34">
        <f>몬스터밸런스[[#This Row],[Defense]]*0.3</f>
        <v>3099.2999999999997</v>
      </c>
      <c r="AH168" s="34"/>
      <c r="AI168" s="34"/>
      <c r="AJ168" s="34">
        <f>몬스터밸런스[[#This Row],[Accuracy]]*0.2</f>
        <v>2396.8000000000002</v>
      </c>
      <c r="AK168" s="34"/>
      <c r="AL168">
        <f t="shared" si="8"/>
        <v>75953.600000000006</v>
      </c>
    </row>
    <row r="169" spans="1:38">
      <c r="A169">
        <v>1660</v>
      </c>
      <c r="B169">
        <v>167</v>
      </c>
      <c r="C169">
        <f>$F$1*몬스터밸런스[[#This Row],[Lv]]+15</f>
        <v>8315</v>
      </c>
      <c r="E169" t="s">
        <v>479</v>
      </c>
      <c r="F169">
        <f>IF(E169="공격형",INDEX(몬스터계수[[#Data],[생명계수]],MATCH(E169,몬스터계수[[#Data],[타입]],0),1)*C169,
IF(E169="방어형",INDEX(몬스터계수[[#Data],[생명계수]],MATCH(E169,몬스터계수[[#Data],[타입]],0),1)*C169,
IF(E169="회피형",INDEX(몬스터계수[[#Data],[생명계수]],MATCH(E169,몬스터계수[[#Data],[타입]],0),1)*C169,
IF(E169="체력형",INDEX(몬스터계수[[#Data],[생명계수]],MATCH(E169,몬스터계수[[#Data],[타입]],0),1)*C169,0))))*IF(몬스터밸런스[[#This Row],[보스]]=TRUE,2,1)</f>
        <v>4157.5</v>
      </c>
      <c r="G169">
        <f>IF(E169="공격형",INDEX(몬스터계수[[#Data],[힘계수]],MATCH(E169, 몬스터계수[[#Data],[타입]],0),1)*C169,
IF(E169="방어형",INDEX(몬스터계수[[#Data],[힘계수]],MATCH(E169, 몬스터계수[[#Data],[타입]],0),1)*C169,
IF(E169="회피형",INDEX(몬스터계수[[#Data],[힘계수]],MATCH(E169, 몬스터계수[[#Data],[타입]],0),1)*C169,
IF(E169="체력형",INDEX(몬스터계수[[#Data],[힘계수]],MATCH(E169, 몬스터계수[[#Data],[타입]],0),1)*C169,0))))</f>
        <v>2078.75</v>
      </c>
      <c r="H169">
        <f>IF(E169="공격형",INDEX(몬스터계수[[#Data],[근력게수]],MATCH(E169,몬스터계수[[#Data],[타입]],0),1)*C169,
IF(E169="방어형",INDEX(몬스터계수[[#Data],[근력게수]],MATCH(E169,몬스터계수[[#Data],[타입]],0),1)*C169,
IF(E169="회피형",INDEX(몬스터계수[[#Data],[근력게수]],MATCH(E169,몬스터계수[[#Data],[타입]],0),1)*C169,
IF(E169="체력형",INDEX(몬스터계수[[#Data],[근력게수]],MATCH(E169,몬스터계수[[#Data],[타입]],0),1)*C169,0))))</f>
        <v>415.75</v>
      </c>
      <c r="I169">
        <f>IF(E169="공격형",INDEX(몬스터계수[[#Data],[숙련도계수]],MATCH(E169,몬스터계수[[#Data],[타입]],0),1)*C169,
IF(E169="방어형",INDEX(몬스터계수[[#Data],[숙련도계수]],MATCH(E169,몬스터계수[[#Data],[타입]],0),1)*C169,
IF(E169="회피형",INDEX(몬스터계수[[#Data],[숙련도계수]],MATCH(E169,몬스터계수[[#Data],[타입]],0),1)*C169,
IF(E169="체력형",INDEX(몬스터계수[[#Data],[숙련도계수]],MATCH(E169,몬스터계수[[#Data],[타입]],0),1)*C169,0))))</f>
        <v>1247.25</v>
      </c>
      <c r="J169">
        <f>IF(E169="공격형",INDEX(몬스터계수[[#Data],[행운계수]],MATCH(E169, 몬스터계수[[#Data],[타입]],0),1)*C169,
IF(E169="방어형",INDEX(몬스터계수[[#Data],[행운계수]],MATCH(E169, 몬스터계수[[#Data],[타입]],0),1)*C169,
IF(E169="회피형",INDEX(몬스터계수[[#Data],[행운계수]],MATCH(E169, 몬스터계수[[#Data],[타입]],0),1)*C169,
IF(E169="체력형",INDEX(몬스터계수[[#Data],[행운계수]],MATCH(E169, 몬스터계수[[#Data],[타입]],0),1)*C169,0))))</f>
        <v>415.75</v>
      </c>
      <c r="K169" s="34">
        <f>ROUND(
(($F169)*참고!$D$5)
+(($G169)*참고!$D$6)
+(($H169)*참고!$D$7)
+(($I169)*참고!$D$8)
+(($J169))*참고!$D$9,0)</f>
        <v>64649</v>
      </c>
      <c r="L169" s="34">
        <f>ROUND(
(($F169)*참고!$E$5)
+(($G169)*참고!$E$6)
+(($H169)*참고!$E$7)
+(($I169)*참고!$E$8)
+(($J169))*참고!$E$9,0)</f>
        <v>37002</v>
      </c>
      <c r="M169" s="34">
        <f>ROUND(
(($F169)*참고!$F$5)
+(($G169)*참고!$F$6)
+(($H169)*참고!$F$7)
+(($I169)*참고!$F$8)
+(($J169))*참고!$F$9,0)</f>
        <v>10394</v>
      </c>
      <c r="N169" s="34">
        <f>ROUND(
(($F169)*참고!$G$5)
+(($G169)*참고!$G$6)
+(($H169)*참고!$G$7)
+(($I169)*참고!$G$8)
+(($J169))*참고!$G$9,0)</f>
        <v>291</v>
      </c>
      <c r="O169" s="34">
        <f>ROUND(
(($F169)*참고!$H$5)
+(($G169)*참고!$H$6)
+(($H169)*참고!$H$7)
+(($I169)*참고!$H$8)
+(($J169))*참고!$H$9,0)</f>
        <v>6860</v>
      </c>
      <c r="P169" s="34">
        <f>ROUND(
(($F169)*참고!$I$5)
+(($G169)*참고!$I$6)
+(($H169)*참고!$I$7)
+(($I169)*참고!$I$8)
+(($J169))*참고!$I$9,0)</f>
        <v>12057</v>
      </c>
      <c r="Q169" s="34">
        <f>ROUND(
(($F169)*참고!$J$5)
+(($G169)*참고!$J$6)
+(($H169)*참고!$J$7)
+(($I169)*참고!$J$8)
+(($J169))*참고!$J$9,0)</f>
        <v>8315</v>
      </c>
      <c r="R169" s="34">
        <f>IF(E169="공격형",(INDEX(몬스터계수[[#Data],[속도]],MATCH(E169, 몬스터계수[[#Data],[타입]],0),1)*속도핸들러_곱계수)*(INT(몬스터밸런스[[#This Row],[Lv]]/속도핸들러_합계수+1)),
IF(E169="방어형",(INDEX(몬스터계수[[#Data],[속도]],MATCH(E169, 몬스터계수[[#Data],[타입]],0),1)*속도핸들러_곱계수)*(INT(몬스터밸런스[[#This Row],[Lv]]/속도핸들러_합계수+1)),
IF(E169="회피형",(INDEX(몬스터계수[[#Data],[속도]],MATCH(E169, 몬스터계수[[#Data],[타입]],0),1)*속도핸들러_곱계수)*(INT(몬스터밸런스[[#This Row],[Lv]]/속도핸들러_합계수+1)),
IF(E169="기본형",(INDEX(몬스터계수[[#Data],[속도]],MATCH(E169, 몬스터계수[[#Data],[타입]],0),1)*속도핸들러_곱계수)*(INT(몬스터밸런스[[#This Row],[Lv]]/속도핸들러_합계수+1)),0))))</f>
        <v>0</v>
      </c>
      <c r="S169">
        <f t="shared" si="7"/>
        <v>2219636</v>
      </c>
      <c r="U169">
        <v>4</v>
      </c>
      <c r="V169">
        <v>167</v>
      </c>
      <c r="W169">
        <f>$Z$1*몬스터밸런스9[[#This Row],[단계]]</f>
        <v>20</v>
      </c>
      <c r="X169" t="s">
        <v>63</v>
      </c>
      <c r="AE169" s="34"/>
      <c r="AF169" s="34"/>
      <c r="AG169" s="34">
        <f>몬스터밸런스[[#This Row],[Defense]]*0.3</f>
        <v>3118.2</v>
      </c>
      <c r="AH169" s="34"/>
      <c r="AI169" s="34"/>
      <c r="AJ169" s="34">
        <f>몬스터밸런스[[#This Row],[Accuracy]]*0.2</f>
        <v>2411.4</v>
      </c>
      <c r="AK169" s="34"/>
      <c r="AL169">
        <f t="shared" si="8"/>
        <v>76416.600000000006</v>
      </c>
    </row>
    <row r="170" spans="1:38">
      <c r="A170">
        <v>1670</v>
      </c>
      <c r="B170">
        <v>168</v>
      </c>
      <c r="C170">
        <f>$F$1*몬스터밸런스[[#This Row],[Lv]]+15</f>
        <v>8365</v>
      </c>
      <c r="E170" t="s">
        <v>479</v>
      </c>
      <c r="F170">
        <f>IF(E170="공격형",INDEX(몬스터계수[[#Data],[생명계수]],MATCH(E170,몬스터계수[[#Data],[타입]],0),1)*C170,
IF(E170="방어형",INDEX(몬스터계수[[#Data],[생명계수]],MATCH(E170,몬스터계수[[#Data],[타입]],0),1)*C170,
IF(E170="회피형",INDEX(몬스터계수[[#Data],[생명계수]],MATCH(E170,몬스터계수[[#Data],[타입]],0),1)*C170,
IF(E170="체력형",INDEX(몬스터계수[[#Data],[생명계수]],MATCH(E170,몬스터계수[[#Data],[타입]],0),1)*C170,0))))*IF(몬스터밸런스[[#This Row],[보스]]=TRUE,2,1)</f>
        <v>4182.5</v>
      </c>
      <c r="G170">
        <f>IF(E170="공격형",INDEX(몬스터계수[[#Data],[힘계수]],MATCH(E170, 몬스터계수[[#Data],[타입]],0),1)*C170,
IF(E170="방어형",INDEX(몬스터계수[[#Data],[힘계수]],MATCH(E170, 몬스터계수[[#Data],[타입]],0),1)*C170,
IF(E170="회피형",INDEX(몬스터계수[[#Data],[힘계수]],MATCH(E170, 몬스터계수[[#Data],[타입]],0),1)*C170,
IF(E170="체력형",INDEX(몬스터계수[[#Data],[힘계수]],MATCH(E170, 몬스터계수[[#Data],[타입]],0),1)*C170,0))))</f>
        <v>2091.25</v>
      </c>
      <c r="H170">
        <f>IF(E170="공격형",INDEX(몬스터계수[[#Data],[근력게수]],MATCH(E170,몬스터계수[[#Data],[타입]],0),1)*C170,
IF(E170="방어형",INDEX(몬스터계수[[#Data],[근력게수]],MATCH(E170,몬스터계수[[#Data],[타입]],0),1)*C170,
IF(E170="회피형",INDEX(몬스터계수[[#Data],[근력게수]],MATCH(E170,몬스터계수[[#Data],[타입]],0),1)*C170,
IF(E170="체력형",INDEX(몬스터계수[[#Data],[근력게수]],MATCH(E170,몬스터계수[[#Data],[타입]],0),1)*C170,0))))</f>
        <v>418.25</v>
      </c>
      <c r="I170">
        <f>IF(E170="공격형",INDEX(몬스터계수[[#Data],[숙련도계수]],MATCH(E170,몬스터계수[[#Data],[타입]],0),1)*C170,
IF(E170="방어형",INDEX(몬스터계수[[#Data],[숙련도계수]],MATCH(E170,몬스터계수[[#Data],[타입]],0),1)*C170,
IF(E170="회피형",INDEX(몬스터계수[[#Data],[숙련도계수]],MATCH(E170,몬스터계수[[#Data],[타입]],0),1)*C170,
IF(E170="체력형",INDEX(몬스터계수[[#Data],[숙련도계수]],MATCH(E170,몬스터계수[[#Data],[타입]],0),1)*C170,0))))</f>
        <v>1254.75</v>
      </c>
      <c r="J170">
        <f>IF(E170="공격형",INDEX(몬스터계수[[#Data],[행운계수]],MATCH(E170, 몬스터계수[[#Data],[타입]],0),1)*C170,
IF(E170="방어형",INDEX(몬스터계수[[#Data],[행운계수]],MATCH(E170, 몬스터계수[[#Data],[타입]],0),1)*C170,
IF(E170="회피형",INDEX(몬스터계수[[#Data],[행운계수]],MATCH(E170, 몬스터계수[[#Data],[타입]],0),1)*C170,
IF(E170="체력형",INDEX(몬스터계수[[#Data],[행운계수]],MATCH(E170, 몬스터계수[[#Data],[타입]],0),1)*C170,0))))</f>
        <v>418.25</v>
      </c>
      <c r="K170" s="34">
        <f>ROUND(
(($F170)*참고!$D$5)
+(($G170)*참고!$D$6)
+(($H170)*참고!$D$7)
+(($I170)*참고!$D$8)
+(($J170))*참고!$D$9,0)</f>
        <v>65038</v>
      </c>
      <c r="L170" s="34">
        <f>ROUND(
(($F170)*참고!$E$5)
+(($G170)*참고!$E$6)
+(($H170)*참고!$E$7)
+(($I170)*참고!$E$8)
+(($J170))*참고!$E$9,0)</f>
        <v>37224</v>
      </c>
      <c r="M170" s="34">
        <f>ROUND(
(($F170)*참고!$F$5)
+(($G170)*참고!$F$6)
+(($H170)*참고!$F$7)
+(($I170)*참고!$F$8)
+(($J170))*참고!$F$9,0)</f>
        <v>10456</v>
      </c>
      <c r="N170" s="34">
        <f>ROUND(
(($F170)*참고!$G$5)
+(($G170)*참고!$G$6)
+(($H170)*참고!$G$7)
+(($I170)*참고!$G$8)
+(($J170))*참고!$G$9,0)</f>
        <v>293</v>
      </c>
      <c r="O170" s="34">
        <f>ROUND(
(($F170)*참고!$H$5)
+(($G170)*참고!$H$6)
+(($H170)*참고!$H$7)
+(($I170)*참고!$H$8)
+(($J170))*참고!$H$9,0)</f>
        <v>6901</v>
      </c>
      <c r="P170" s="34">
        <f>ROUND(
(($F170)*참고!$I$5)
+(($G170)*참고!$I$6)
+(($H170)*참고!$I$7)
+(($I170)*참고!$I$8)
+(($J170))*참고!$I$9,0)</f>
        <v>12129</v>
      </c>
      <c r="Q170" s="34">
        <f>ROUND(
(($F170)*참고!$J$5)
+(($G170)*참고!$J$6)
+(($H170)*참고!$J$7)
+(($I170)*참고!$J$8)
+(($J170))*참고!$J$9,0)</f>
        <v>8365</v>
      </c>
      <c r="R170" s="34">
        <f>IF(E170="공격형",(INDEX(몬스터계수[[#Data],[속도]],MATCH(E170, 몬스터계수[[#Data],[타입]],0),1)*속도핸들러_곱계수)*(INT(몬스터밸런스[[#This Row],[Lv]]/속도핸들러_합계수+1)),
IF(E170="방어형",(INDEX(몬스터계수[[#Data],[속도]],MATCH(E170, 몬스터계수[[#Data],[타입]],0),1)*속도핸들러_곱계수)*(INT(몬스터밸런스[[#This Row],[Lv]]/속도핸들러_합계수+1)),
IF(E170="회피형",(INDEX(몬스터계수[[#Data],[속도]],MATCH(E170, 몬스터계수[[#Data],[타입]],0),1)*속도핸들러_곱계수)*(INT(몬스터밸런스[[#This Row],[Lv]]/속도핸들러_합계수+1)),
IF(E170="기본형",(INDEX(몬스터계수[[#Data],[속도]],MATCH(E170, 몬스터계수[[#Data],[타입]],0),1)*속도핸들러_곱계수)*(INT(몬스터밸런스[[#This Row],[Lv]]/속도핸들러_합계수+1)),0))))</f>
        <v>0</v>
      </c>
      <c r="S170">
        <f t="shared" si="7"/>
        <v>2232965</v>
      </c>
      <c r="U170">
        <v>4</v>
      </c>
      <c r="V170">
        <v>168</v>
      </c>
      <c r="W170">
        <f>$Z$1*몬스터밸런스9[[#This Row],[단계]]</f>
        <v>20</v>
      </c>
      <c r="X170" t="s">
        <v>63</v>
      </c>
      <c r="AE170" s="34"/>
      <c r="AF170" s="34"/>
      <c r="AG170" s="34">
        <f>몬스터밸런스[[#This Row],[Defense]]*0.3</f>
        <v>3136.7999999999997</v>
      </c>
      <c r="AH170" s="34"/>
      <c r="AI170" s="34"/>
      <c r="AJ170" s="34">
        <f>몬스터밸런스[[#This Row],[Accuracy]]*0.2</f>
        <v>2425.8000000000002</v>
      </c>
      <c r="AK170" s="34"/>
      <c r="AL170">
        <f t="shared" si="8"/>
        <v>76872.600000000006</v>
      </c>
    </row>
    <row r="171" spans="1:38">
      <c r="A171">
        <v>1680</v>
      </c>
      <c r="B171">
        <v>169</v>
      </c>
      <c r="C171">
        <f>$F$1*몬스터밸런스[[#This Row],[Lv]]+15</f>
        <v>8415</v>
      </c>
      <c r="E171" t="s">
        <v>479</v>
      </c>
      <c r="F171">
        <f>IF(E171="공격형",INDEX(몬스터계수[[#Data],[생명계수]],MATCH(E171,몬스터계수[[#Data],[타입]],0),1)*C171,
IF(E171="방어형",INDEX(몬스터계수[[#Data],[생명계수]],MATCH(E171,몬스터계수[[#Data],[타입]],0),1)*C171,
IF(E171="회피형",INDEX(몬스터계수[[#Data],[생명계수]],MATCH(E171,몬스터계수[[#Data],[타입]],0),1)*C171,
IF(E171="체력형",INDEX(몬스터계수[[#Data],[생명계수]],MATCH(E171,몬스터계수[[#Data],[타입]],0),1)*C171,0))))*IF(몬스터밸런스[[#This Row],[보스]]=TRUE,2,1)</f>
        <v>4207.5</v>
      </c>
      <c r="G171">
        <f>IF(E171="공격형",INDEX(몬스터계수[[#Data],[힘계수]],MATCH(E171, 몬스터계수[[#Data],[타입]],0),1)*C171,
IF(E171="방어형",INDEX(몬스터계수[[#Data],[힘계수]],MATCH(E171, 몬스터계수[[#Data],[타입]],0),1)*C171,
IF(E171="회피형",INDEX(몬스터계수[[#Data],[힘계수]],MATCH(E171, 몬스터계수[[#Data],[타입]],0),1)*C171,
IF(E171="체력형",INDEX(몬스터계수[[#Data],[힘계수]],MATCH(E171, 몬스터계수[[#Data],[타입]],0),1)*C171,0))))</f>
        <v>2103.75</v>
      </c>
      <c r="H171">
        <f>IF(E171="공격형",INDEX(몬스터계수[[#Data],[근력게수]],MATCH(E171,몬스터계수[[#Data],[타입]],0),1)*C171,
IF(E171="방어형",INDEX(몬스터계수[[#Data],[근력게수]],MATCH(E171,몬스터계수[[#Data],[타입]],0),1)*C171,
IF(E171="회피형",INDEX(몬스터계수[[#Data],[근력게수]],MATCH(E171,몬스터계수[[#Data],[타입]],0),1)*C171,
IF(E171="체력형",INDEX(몬스터계수[[#Data],[근력게수]],MATCH(E171,몬스터계수[[#Data],[타입]],0),1)*C171,0))))</f>
        <v>420.75</v>
      </c>
      <c r="I171">
        <f>IF(E171="공격형",INDEX(몬스터계수[[#Data],[숙련도계수]],MATCH(E171,몬스터계수[[#Data],[타입]],0),1)*C171,
IF(E171="방어형",INDEX(몬스터계수[[#Data],[숙련도계수]],MATCH(E171,몬스터계수[[#Data],[타입]],0),1)*C171,
IF(E171="회피형",INDEX(몬스터계수[[#Data],[숙련도계수]],MATCH(E171,몬스터계수[[#Data],[타입]],0),1)*C171,
IF(E171="체력형",INDEX(몬스터계수[[#Data],[숙련도계수]],MATCH(E171,몬스터계수[[#Data],[타입]],0),1)*C171,0))))</f>
        <v>1262.25</v>
      </c>
      <c r="J171">
        <f>IF(E171="공격형",INDEX(몬스터계수[[#Data],[행운계수]],MATCH(E171, 몬스터계수[[#Data],[타입]],0),1)*C171,
IF(E171="방어형",INDEX(몬스터계수[[#Data],[행운계수]],MATCH(E171, 몬스터계수[[#Data],[타입]],0),1)*C171,
IF(E171="회피형",INDEX(몬스터계수[[#Data],[행운계수]],MATCH(E171, 몬스터계수[[#Data],[타입]],0),1)*C171,
IF(E171="체력형",INDEX(몬스터계수[[#Data],[행운계수]],MATCH(E171, 몬스터계수[[#Data],[타입]],0),1)*C171,0))))</f>
        <v>420.75</v>
      </c>
      <c r="K171" s="34">
        <f>ROUND(
(($F171)*참고!$D$5)
+(($G171)*참고!$D$6)
+(($H171)*참고!$D$7)
+(($I171)*참고!$D$8)
+(($J171))*참고!$D$9,0)</f>
        <v>65427</v>
      </c>
      <c r="L171" s="34">
        <f>ROUND(
(($F171)*참고!$E$5)
+(($G171)*참고!$E$6)
+(($H171)*참고!$E$7)
+(($I171)*참고!$E$8)
+(($J171))*참고!$E$9,0)</f>
        <v>37447</v>
      </c>
      <c r="M171" s="34">
        <f>ROUND(
(($F171)*참고!$F$5)
+(($G171)*참고!$F$6)
+(($H171)*참고!$F$7)
+(($I171)*참고!$F$8)
+(($J171))*참고!$F$9,0)</f>
        <v>10519</v>
      </c>
      <c r="N171" s="34">
        <f>ROUND(
(($F171)*참고!$G$5)
+(($G171)*참고!$G$6)
+(($H171)*참고!$G$7)
+(($I171)*참고!$G$8)
+(($J171))*참고!$G$9,0)</f>
        <v>295</v>
      </c>
      <c r="O171" s="34">
        <f>ROUND(
(($F171)*참고!$H$5)
+(($G171)*참고!$H$6)
+(($H171)*참고!$H$7)
+(($I171)*참고!$H$8)
+(($J171))*참고!$H$9,0)</f>
        <v>6942</v>
      </c>
      <c r="P171" s="34">
        <f>ROUND(
(($F171)*참고!$I$5)
+(($G171)*참고!$I$6)
+(($H171)*참고!$I$7)
+(($I171)*참고!$I$8)
+(($J171))*참고!$I$9,0)</f>
        <v>12202</v>
      </c>
      <c r="Q171" s="34">
        <f>ROUND(
(($F171)*참고!$J$5)
+(($G171)*참고!$J$6)
+(($H171)*참고!$J$7)
+(($I171)*참고!$J$8)
+(($J171))*참고!$J$9,0)</f>
        <v>8415</v>
      </c>
      <c r="R171" s="34">
        <f>IF(E171="공격형",(INDEX(몬스터계수[[#Data],[속도]],MATCH(E171, 몬스터계수[[#Data],[타입]],0),1)*속도핸들러_곱계수)*(INT(몬스터밸런스[[#This Row],[Lv]]/속도핸들러_합계수+1)),
IF(E171="방어형",(INDEX(몬스터계수[[#Data],[속도]],MATCH(E171, 몬스터계수[[#Data],[타입]],0),1)*속도핸들러_곱계수)*(INT(몬스터밸런스[[#This Row],[Lv]]/속도핸들러_합계수+1)),
IF(E171="회피형",(INDEX(몬스터계수[[#Data],[속도]],MATCH(E171, 몬스터계수[[#Data],[타입]],0),1)*속도핸들러_곱계수)*(INT(몬스터밸런스[[#This Row],[Lv]]/속도핸들러_합계수+1)),
IF(E171="기본형",(INDEX(몬스터계수[[#Data],[속도]],MATCH(E171, 몬스터계수[[#Data],[타입]],0),1)*속도핸들러_곱계수)*(INT(몬스터밸런스[[#This Row],[Lv]]/속도핸들러_합계수+1)),0))))</f>
        <v>0</v>
      </c>
      <c r="S171">
        <f t="shared" si="7"/>
        <v>2246337</v>
      </c>
      <c r="U171">
        <v>4</v>
      </c>
      <c r="V171">
        <v>169</v>
      </c>
      <c r="W171">
        <f>$Z$1*몬스터밸런스9[[#This Row],[단계]]</f>
        <v>20</v>
      </c>
      <c r="X171" t="s">
        <v>63</v>
      </c>
      <c r="AE171" s="34"/>
      <c r="AF171" s="34"/>
      <c r="AG171" s="34">
        <f>몬스터밸런스[[#This Row],[Defense]]*0.3</f>
        <v>3155.7</v>
      </c>
      <c r="AH171" s="34"/>
      <c r="AI171" s="34"/>
      <c r="AJ171" s="34">
        <f>몬스터밸런스[[#This Row],[Accuracy]]*0.2</f>
        <v>2440.4</v>
      </c>
      <c r="AK171" s="34"/>
      <c r="AL171">
        <f t="shared" si="8"/>
        <v>77335.600000000006</v>
      </c>
    </row>
    <row r="172" spans="1:38">
      <c r="A172">
        <v>1690</v>
      </c>
      <c r="B172">
        <v>170</v>
      </c>
      <c r="C172">
        <f>$F$1*몬스터밸런스[[#This Row],[Lv]]+15</f>
        <v>8465</v>
      </c>
      <c r="E172" t="s">
        <v>479</v>
      </c>
      <c r="F172">
        <f>IF(E172="공격형",INDEX(몬스터계수[[#Data],[생명계수]],MATCH(E172,몬스터계수[[#Data],[타입]],0),1)*C172,
IF(E172="방어형",INDEX(몬스터계수[[#Data],[생명계수]],MATCH(E172,몬스터계수[[#Data],[타입]],0),1)*C172,
IF(E172="회피형",INDEX(몬스터계수[[#Data],[생명계수]],MATCH(E172,몬스터계수[[#Data],[타입]],0),1)*C172,
IF(E172="체력형",INDEX(몬스터계수[[#Data],[생명계수]],MATCH(E172,몬스터계수[[#Data],[타입]],0),1)*C172,0))))*IF(몬스터밸런스[[#This Row],[보스]]=TRUE,2,1)</f>
        <v>4232.5</v>
      </c>
      <c r="G172">
        <f>IF(E172="공격형",INDEX(몬스터계수[[#Data],[힘계수]],MATCH(E172, 몬스터계수[[#Data],[타입]],0),1)*C172,
IF(E172="방어형",INDEX(몬스터계수[[#Data],[힘계수]],MATCH(E172, 몬스터계수[[#Data],[타입]],0),1)*C172,
IF(E172="회피형",INDEX(몬스터계수[[#Data],[힘계수]],MATCH(E172, 몬스터계수[[#Data],[타입]],0),1)*C172,
IF(E172="체력형",INDEX(몬스터계수[[#Data],[힘계수]],MATCH(E172, 몬스터계수[[#Data],[타입]],0),1)*C172,0))))</f>
        <v>2116.25</v>
      </c>
      <c r="H172">
        <f>IF(E172="공격형",INDEX(몬스터계수[[#Data],[근력게수]],MATCH(E172,몬스터계수[[#Data],[타입]],0),1)*C172,
IF(E172="방어형",INDEX(몬스터계수[[#Data],[근력게수]],MATCH(E172,몬스터계수[[#Data],[타입]],0),1)*C172,
IF(E172="회피형",INDEX(몬스터계수[[#Data],[근력게수]],MATCH(E172,몬스터계수[[#Data],[타입]],0),1)*C172,
IF(E172="체력형",INDEX(몬스터계수[[#Data],[근력게수]],MATCH(E172,몬스터계수[[#Data],[타입]],0),1)*C172,0))))</f>
        <v>423.25</v>
      </c>
      <c r="I172">
        <f>IF(E172="공격형",INDEX(몬스터계수[[#Data],[숙련도계수]],MATCH(E172,몬스터계수[[#Data],[타입]],0),1)*C172,
IF(E172="방어형",INDEX(몬스터계수[[#Data],[숙련도계수]],MATCH(E172,몬스터계수[[#Data],[타입]],0),1)*C172,
IF(E172="회피형",INDEX(몬스터계수[[#Data],[숙련도계수]],MATCH(E172,몬스터계수[[#Data],[타입]],0),1)*C172,
IF(E172="체력형",INDEX(몬스터계수[[#Data],[숙련도계수]],MATCH(E172,몬스터계수[[#Data],[타입]],0),1)*C172,0))))</f>
        <v>1269.75</v>
      </c>
      <c r="J172">
        <f>IF(E172="공격형",INDEX(몬스터계수[[#Data],[행운계수]],MATCH(E172, 몬스터계수[[#Data],[타입]],0),1)*C172,
IF(E172="방어형",INDEX(몬스터계수[[#Data],[행운계수]],MATCH(E172, 몬스터계수[[#Data],[타입]],0),1)*C172,
IF(E172="회피형",INDEX(몬스터계수[[#Data],[행운계수]],MATCH(E172, 몬스터계수[[#Data],[타입]],0),1)*C172,
IF(E172="체력형",INDEX(몬스터계수[[#Data],[행운계수]],MATCH(E172, 몬스터계수[[#Data],[타입]],0),1)*C172,0))))</f>
        <v>423.25</v>
      </c>
      <c r="K172" s="34">
        <f>ROUND(
(($F172)*참고!$D$5)
+(($G172)*참고!$D$6)
+(($H172)*참고!$D$7)
+(($I172)*참고!$D$8)
+(($J172))*참고!$D$9,0)</f>
        <v>65815</v>
      </c>
      <c r="L172" s="34">
        <f>ROUND(
(($F172)*참고!$E$5)
+(($G172)*참고!$E$6)
+(($H172)*참고!$E$7)
+(($I172)*참고!$E$8)
+(($J172))*참고!$E$9,0)</f>
        <v>37669</v>
      </c>
      <c r="M172" s="34">
        <f>ROUND(
(($F172)*참고!$F$5)
+(($G172)*참고!$F$6)
+(($H172)*참고!$F$7)
+(($I172)*참고!$F$8)
+(($J172))*참고!$F$9,0)</f>
        <v>10581</v>
      </c>
      <c r="N172" s="34">
        <f>ROUND(
(($F172)*참고!$G$5)
+(($G172)*참고!$G$6)
+(($H172)*참고!$G$7)
+(($I172)*참고!$G$8)
+(($J172))*참고!$G$9,0)</f>
        <v>296</v>
      </c>
      <c r="O172" s="34">
        <f>ROUND(
(($F172)*참고!$H$5)
+(($G172)*참고!$H$6)
+(($H172)*참고!$H$7)
+(($I172)*참고!$H$8)
+(($J172))*참고!$H$9,0)</f>
        <v>6984</v>
      </c>
      <c r="P172" s="34">
        <f>ROUND(
(($F172)*참고!$I$5)
+(($G172)*참고!$I$6)
+(($H172)*참고!$I$7)
+(($I172)*참고!$I$8)
+(($J172))*참고!$I$9,0)</f>
        <v>12274</v>
      </c>
      <c r="Q172" s="34">
        <f>ROUND(
(($F172)*참고!$J$5)
+(($G172)*참고!$J$6)
+(($H172)*참고!$J$7)
+(($I172)*참고!$J$8)
+(($J172))*참고!$J$9,0)</f>
        <v>8465</v>
      </c>
      <c r="R172" s="34">
        <f>IF(E172="공격형",(INDEX(몬스터계수[[#Data],[속도]],MATCH(E172, 몬스터계수[[#Data],[타입]],0),1)*속도핸들러_곱계수)*(INT(몬스터밸런스[[#This Row],[Lv]]/속도핸들러_합계수+1)),
IF(E172="방어형",(INDEX(몬스터계수[[#Data],[속도]],MATCH(E172, 몬스터계수[[#Data],[타입]],0),1)*속도핸들러_곱계수)*(INT(몬스터밸런스[[#This Row],[Lv]]/속도핸들러_합계수+1)),
IF(E172="회피형",(INDEX(몬스터계수[[#Data],[속도]],MATCH(E172, 몬스터계수[[#Data],[타입]],0),1)*속도핸들러_곱계수)*(INT(몬스터밸런스[[#This Row],[Lv]]/속도핸들러_합계수+1)),
IF(E172="기본형",(INDEX(몬스터계수[[#Data],[속도]],MATCH(E172, 몬스터계수[[#Data],[타입]],0),1)*속도핸들러_곱계수)*(INT(몬스터밸런스[[#This Row],[Lv]]/속도핸들러_합계수+1)),0))))</f>
        <v>0</v>
      </c>
      <c r="S172">
        <f t="shared" si="7"/>
        <v>2259652.5</v>
      </c>
      <c r="U172">
        <v>4</v>
      </c>
      <c r="V172">
        <v>170</v>
      </c>
      <c r="W172">
        <f>$Z$1*몬스터밸런스9[[#This Row],[단계]]</f>
        <v>20</v>
      </c>
      <c r="X172" t="s">
        <v>63</v>
      </c>
      <c r="AE172" s="34"/>
      <c r="AF172" s="34"/>
      <c r="AG172" s="34">
        <f>몬스터밸런스[[#This Row],[Defense]]*0.3</f>
        <v>3174.2999999999997</v>
      </c>
      <c r="AH172" s="34"/>
      <c r="AI172" s="34"/>
      <c r="AJ172" s="34">
        <f>몬스터밸런스[[#This Row],[Accuracy]]*0.2</f>
        <v>2454.8000000000002</v>
      </c>
      <c r="AK172" s="34"/>
      <c r="AL172">
        <f t="shared" si="8"/>
        <v>77791.600000000006</v>
      </c>
    </row>
    <row r="173" spans="1:38">
      <c r="A173">
        <v>1700</v>
      </c>
      <c r="B173">
        <v>171</v>
      </c>
      <c r="C173">
        <f>$F$1*몬스터밸런스[[#This Row],[Lv]]+15</f>
        <v>8515</v>
      </c>
      <c r="E173" t="s">
        <v>479</v>
      </c>
      <c r="F173">
        <f>IF(E173="공격형",INDEX(몬스터계수[[#Data],[생명계수]],MATCH(E173,몬스터계수[[#Data],[타입]],0),1)*C173,
IF(E173="방어형",INDEX(몬스터계수[[#Data],[생명계수]],MATCH(E173,몬스터계수[[#Data],[타입]],0),1)*C173,
IF(E173="회피형",INDEX(몬스터계수[[#Data],[생명계수]],MATCH(E173,몬스터계수[[#Data],[타입]],0),1)*C173,
IF(E173="체력형",INDEX(몬스터계수[[#Data],[생명계수]],MATCH(E173,몬스터계수[[#Data],[타입]],0),1)*C173,0))))*IF(몬스터밸런스[[#This Row],[보스]]=TRUE,2,1)</f>
        <v>4257.5</v>
      </c>
      <c r="G173">
        <f>IF(E173="공격형",INDEX(몬스터계수[[#Data],[힘계수]],MATCH(E173, 몬스터계수[[#Data],[타입]],0),1)*C173,
IF(E173="방어형",INDEX(몬스터계수[[#Data],[힘계수]],MATCH(E173, 몬스터계수[[#Data],[타입]],0),1)*C173,
IF(E173="회피형",INDEX(몬스터계수[[#Data],[힘계수]],MATCH(E173, 몬스터계수[[#Data],[타입]],0),1)*C173,
IF(E173="체력형",INDEX(몬스터계수[[#Data],[힘계수]],MATCH(E173, 몬스터계수[[#Data],[타입]],0),1)*C173,0))))</f>
        <v>2128.75</v>
      </c>
      <c r="H173">
        <f>IF(E173="공격형",INDEX(몬스터계수[[#Data],[근력게수]],MATCH(E173,몬스터계수[[#Data],[타입]],0),1)*C173,
IF(E173="방어형",INDEX(몬스터계수[[#Data],[근력게수]],MATCH(E173,몬스터계수[[#Data],[타입]],0),1)*C173,
IF(E173="회피형",INDEX(몬스터계수[[#Data],[근력게수]],MATCH(E173,몬스터계수[[#Data],[타입]],0),1)*C173,
IF(E173="체력형",INDEX(몬스터계수[[#Data],[근력게수]],MATCH(E173,몬스터계수[[#Data],[타입]],0),1)*C173,0))))</f>
        <v>425.75</v>
      </c>
      <c r="I173">
        <f>IF(E173="공격형",INDEX(몬스터계수[[#Data],[숙련도계수]],MATCH(E173,몬스터계수[[#Data],[타입]],0),1)*C173,
IF(E173="방어형",INDEX(몬스터계수[[#Data],[숙련도계수]],MATCH(E173,몬스터계수[[#Data],[타입]],0),1)*C173,
IF(E173="회피형",INDEX(몬스터계수[[#Data],[숙련도계수]],MATCH(E173,몬스터계수[[#Data],[타입]],0),1)*C173,
IF(E173="체력형",INDEX(몬스터계수[[#Data],[숙련도계수]],MATCH(E173,몬스터계수[[#Data],[타입]],0),1)*C173,0))))</f>
        <v>1277.25</v>
      </c>
      <c r="J173">
        <f>IF(E173="공격형",INDEX(몬스터계수[[#Data],[행운계수]],MATCH(E173, 몬스터계수[[#Data],[타입]],0),1)*C173,
IF(E173="방어형",INDEX(몬스터계수[[#Data],[행운계수]],MATCH(E173, 몬스터계수[[#Data],[타입]],0),1)*C173,
IF(E173="회피형",INDEX(몬스터계수[[#Data],[행운계수]],MATCH(E173, 몬스터계수[[#Data],[타입]],0),1)*C173,
IF(E173="체력형",INDEX(몬스터계수[[#Data],[행운계수]],MATCH(E173, 몬스터계수[[#Data],[타입]],0),1)*C173,0))))</f>
        <v>425.75</v>
      </c>
      <c r="K173" s="34">
        <f>ROUND(
(($F173)*참고!$D$5)
+(($G173)*참고!$D$6)
+(($H173)*참고!$D$7)
+(($I173)*참고!$D$8)
+(($J173))*참고!$D$9,0)</f>
        <v>66204</v>
      </c>
      <c r="L173" s="34">
        <f>ROUND(
(($F173)*참고!$E$5)
+(($G173)*참고!$E$6)
+(($H173)*참고!$E$7)
+(($I173)*참고!$E$8)
+(($J173))*참고!$E$9,0)</f>
        <v>37892</v>
      </c>
      <c r="M173" s="34">
        <f>ROUND(
(($F173)*참고!$F$5)
+(($G173)*참고!$F$6)
+(($H173)*참고!$F$7)
+(($I173)*참고!$F$8)
+(($J173))*참고!$F$9,0)</f>
        <v>10644</v>
      </c>
      <c r="N173" s="34">
        <f>ROUND(
(($F173)*참고!$G$5)
+(($G173)*참고!$G$6)
+(($H173)*참고!$G$7)
+(($I173)*참고!$G$8)
+(($J173))*참고!$G$9,0)</f>
        <v>298</v>
      </c>
      <c r="O173" s="34">
        <f>ROUND(
(($F173)*참고!$H$5)
+(($G173)*참고!$H$6)
+(($H173)*참고!$H$7)
+(($I173)*참고!$H$8)
+(($J173))*참고!$H$9,0)</f>
        <v>7025</v>
      </c>
      <c r="P173" s="34">
        <f>ROUND(
(($F173)*참고!$I$5)
+(($G173)*참고!$I$6)
+(($H173)*참고!$I$7)
+(($I173)*참고!$I$8)
+(($J173))*참고!$I$9,0)</f>
        <v>12347</v>
      </c>
      <c r="Q173" s="34">
        <f>ROUND(
(($F173)*참고!$J$5)
+(($G173)*참고!$J$6)
+(($H173)*참고!$J$7)
+(($I173)*참고!$J$8)
+(($J173))*참고!$J$9,0)</f>
        <v>8515</v>
      </c>
      <c r="R173" s="34">
        <f>IF(E173="공격형",(INDEX(몬스터계수[[#Data],[속도]],MATCH(E173, 몬스터계수[[#Data],[타입]],0),1)*속도핸들러_곱계수)*(INT(몬스터밸런스[[#This Row],[Lv]]/속도핸들러_합계수+1)),
IF(E173="방어형",(INDEX(몬스터계수[[#Data],[속도]],MATCH(E173, 몬스터계수[[#Data],[타입]],0),1)*속도핸들러_곱계수)*(INT(몬스터밸런스[[#This Row],[Lv]]/속도핸들러_합계수+1)),
IF(E173="회피형",(INDEX(몬스터계수[[#Data],[속도]],MATCH(E173, 몬스터계수[[#Data],[타입]],0),1)*속도핸들러_곱계수)*(INT(몬스터밸런스[[#This Row],[Lv]]/속도핸들러_합계수+1)),
IF(E173="기본형",(INDEX(몬스터계수[[#Data],[속도]],MATCH(E173, 몬스터계수[[#Data],[타입]],0),1)*속도핸들러_곱계수)*(INT(몬스터밸런스[[#This Row],[Lv]]/속도핸들러_합계수+1)),0))))</f>
        <v>0</v>
      </c>
      <c r="S173">
        <f t="shared" si="7"/>
        <v>2273024.5</v>
      </c>
      <c r="U173">
        <v>5</v>
      </c>
      <c r="V173">
        <v>171</v>
      </c>
      <c r="W173">
        <f>$Z$1*몬스터밸런스9[[#This Row],[단계]]</f>
        <v>25</v>
      </c>
      <c r="X173" t="s">
        <v>63</v>
      </c>
      <c r="AE173" s="34"/>
      <c r="AF173" s="34"/>
      <c r="AG173" s="34">
        <f>몬스터밸런스[[#This Row],[Defense]]*0.3</f>
        <v>3193.2</v>
      </c>
      <c r="AH173" s="34"/>
      <c r="AI173" s="34"/>
      <c r="AJ173" s="34">
        <f>몬스터밸런스[[#This Row],[Accuracy]]*0.2</f>
        <v>2469.4</v>
      </c>
      <c r="AK173" s="34"/>
      <c r="AL173">
        <f t="shared" si="8"/>
        <v>78254.600000000006</v>
      </c>
    </row>
    <row r="174" spans="1:38">
      <c r="A174">
        <v>1710</v>
      </c>
      <c r="B174">
        <v>172</v>
      </c>
      <c r="C174">
        <f>$F$1*몬스터밸런스[[#This Row],[Lv]]+15</f>
        <v>8565</v>
      </c>
      <c r="E174" t="s">
        <v>479</v>
      </c>
      <c r="F174">
        <f>IF(E174="공격형",INDEX(몬스터계수[[#Data],[생명계수]],MATCH(E174,몬스터계수[[#Data],[타입]],0),1)*C174,
IF(E174="방어형",INDEX(몬스터계수[[#Data],[생명계수]],MATCH(E174,몬스터계수[[#Data],[타입]],0),1)*C174,
IF(E174="회피형",INDEX(몬스터계수[[#Data],[생명계수]],MATCH(E174,몬스터계수[[#Data],[타입]],0),1)*C174,
IF(E174="체력형",INDEX(몬스터계수[[#Data],[생명계수]],MATCH(E174,몬스터계수[[#Data],[타입]],0),1)*C174,0))))*IF(몬스터밸런스[[#This Row],[보스]]=TRUE,2,1)</f>
        <v>4282.5</v>
      </c>
      <c r="G174">
        <f>IF(E174="공격형",INDEX(몬스터계수[[#Data],[힘계수]],MATCH(E174, 몬스터계수[[#Data],[타입]],0),1)*C174,
IF(E174="방어형",INDEX(몬스터계수[[#Data],[힘계수]],MATCH(E174, 몬스터계수[[#Data],[타입]],0),1)*C174,
IF(E174="회피형",INDEX(몬스터계수[[#Data],[힘계수]],MATCH(E174, 몬스터계수[[#Data],[타입]],0),1)*C174,
IF(E174="체력형",INDEX(몬스터계수[[#Data],[힘계수]],MATCH(E174, 몬스터계수[[#Data],[타입]],0),1)*C174,0))))</f>
        <v>2141.25</v>
      </c>
      <c r="H174">
        <f>IF(E174="공격형",INDEX(몬스터계수[[#Data],[근력게수]],MATCH(E174,몬스터계수[[#Data],[타입]],0),1)*C174,
IF(E174="방어형",INDEX(몬스터계수[[#Data],[근력게수]],MATCH(E174,몬스터계수[[#Data],[타입]],0),1)*C174,
IF(E174="회피형",INDEX(몬스터계수[[#Data],[근력게수]],MATCH(E174,몬스터계수[[#Data],[타입]],0),1)*C174,
IF(E174="체력형",INDEX(몬스터계수[[#Data],[근력게수]],MATCH(E174,몬스터계수[[#Data],[타입]],0),1)*C174,0))))</f>
        <v>428.25</v>
      </c>
      <c r="I174">
        <f>IF(E174="공격형",INDEX(몬스터계수[[#Data],[숙련도계수]],MATCH(E174,몬스터계수[[#Data],[타입]],0),1)*C174,
IF(E174="방어형",INDEX(몬스터계수[[#Data],[숙련도계수]],MATCH(E174,몬스터계수[[#Data],[타입]],0),1)*C174,
IF(E174="회피형",INDEX(몬스터계수[[#Data],[숙련도계수]],MATCH(E174,몬스터계수[[#Data],[타입]],0),1)*C174,
IF(E174="체력형",INDEX(몬스터계수[[#Data],[숙련도계수]],MATCH(E174,몬스터계수[[#Data],[타입]],0),1)*C174,0))))</f>
        <v>1284.75</v>
      </c>
      <c r="J174">
        <f>IF(E174="공격형",INDEX(몬스터계수[[#Data],[행운계수]],MATCH(E174, 몬스터계수[[#Data],[타입]],0),1)*C174,
IF(E174="방어형",INDEX(몬스터계수[[#Data],[행운계수]],MATCH(E174, 몬스터계수[[#Data],[타입]],0),1)*C174,
IF(E174="회피형",INDEX(몬스터계수[[#Data],[행운계수]],MATCH(E174, 몬스터계수[[#Data],[타입]],0),1)*C174,
IF(E174="체력형",INDEX(몬스터계수[[#Data],[행운계수]],MATCH(E174, 몬스터계수[[#Data],[타입]],0),1)*C174,0))))</f>
        <v>428.25</v>
      </c>
      <c r="K174" s="34">
        <f>ROUND(
(($F174)*참고!$D$5)
+(($G174)*참고!$D$6)
+(($H174)*참고!$D$7)
+(($I174)*참고!$D$8)
+(($J174))*참고!$D$9,0)</f>
        <v>66593</v>
      </c>
      <c r="L174" s="34">
        <f>ROUND(
(($F174)*참고!$E$5)
+(($G174)*참고!$E$6)
+(($H174)*참고!$E$7)
+(($I174)*참고!$E$8)
+(($J174))*참고!$E$9,0)</f>
        <v>38114</v>
      </c>
      <c r="M174" s="34">
        <f>ROUND(
(($F174)*참고!$F$5)
+(($G174)*참고!$F$6)
+(($H174)*참고!$F$7)
+(($I174)*참고!$F$8)
+(($J174))*참고!$F$9,0)</f>
        <v>10706</v>
      </c>
      <c r="N174" s="34">
        <f>ROUND(
(($F174)*참고!$G$5)
+(($G174)*참고!$G$6)
+(($H174)*참고!$G$7)
+(($I174)*참고!$G$8)
+(($J174))*참고!$G$9,0)</f>
        <v>300</v>
      </c>
      <c r="O174" s="34">
        <f>ROUND(
(($F174)*참고!$H$5)
+(($G174)*참고!$H$6)
+(($H174)*참고!$H$7)
+(($I174)*참고!$H$8)
+(($J174))*참고!$H$9,0)</f>
        <v>7066</v>
      </c>
      <c r="P174" s="34">
        <f>ROUND(
(($F174)*참고!$I$5)
+(($G174)*참고!$I$6)
+(($H174)*참고!$I$7)
+(($I174)*참고!$I$8)
+(($J174))*참고!$I$9,0)</f>
        <v>12419</v>
      </c>
      <c r="Q174" s="34">
        <f>ROUND(
(($F174)*참고!$J$5)
+(($G174)*참고!$J$6)
+(($H174)*참고!$J$7)
+(($I174)*참고!$J$8)
+(($J174))*참고!$J$9,0)</f>
        <v>8565</v>
      </c>
      <c r="R174" s="34">
        <f>IF(E174="공격형",(INDEX(몬스터계수[[#Data],[속도]],MATCH(E174, 몬스터계수[[#Data],[타입]],0),1)*속도핸들러_곱계수)*(INT(몬스터밸런스[[#This Row],[Lv]]/속도핸들러_합계수+1)),
IF(E174="방어형",(INDEX(몬스터계수[[#Data],[속도]],MATCH(E174, 몬스터계수[[#Data],[타입]],0),1)*속도핸들러_곱계수)*(INT(몬스터밸런스[[#This Row],[Lv]]/속도핸들러_합계수+1)),
IF(E174="회피형",(INDEX(몬스터계수[[#Data],[속도]],MATCH(E174, 몬스터계수[[#Data],[타입]],0),1)*속도핸들러_곱계수)*(INT(몬스터밸런스[[#This Row],[Lv]]/속도핸들러_합계수+1)),
IF(E174="기본형",(INDEX(몬스터계수[[#Data],[속도]],MATCH(E174, 몬스터계수[[#Data],[타입]],0),1)*속도핸들러_곱계수)*(INT(몬스터밸런스[[#This Row],[Lv]]/속도핸들러_합계수+1)),0))))</f>
        <v>0</v>
      </c>
      <c r="S174">
        <f t="shared" si="7"/>
        <v>2286353.5</v>
      </c>
      <c r="U174">
        <v>5</v>
      </c>
      <c r="V174">
        <v>172</v>
      </c>
      <c r="W174">
        <f>$Z$1*몬스터밸런스9[[#This Row],[단계]]</f>
        <v>25</v>
      </c>
      <c r="X174" t="s">
        <v>63</v>
      </c>
      <c r="AE174" s="34"/>
      <c r="AF174" s="34"/>
      <c r="AG174" s="34">
        <f>몬스터밸런스[[#This Row],[Defense]]*0.3</f>
        <v>3211.7999999999997</v>
      </c>
      <c r="AH174" s="34"/>
      <c r="AI174" s="34"/>
      <c r="AJ174" s="34">
        <f>몬스터밸런스[[#This Row],[Accuracy]]*0.2</f>
        <v>2483.8000000000002</v>
      </c>
      <c r="AK174" s="34"/>
      <c r="AL174">
        <f t="shared" si="8"/>
        <v>78710.600000000006</v>
      </c>
    </row>
    <row r="175" spans="1:38">
      <c r="A175">
        <v>1720</v>
      </c>
      <c r="B175">
        <v>173</v>
      </c>
      <c r="C175">
        <f>$F$1*몬스터밸런스[[#This Row],[Lv]]+15</f>
        <v>8615</v>
      </c>
      <c r="E175" t="s">
        <v>479</v>
      </c>
      <c r="F175">
        <f>IF(E175="공격형",INDEX(몬스터계수[[#Data],[생명계수]],MATCH(E175,몬스터계수[[#Data],[타입]],0),1)*C175,
IF(E175="방어형",INDEX(몬스터계수[[#Data],[생명계수]],MATCH(E175,몬스터계수[[#Data],[타입]],0),1)*C175,
IF(E175="회피형",INDEX(몬스터계수[[#Data],[생명계수]],MATCH(E175,몬스터계수[[#Data],[타입]],0),1)*C175,
IF(E175="체력형",INDEX(몬스터계수[[#Data],[생명계수]],MATCH(E175,몬스터계수[[#Data],[타입]],0),1)*C175,0))))*IF(몬스터밸런스[[#This Row],[보스]]=TRUE,2,1)</f>
        <v>4307.5</v>
      </c>
      <c r="G175">
        <f>IF(E175="공격형",INDEX(몬스터계수[[#Data],[힘계수]],MATCH(E175, 몬스터계수[[#Data],[타입]],0),1)*C175,
IF(E175="방어형",INDEX(몬스터계수[[#Data],[힘계수]],MATCH(E175, 몬스터계수[[#Data],[타입]],0),1)*C175,
IF(E175="회피형",INDEX(몬스터계수[[#Data],[힘계수]],MATCH(E175, 몬스터계수[[#Data],[타입]],0),1)*C175,
IF(E175="체력형",INDEX(몬스터계수[[#Data],[힘계수]],MATCH(E175, 몬스터계수[[#Data],[타입]],0),1)*C175,0))))</f>
        <v>2153.75</v>
      </c>
      <c r="H175">
        <f>IF(E175="공격형",INDEX(몬스터계수[[#Data],[근력게수]],MATCH(E175,몬스터계수[[#Data],[타입]],0),1)*C175,
IF(E175="방어형",INDEX(몬스터계수[[#Data],[근력게수]],MATCH(E175,몬스터계수[[#Data],[타입]],0),1)*C175,
IF(E175="회피형",INDEX(몬스터계수[[#Data],[근력게수]],MATCH(E175,몬스터계수[[#Data],[타입]],0),1)*C175,
IF(E175="체력형",INDEX(몬스터계수[[#Data],[근력게수]],MATCH(E175,몬스터계수[[#Data],[타입]],0),1)*C175,0))))</f>
        <v>430.75</v>
      </c>
      <c r="I175">
        <f>IF(E175="공격형",INDEX(몬스터계수[[#Data],[숙련도계수]],MATCH(E175,몬스터계수[[#Data],[타입]],0),1)*C175,
IF(E175="방어형",INDEX(몬스터계수[[#Data],[숙련도계수]],MATCH(E175,몬스터계수[[#Data],[타입]],0),1)*C175,
IF(E175="회피형",INDEX(몬스터계수[[#Data],[숙련도계수]],MATCH(E175,몬스터계수[[#Data],[타입]],0),1)*C175,
IF(E175="체력형",INDEX(몬스터계수[[#Data],[숙련도계수]],MATCH(E175,몬스터계수[[#Data],[타입]],0),1)*C175,0))))</f>
        <v>1292.25</v>
      </c>
      <c r="J175">
        <f>IF(E175="공격형",INDEX(몬스터계수[[#Data],[행운계수]],MATCH(E175, 몬스터계수[[#Data],[타입]],0),1)*C175,
IF(E175="방어형",INDEX(몬스터계수[[#Data],[행운계수]],MATCH(E175, 몬스터계수[[#Data],[타입]],0),1)*C175,
IF(E175="회피형",INDEX(몬스터계수[[#Data],[행운계수]],MATCH(E175, 몬스터계수[[#Data],[타입]],0),1)*C175,
IF(E175="체력형",INDEX(몬스터계수[[#Data],[행운계수]],MATCH(E175, 몬스터계수[[#Data],[타입]],0),1)*C175,0))))</f>
        <v>430.75</v>
      </c>
      <c r="K175" s="34">
        <f>ROUND(
(($F175)*참고!$D$5)
+(($G175)*참고!$D$6)
+(($H175)*참고!$D$7)
+(($I175)*참고!$D$8)
+(($J175))*참고!$D$9,0)</f>
        <v>66982</v>
      </c>
      <c r="L175" s="34">
        <f>ROUND(
(($F175)*참고!$E$5)
+(($G175)*참고!$E$6)
+(($H175)*참고!$E$7)
+(($I175)*참고!$E$8)
+(($J175))*참고!$E$9,0)</f>
        <v>38337</v>
      </c>
      <c r="M175" s="34">
        <f>ROUND(
(($F175)*참고!$F$5)
+(($G175)*참고!$F$6)
+(($H175)*참고!$F$7)
+(($I175)*참고!$F$8)
+(($J175))*참고!$F$9,0)</f>
        <v>10769</v>
      </c>
      <c r="N175" s="34">
        <f>ROUND(
(($F175)*참고!$G$5)
+(($G175)*참고!$G$6)
+(($H175)*참고!$G$7)
+(($I175)*참고!$G$8)
+(($J175))*참고!$G$9,0)</f>
        <v>302</v>
      </c>
      <c r="O175" s="34">
        <f>ROUND(
(($F175)*참고!$H$5)
+(($G175)*참고!$H$6)
+(($H175)*참고!$H$7)
+(($I175)*참고!$H$8)
+(($J175))*참고!$H$9,0)</f>
        <v>7107</v>
      </c>
      <c r="P175" s="34">
        <f>ROUND(
(($F175)*참고!$I$5)
+(($G175)*참고!$I$6)
+(($H175)*참고!$I$7)
+(($I175)*참고!$I$8)
+(($J175))*참고!$I$9,0)</f>
        <v>12492</v>
      </c>
      <c r="Q175" s="34">
        <f>ROUND(
(($F175)*참고!$J$5)
+(($G175)*참고!$J$6)
+(($H175)*참고!$J$7)
+(($I175)*참고!$J$8)
+(($J175))*참고!$J$9,0)</f>
        <v>8615</v>
      </c>
      <c r="R175" s="34">
        <f>IF(E175="공격형",(INDEX(몬스터계수[[#Data],[속도]],MATCH(E175, 몬스터계수[[#Data],[타입]],0),1)*속도핸들러_곱계수)*(INT(몬스터밸런스[[#This Row],[Lv]]/속도핸들러_합계수+1)),
IF(E175="방어형",(INDEX(몬스터계수[[#Data],[속도]],MATCH(E175, 몬스터계수[[#Data],[타입]],0),1)*속도핸들러_곱계수)*(INT(몬스터밸런스[[#This Row],[Lv]]/속도핸들러_합계수+1)),
IF(E175="회피형",(INDEX(몬스터계수[[#Data],[속도]],MATCH(E175, 몬스터계수[[#Data],[타입]],0),1)*속도핸들러_곱계수)*(INT(몬스터밸런스[[#This Row],[Lv]]/속도핸들러_합계수+1)),
IF(E175="기본형",(INDEX(몬스터계수[[#Data],[속도]],MATCH(E175, 몬스터계수[[#Data],[타입]],0),1)*속도핸들러_곱계수)*(INT(몬스터밸런스[[#This Row],[Lv]]/속도핸들러_합계수+1)),0))))</f>
        <v>0</v>
      </c>
      <c r="S175">
        <f t="shared" si="7"/>
        <v>2299725.5</v>
      </c>
      <c r="U175">
        <v>5</v>
      </c>
      <c r="V175">
        <v>173</v>
      </c>
      <c r="W175">
        <f>$Z$1*몬스터밸런스9[[#This Row],[단계]]</f>
        <v>25</v>
      </c>
      <c r="X175" t="s">
        <v>63</v>
      </c>
      <c r="AE175" s="34"/>
      <c r="AF175" s="34"/>
      <c r="AG175" s="34">
        <f>몬스터밸런스[[#This Row],[Defense]]*0.3</f>
        <v>3230.7</v>
      </c>
      <c r="AH175" s="34"/>
      <c r="AI175" s="34"/>
      <c r="AJ175" s="34">
        <f>몬스터밸런스[[#This Row],[Accuracy]]*0.2</f>
        <v>2498.4</v>
      </c>
      <c r="AK175" s="34"/>
      <c r="AL175">
        <f t="shared" si="8"/>
        <v>79173.600000000006</v>
      </c>
    </row>
    <row r="176" spans="1:38">
      <c r="A176">
        <v>1730</v>
      </c>
      <c r="B176">
        <v>174</v>
      </c>
      <c r="C176">
        <f>$F$1*몬스터밸런스[[#This Row],[Lv]]+15</f>
        <v>8665</v>
      </c>
      <c r="E176" t="s">
        <v>479</v>
      </c>
      <c r="F176">
        <f>IF(E176="공격형",INDEX(몬스터계수[[#Data],[생명계수]],MATCH(E176,몬스터계수[[#Data],[타입]],0),1)*C176,
IF(E176="방어형",INDEX(몬스터계수[[#Data],[생명계수]],MATCH(E176,몬스터계수[[#Data],[타입]],0),1)*C176,
IF(E176="회피형",INDEX(몬스터계수[[#Data],[생명계수]],MATCH(E176,몬스터계수[[#Data],[타입]],0),1)*C176,
IF(E176="체력형",INDEX(몬스터계수[[#Data],[생명계수]],MATCH(E176,몬스터계수[[#Data],[타입]],0),1)*C176,0))))*IF(몬스터밸런스[[#This Row],[보스]]=TRUE,2,1)</f>
        <v>4332.5</v>
      </c>
      <c r="G176">
        <f>IF(E176="공격형",INDEX(몬스터계수[[#Data],[힘계수]],MATCH(E176, 몬스터계수[[#Data],[타입]],0),1)*C176,
IF(E176="방어형",INDEX(몬스터계수[[#Data],[힘계수]],MATCH(E176, 몬스터계수[[#Data],[타입]],0),1)*C176,
IF(E176="회피형",INDEX(몬스터계수[[#Data],[힘계수]],MATCH(E176, 몬스터계수[[#Data],[타입]],0),1)*C176,
IF(E176="체력형",INDEX(몬스터계수[[#Data],[힘계수]],MATCH(E176, 몬스터계수[[#Data],[타입]],0),1)*C176,0))))</f>
        <v>2166.25</v>
      </c>
      <c r="H176">
        <f>IF(E176="공격형",INDEX(몬스터계수[[#Data],[근력게수]],MATCH(E176,몬스터계수[[#Data],[타입]],0),1)*C176,
IF(E176="방어형",INDEX(몬스터계수[[#Data],[근력게수]],MATCH(E176,몬스터계수[[#Data],[타입]],0),1)*C176,
IF(E176="회피형",INDEX(몬스터계수[[#Data],[근력게수]],MATCH(E176,몬스터계수[[#Data],[타입]],0),1)*C176,
IF(E176="체력형",INDEX(몬스터계수[[#Data],[근력게수]],MATCH(E176,몬스터계수[[#Data],[타입]],0),1)*C176,0))))</f>
        <v>433.25</v>
      </c>
      <c r="I176">
        <f>IF(E176="공격형",INDEX(몬스터계수[[#Data],[숙련도계수]],MATCH(E176,몬스터계수[[#Data],[타입]],0),1)*C176,
IF(E176="방어형",INDEX(몬스터계수[[#Data],[숙련도계수]],MATCH(E176,몬스터계수[[#Data],[타입]],0),1)*C176,
IF(E176="회피형",INDEX(몬스터계수[[#Data],[숙련도계수]],MATCH(E176,몬스터계수[[#Data],[타입]],0),1)*C176,
IF(E176="체력형",INDEX(몬스터계수[[#Data],[숙련도계수]],MATCH(E176,몬스터계수[[#Data],[타입]],0),1)*C176,0))))</f>
        <v>1299.75</v>
      </c>
      <c r="J176">
        <f>IF(E176="공격형",INDEX(몬스터계수[[#Data],[행운계수]],MATCH(E176, 몬스터계수[[#Data],[타입]],0),1)*C176,
IF(E176="방어형",INDEX(몬스터계수[[#Data],[행운계수]],MATCH(E176, 몬스터계수[[#Data],[타입]],0),1)*C176,
IF(E176="회피형",INDEX(몬스터계수[[#Data],[행운계수]],MATCH(E176, 몬스터계수[[#Data],[타입]],0),1)*C176,
IF(E176="체력형",INDEX(몬스터계수[[#Data],[행운계수]],MATCH(E176, 몬스터계수[[#Data],[타입]],0),1)*C176,0))))</f>
        <v>433.25</v>
      </c>
      <c r="K176" s="34">
        <f>ROUND(
(($F176)*참고!$D$5)
+(($G176)*참고!$D$6)
+(($H176)*참고!$D$7)
+(($I176)*참고!$D$8)
+(($J176))*참고!$D$9,0)</f>
        <v>67370</v>
      </c>
      <c r="L176" s="34">
        <f>ROUND(
(($F176)*참고!$E$5)
+(($G176)*참고!$E$6)
+(($H176)*참고!$E$7)
+(($I176)*참고!$E$8)
+(($J176))*참고!$E$9,0)</f>
        <v>38559</v>
      </c>
      <c r="M176" s="34">
        <f>ROUND(
(($F176)*참고!$F$5)
+(($G176)*참고!$F$6)
+(($H176)*참고!$F$7)
+(($I176)*참고!$F$8)
+(($J176))*참고!$F$9,0)</f>
        <v>10831</v>
      </c>
      <c r="N176" s="34">
        <f>ROUND(
(($F176)*참고!$G$5)
+(($G176)*참고!$G$6)
+(($H176)*참고!$G$7)
+(($I176)*참고!$G$8)
+(($J176))*참고!$G$9,0)</f>
        <v>303</v>
      </c>
      <c r="O176" s="34">
        <f>ROUND(
(($F176)*참고!$H$5)
+(($G176)*참고!$H$6)
+(($H176)*참고!$H$7)
+(($I176)*참고!$H$8)
+(($J176))*참고!$H$9,0)</f>
        <v>7149</v>
      </c>
      <c r="P176" s="34">
        <f>ROUND(
(($F176)*참고!$I$5)
+(($G176)*참고!$I$6)
+(($H176)*참고!$I$7)
+(($I176)*참고!$I$8)
+(($J176))*참고!$I$9,0)</f>
        <v>12564</v>
      </c>
      <c r="Q176" s="34">
        <f>ROUND(
(($F176)*참고!$J$5)
+(($G176)*참고!$J$6)
+(($H176)*참고!$J$7)
+(($I176)*참고!$J$8)
+(($J176))*참고!$J$9,0)</f>
        <v>8665</v>
      </c>
      <c r="R176" s="34">
        <f>IF(E176="공격형",(INDEX(몬스터계수[[#Data],[속도]],MATCH(E176, 몬스터계수[[#Data],[타입]],0),1)*속도핸들러_곱계수)*(INT(몬스터밸런스[[#This Row],[Lv]]/속도핸들러_합계수+1)),
IF(E176="방어형",(INDEX(몬스터계수[[#Data],[속도]],MATCH(E176, 몬스터계수[[#Data],[타입]],0),1)*속도핸들러_곱계수)*(INT(몬스터밸런스[[#This Row],[Lv]]/속도핸들러_합계수+1)),
IF(E176="회피형",(INDEX(몬스터계수[[#Data],[속도]],MATCH(E176, 몬스터계수[[#Data],[타입]],0),1)*속도핸들러_곱계수)*(INT(몬스터밸런스[[#This Row],[Lv]]/속도핸들러_합계수+1)),
IF(E176="기본형",(INDEX(몬스터계수[[#Data],[속도]],MATCH(E176, 몬스터계수[[#Data],[타입]],0),1)*속도핸들러_곱계수)*(INT(몬스터밸런스[[#This Row],[Lv]]/속도핸들러_합계수+1)),0))))</f>
        <v>0</v>
      </c>
      <c r="S176">
        <f t="shared" si="7"/>
        <v>2313041</v>
      </c>
      <c r="U176">
        <v>5</v>
      </c>
      <c r="V176">
        <v>174</v>
      </c>
      <c r="W176">
        <f>$Z$1*몬스터밸런스9[[#This Row],[단계]]</f>
        <v>25</v>
      </c>
      <c r="X176" t="s">
        <v>63</v>
      </c>
      <c r="AE176" s="34"/>
      <c r="AF176" s="34"/>
      <c r="AG176" s="34">
        <f>몬스터밸런스[[#This Row],[Defense]]*0.3</f>
        <v>3249.2999999999997</v>
      </c>
      <c r="AH176" s="34"/>
      <c r="AI176" s="34"/>
      <c r="AJ176" s="34">
        <f>몬스터밸런스[[#This Row],[Accuracy]]*0.2</f>
        <v>2512.8000000000002</v>
      </c>
      <c r="AK176" s="34"/>
      <c r="AL176">
        <f t="shared" si="8"/>
        <v>79629.600000000006</v>
      </c>
    </row>
    <row r="177" spans="1:38">
      <c r="A177">
        <v>1740</v>
      </c>
      <c r="B177">
        <v>175</v>
      </c>
      <c r="C177">
        <f>$F$1*몬스터밸런스[[#This Row],[Lv]]+15</f>
        <v>8715</v>
      </c>
      <c r="E177" t="s">
        <v>479</v>
      </c>
      <c r="F177">
        <f>IF(E177="공격형",INDEX(몬스터계수[[#Data],[생명계수]],MATCH(E177,몬스터계수[[#Data],[타입]],0),1)*C177,
IF(E177="방어형",INDEX(몬스터계수[[#Data],[생명계수]],MATCH(E177,몬스터계수[[#Data],[타입]],0),1)*C177,
IF(E177="회피형",INDEX(몬스터계수[[#Data],[생명계수]],MATCH(E177,몬스터계수[[#Data],[타입]],0),1)*C177,
IF(E177="체력형",INDEX(몬스터계수[[#Data],[생명계수]],MATCH(E177,몬스터계수[[#Data],[타입]],0),1)*C177,0))))*IF(몬스터밸런스[[#This Row],[보스]]=TRUE,2,1)</f>
        <v>4357.5</v>
      </c>
      <c r="G177">
        <f>IF(E177="공격형",INDEX(몬스터계수[[#Data],[힘계수]],MATCH(E177, 몬스터계수[[#Data],[타입]],0),1)*C177,
IF(E177="방어형",INDEX(몬스터계수[[#Data],[힘계수]],MATCH(E177, 몬스터계수[[#Data],[타입]],0),1)*C177,
IF(E177="회피형",INDEX(몬스터계수[[#Data],[힘계수]],MATCH(E177, 몬스터계수[[#Data],[타입]],0),1)*C177,
IF(E177="체력형",INDEX(몬스터계수[[#Data],[힘계수]],MATCH(E177, 몬스터계수[[#Data],[타입]],0),1)*C177,0))))</f>
        <v>2178.75</v>
      </c>
      <c r="H177">
        <f>IF(E177="공격형",INDEX(몬스터계수[[#Data],[근력게수]],MATCH(E177,몬스터계수[[#Data],[타입]],0),1)*C177,
IF(E177="방어형",INDEX(몬스터계수[[#Data],[근력게수]],MATCH(E177,몬스터계수[[#Data],[타입]],0),1)*C177,
IF(E177="회피형",INDEX(몬스터계수[[#Data],[근력게수]],MATCH(E177,몬스터계수[[#Data],[타입]],0),1)*C177,
IF(E177="체력형",INDEX(몬스터계수[[#Data],[근력게수]],MATCH(E177,몬스터계수[[#Data],[타입]],0),1)*C177,0))))</f>
        <v>435.75</v>
      </c>
      <c r="I177">
        <f>IF(E177="공격형",INDEX(몬스터계수[[#Data],[숙련도계수]],MATCH(E177,몬스터계수[[#Data],[타입]],0),1)*C177,
IF(E177="방어형",INDEX(몬스터계수[[#Data],[숙련도계수]],MATCH(E177,몬스터계수[[#Data],[타입]],0),1)*C177,
IF(E177="회피형",INDEX(몬스터계수[[#Data],[숙련도계수]],MATCH(E177,몬스터계수[[#Data],[타입]],0),1)*C177,
IF(E177="체력형",INDEX(몬스터계수[[#Data],[숙련도계수]],MATCH(E177,몬스터계수[[#Data],[타입]],0),1)*C177,0))))</f>
        <v>1307.25</v>
      </c>
      <c r="J177">
        <f>IF(E177="공격형",INDEX(몬스터계수[[#Data],[행운계수]],MATCH(E177, 몬스터계수[[#Data],[타입]],0),1)*C177,
IF(E177="방어형",INDEX(몬스터계수[[#Data],[행운계수]],MATCH(E177, 몬스터계수[[#Data],[타입]],0),1)*C177,
IF(E177="회피형",INDEX(몬스터계수[[#Data],[행운계수]],MATCH(E177, 몬스터계수[[#Data],[타입]],0),1)*C177,
IF(E177="체력형",INDEX(몬스터계수[[#Data],[행운계수]],MATCH(E177, 몬스터계수[[#Data],[타입]],0),1)*C177,0))))</f>
        <v>435.75</v>
      </c>
      <c r="K177" s="34">
        <f>ROUND(
(($F177)*참고!$D$5)
+(($G177)*참고!$D$6)
+(($H177)*참고!$D$7)
+(($I177)*참고!$D$8)
+(($J177))*참고!$D$9,0)</f>
        <v>67759</v>
      </c>
      <c r="L177" s="34">
        <f>ROUND(
(($F177)*참고!$E$5)
+(($G177)*참고!$E$6)
+(($H177)*참고!$E$7)
+(($I177)*참고!$E$8)
+(($J177))*참고!$E$9,0)</f>
        <v>38782</v>
      </c>
      <c r="M177" s="34">
        <f>ROUND(
(($F177)*참고!$F$5)
+(($G177)*참고!$F$6)
+(($H177)*참고!$F$7)
+(($I177)*참고!$F$8)
+(($J177))*참고!$F$9,0)</f>
        <v>10894</v>
      </c>
      <c r="N177" s="34">
        <f>ROUND(
(($F177)*참고!$G$5)
+(($G177)*참고!$G$6)
+(($H177)*참고!$G$7)
+(($I177)*참고!$G$8)
+(($J177))*참고!$G$9,0)</f>
        <v>305</v>
      </c>
      <c r="O177" s="34">
        <f>ROUND(
(($F177)*참고!$H$5)
+(($G177)*참고!$H$6)
+(($H177)*참고!$H$7)
+(($I177)*참고!$H$8)
+(($J177))*참고!$H$9,0)</f>
        <v>7190</v>
      </c>
      <c r="P177" s="34">
        <f>ROUND(
(($F177)*참고!$I$5)
+(($G177)*참고!$I$6)
+(($H177)*참고!$I$7)
+(($I177)*참고!$I$8)
+(($J177))*참고!$I$9,0)</f>
        <v>12637</v>
      </c>
      <c r="Q177" s="34">
        <f>ROUND(
(($F177)*참고!$J$5)
+(($G177)*참고!$J$6)
+(($H177)*참고!$J$7)
+(($I177)*참고!$J$8)
+(($J177))*참고!$J$9,0)</f>
        <v>8715</v>
      </c>
      <c r="R177" s="34">
        <f>IF(E177="공격형",(INDEX(몬스터계수[[#Data],[속도]],MATCH(E177, 몬스터계수[[#Data],[타입]],0),1)*속도핸들러_곱계수)*(INT(몬스터밸런스[[#This Row],[Lv]]/속도핸들러_합계수+1)),
IF(E177="방어형",(INDEX(몬스터계수[[#Data],[속도]],MATCH(E177, 몬스터계수[[#Data],[타입]],0),1)*속도핸들러_곱계수)*(INT(몬스터밸런스[[#This Row],[Lv]]/속도핸들러_합계수+1)),
IF(E177="회피형",(INDEX(몬스터계수[[#Data],[속도]],MATCH(E177, 몬스터계수[[#Data],[타입]],0),1)*속도핸들러_곱계수)*(INT(몬스터밸런스[[#This Row],[Lv]]/속도핸들러_합계수+1)),
IF(E177="기본형",(INDEX(몬스터계수[[#Data],[속도]],MATCH(E177, 몬스터계수[[#Data],[타입]],0),1)*속도핸들러_곱계수)*(INT(몬스터밸런스[[#This Row],[Lv]]/속도핸들러_합계수+1)),0))))</f>
        <v>0</v>
      </c>
      <c r="S177">
        <f t="shared" si="7"/>
        <v>2326413</v>
      </c>
      <c r="U177">
        <v>5</v>
      </c>
      <c r="V177">
        <v>175</v>
      </c>
      <c r="W177">
        <f>$Z$1*몬스터밸런스9[[#This Row],[단계]]</f>
        <v>25</v>
      </c>
      <c r="X177" t="s">
        <v>63</v>
      </c>
      <c r="AE177" s="34"/>
      <c r="AF177" s="34"/>
      <c r="AG177" s="34">
        <f>몬스터밸런스[[#This Row],[Defense]]*0.3</f>
        <v>3268.2</v>
      </c>
      <c r="AH177" s="34"/>
      <c r="AI177" s="34"/>
      <c r="AJ177" s="34">
        <f>몬스터밸런스[[#This Row],[Accuracy]]*0.2</f>
        <v>2527.4</v>
      </c>
      <c r="AK177" s="34"/>
      <c r="AL177">
        <f t="shared" si="8"/>
        <v>80092.600000000006</v>
      </c>
    </row>
    <row r="178" spans="1:38">
      <c r="A178">
        <v>1750</v>
      </c>
      <c r="B178">
        <v>176</v>
      </c>
      <c r="C178">
        <f>$F$1*몬스터밸런스[[#This Row],[Lv]]+15</f>
        <v>8765</v>
      </c>
      <c r="E178" t="s">
        <v>479</v>
      </c>
      <c r="F178">
        <f>IF(E178="공격형",INDEX(몬스터계수[[#Data],[생명계수]],MATCH(E178,몬스터계수[[#Data],[타입]],0),1)*C178,
IF(E178="방어형",INDEX(몬스터계수[[#Data],[생명계수]],MATCH(E178,몬스터계수[[#Data],[타입]],0),1)*C178,
IF(E178="회피형",INDEX(몬스터계수[[#Data],[생명계수]],MATCH(E178,몬스터계수[[#Data],[타입]],0),1)*C178,
IF(E178="체력형",INDEX(몬스터계수[[#Data],[생명계수]],MATCH(E178,몬스터계수[[#Data],[타입]],0),1)*C178,0))))*IF(몬스터밸런스[[#This Row],[보스]]=TRUE,2,1)</f>
        <v>4382.5</v>
      </c>
      <c r="G178">
        <f>IF(E178="공격형",INDEX(몬스터계수[[#Data],[힘계수]],MATCH(E178, 몬스터계수[[#Data],[타입]],0),1)*C178,
IF(E178="방어형",INDEX(몬스터계수[[#Data],[힘계수]],MATCH(E178, 몬스터계수[[#Data],[타입]],0),1)*C178,
IF(E178="회피형",INDEX(몬스터계수[[#Data],[힘계수]],MATCH(E178, 몬스터계수[[#Data],[타입]],0),1)*C178,
IF(E178="체력형",INDEX(몬스터계수[[#Data],[힘계수]],MATCH(E178, 몬스터계수[[#Data],[타입]],0),1)*C178,0))))</f>
        <v>2191.25</v>
      </c>
      <c r="H178">
        <f>IF(E178="공격형",INDEX(몬스터계수[[#Data],[근력게수]],MATCH(E178,몬스터계수[[#Data],[타입]],0),1)*C178,
IF(E178="방어형",INDEX(몬스터계수[[#Data],[근력게수]],MATCH(E178,몬스터계수[[#Data],[타입]],0),1)*C178,
IF(E178="회피형",INDEX(몬스터계수[[#Data],[근력게수]],MATCH(E178,몬스터계수[[#Data],[타입]],0),1)*C178,
IF(E178="체력형",INDEX(몬스터계수[[#Data],[근력게수]],MATCH(E178,몬스터계수[[#Data],[타입]],0),1)*C178,0))))</f>
        <v>438.25</v>
      </c>
      <c r="I178">
        <f>IF(E178="공격형",INDEX(몬스터계수[[#Data],[숙련도계수]],MATCH(E178,몬스터계수[[#Data],[타입]],0),1)*C178,
IF(E178="방어형",INDEX(몬스터계수[[#Data],[숙련도계수]],MATCH(E178,몬스터계수[[#Data],[타입]],0),1)*C178,
IF(E178="회피형",INDEX(몬스터계수[[#Data],[숙련도계수]],MATCH(E178,몬스터계수[[#Data],[타입]],0),1)*C178,
IF(E178="체력형",INDEX(몬스터계수[[#Data],[숙련도계수]],MATCH(E178,몬스터계수[[#Data],[타입]],0),1)*C178,0))))</f>
        <v>1314.75</v>
      </c>
      <c r="J178">
        <f>IF(E178="공격형",INDEX(몬스터계수[[#Data],[행운계수]],MATCH(E178, 몬스터계수[[#Data],[타입]],0),1)*C178,
IF(E178="방어형",INDEX(몬스터계수[[#Data],[행운계수]],MATCH(E178, 몬스터계수[[#Data],[타입]],0),1)*C178,
IF(E178="회피형",INDEX(몬스터계수[[#Data],[행운계수]],MATCH(E178, 몬스터계수[[#Data],[타입]],0),1)*C178,
IF(E178="체력형",INDEX(몬스터계수[[#Data],[행운계수]],MATCH(E178, 몬스터계수[[#Data],[타입]],0),1)*C178,0))))</f>
        <v>438.25</v>
      </c>
      <c r="K178" s="34">
        <f>ROUND(
(($F178)*참고!$D$5)
+(($G178)*참고!$D$6)
+(($H178)*참고!$D$7)
+(($I178)*참고!$D$8)
+(($J178))*참고!$D$9,0)</f>
        <v>68148</v>
      </c>
      <c r="L178" s="34">
        <f>ROUND(
(($F178)*참고!$E$5)
+(($G178)*참고!$E$6)
+(($H178)*참고!$E$7)
+(($I178)*참고!$E$8)
+(($J178))*참고!$E$9,0)</f>
        <v>39004</v>
      </c>
      <c r="M178" s="34">
        <f>ROUND(
(($F178)*참고!$F$5)
+(($G178)*참고!$F$6)
+(($H178)*참고!$F$7)
+(($I178)*참고!$F$8)
+(($J178))*참고!$F$9,0)</f>
        <v>10956</v>
      </c>
      <c r="N178" s="34">
        <f>ROUND(
(($F178)*참고!$G$5)
+(($G178)*참고!$G$6)
+(($H178)*참고!$G$7)
+(($I178)*참고!$G$8)
+(($J178))*참고!$G$9,0)</f>
        <v>307</v>
      </c>
      <c r="O178" s="34">
        <f>ROUND(
(($F178)*참고!$H$5)
+(($G178)*참고!$H$6)
+(($H178)*참고!$H$7)
+(($I178)*참고!$H$8)
+(($J178))*참고!$H$9,0)</f>
        <v>7231</v>
      </c>
      <c r="P178" s="34">
        <f>ROUND(
(($F178)*참고!$I$5)
+(($G178)*참고!$I$6)
+(($H178)*참고!$I$7)
+(($I178)*참고!$I$8)
+(($J178))*참고!$I$9,0)</f>
        <v>12709</v>
      </c>
      <c r="Q178" s="34">
        <f>ROUND(
(($F178)*참고!$J$5)
+(($G178)*참고!$J$6)
+(($H178)*참고!$J$7)
+(($I178)*참고!$J$8)
+(($J178))*참고!$J$9,0)</f>
        <v>8765</v>
      </c>
      <c r="R178" s="34">
        <f>IF(E178="공격형",(INDEX(몬스터계수[[#Data],[속도]],MATCH(E178, 몬스터계수[[#Data],[타입]],0),1)*속도핸들러_곱계수)*(INT(몬스터밸런스[[#This Row],[Lv]]/속도핸들러_합계수+1)),
IF(E178="방어형",(INDEX(몬스터계수[[#Data],[속도]],MATCH(E178, 몬스터계수[[#Data],[타입]],0),1)*속도핸들러_곱계수)*(INT(몬스터밸런스[[#This Row],[Lv]]/속도핸들러_합계수+1)),
IF(E178="회피형",(INDEX(몬스터계수[[#Data],[속도]],MATCH(E178, 몬스터계수[[#Data],[타입]],0),1)*속도핸들러_곱계수)*(INT(몬스터밸런스[[#This Row],[Lv]]/속도핸들러_합계수+1)),
IF(E178="기본형",(INDEX(몬스터계수[[#Data],[속도]],MATCH(E178, 몬스터계수[[#Data],[타입]],0),1)*속도핸들러_곱계수)*(INT(몬스터밸런스[[#This Row],[Lv]]/속도핸들러_합계수+1)),0))))</f>
        <v>0</v>
      </c>
      <c r="S178">
        <f t="shared" si="7"/>
        <v>2339742</v>
      </c>
      <c r="U178">
        <v>1</v>
      </c>
      <c r="V178">
        <v>176</v>
      </c>
      <c r="W178">
        <f>$Z$1*몬스터밸런스9[[#This Row],[단계]]</f>
        <v>5</v>
      </c>
      <c r="X178" t="s">
        <v>47</v>
      </c>
      <c r="AE178" s="34"/>
      <c r="AF178" s="34"/>
      <c r="AG178" s="34"/>
      <c r="AH178" s="34">
        <f>몬스터밸런스[[#This Row],[CriticalRate]]*0.3</f>
        <v>92.1</v>
      </c>
      <c r="AI178" s="34"/>
      <c r="AJ178" s="34"/>
      <c r="AK178" s="34"/>
      <c r="AL178">
        <f t="shared" si="8"/>
        <v>46.05</v>
      </c>
    </row>
    <row r="179" spans="1:38">
      <c r="A179">
        <v>1760</v>
      </c>
      <c r="B179">
        <v>177</v>
      </c>
      <c r="C179">
        <f>$F$1*몬스터밸런스[[#This Row],[Lv]]+15</f>
        <v>8815</v>
      </c>
      <c r="E179" t="s">
        <v>479</v>
      </c>
      <c r="F179">
        <f>IF(E179="공격형",INDEX(몬스터계수[[#Data],[생명계수]],MATCH(E179,몬스터계수[[#Data],[타입]],0),1)*C179,
IF(E179="방어형",INDEX(몬스터계수[[#Data],[생명계수]],MATCH(E179,몬스터계수[[#Data],[타입]],0),1)*C179,
IF(E179="회피형",INDEX(몬스터계수[[#Data],[생명계수]],MATCH(E179,몬스터계수[[#Data],[타입]],0),1)*C179,
IF(E179="체력형",INDEX(몬스터계수[[#Data],[생명계수]],MATCH(E179,몬스터계수[[#Data],[타입]],0),1)*C179,0))))*IF(몬스터밸런스[[#This Row],[보스]]=TRUE,2,1)</f>
        <v>4407.5</v>
      </c>
      <c r="G179">
        <f>IF(E179="공격형",INDEX(몬스터계수[[#Data],[힘계수]],MATCH(E179, 몬스터계수[[#Data],[타입]],0),1)*C179,
IF(E179="방어형",INDEX(몬스터계수[[#Data],[힘계수]],MATCH(E179, 몬스터계수[[#Data],[타입]],0),1)*C179,
IF(E179="회피형",INDEX(몬스터계수[[#Data],[힘계수]],MATCH(E179, 몬스터계수[[#Data],[타입]],0),1)*C179,
IF(E179="체력형",INDEX(몬스터계수[[#Data],[힘계수]],MATCH(E179, 몬스터계수[[#Data],[타입]],0),1)*C179,0))))</f>
        <v>2203.75</v>
      </c>
      <c r="H179">
        <f>IF(E179="공격형",INDEX(몬스터계수[[#Data],[근력게수]],MATCH(E179,몬스터계수[[#Data],[타입]],0),1)*C179,
IF(E179="방어형",INDEX(몬스터계수[[#Data],[근력게수]],MATCH(E179,몬스터계수[[#Data],[타입]],0),1)*C179,
IF(E179="회피형",INDEX(몬스터계수[[#Data],[근력게수]],MATCH(E179,몬스터계수[[#Data],[타입]],0),1)*C179,
IF(E179="체력형",INDEX(몬스터계수[[#Data],[근력게수]],MATCH(E179,몬스터계수[[#Data],[타입]],0),1)*C179,0))))</f>
        <v>440.75</v>
      </c>
      <c r="I179">
        <f>IF(E179="공격형",INDEX(몬스터계수[[#Data],[숙련도계수]],MATCH(E179,몬스터계수[[#Data],[타입]],0),1)*C179,
IF(E179="방어형",INDEX(몬스터계수[[#Data],[숙련도계수]],MATCH(E179,몬스터계수[[#Data],[타입]],0),1)*C179,
IF(E179="회피형",INDEX(몬스터계수[[#Data],[숙련도계수]],MATCH(E179,몬스터계수[[#Data],[타입]],0),1)*C179,
IF(E179="체력형",INDEX(몬스터계수[[#Data],[숙련도계수]],MATCH(E179,몬스터계수[[#Data],[타입]],0),1)*C179,0))))</f>
        <v>1322.25</v>
      </c>
      <c r="J179">
        <f>IF(E179="공격형",INDEX(몬스터계수[[#Data],[행운계수]],MATCH(E179, 몬스터계수[[#Data],[타입]],0),1)*C179,
IF(E179="방어형",INDEX(몬스터계수[[#Data],[행운계수]],MATCH(E179, 몬스터계수[[#Data],[타입]],0),1)*C179,
IF(E179="회피형",INDEX(몬스터계수[[#Data],[행운계수]],MATCH(E179, 몬스터계수[[#Data],[타입]],0),1)*C179,
IF(E179="체력형",INDEX(몬스터계수[[#Data],[행운계수]],MATCH(E179, 몬스터계수[[#Data],[타입]],0),1)*C179,0))))</f>
        <v>440.75</v>
      </c>
      <c r="K179" s="34">
        <f>ROUND(
(($F179)*참고!$D$5)
+(($G179)*참고!$D$6)
+(($H179)*참고!$D$7)
+(($I179)*참고!$D$8)
+(($J179))*참고!$D$9,0)</f>
        <v>68537</v>
      </c>
      <c r="L179" s="34">
        <f>ROUND(
(($F179)*참고!$E$5)
+(($G179)*참고!$E$6)
+(($H179)*참고!$E$7)
+(($I179)*참고!$E$8)
+(($J179))*참고!$E$9,0)</f>
        <v>39227</v>
      </c>
      <c r="M179" s="34">
        <f>ROUND(
(($F179)*참고!$F$5)
+(($G179)*참고!$F$6)
+(($H179)*참고!$F$7)
+(($I179)*참고!$F$8)
+(($J179))*참고!$F$9,0)</f>
        <v>11019</v>
      </c>
      <c r="N179" s="34">
        <f>ROUND(
(($F179)*참고!$G$5)
+(($G179)*참고!$G$6)
+(($H179)*참고!$G$7)
+(($I179)*참고!$G$8)
+(($J179))*참고!$G$9,0)</f>
        <v>309</v>
      </c>
      <c r="O179" s="34">
        <f>ROUND(
(($F179)*참고!$H$5)
+(($G179)*참고!$H$6)
+(($H179)*참고!$H$7)
+(($I179)*참고!$H$8)
+(($J179))*참고!$H$9,0)</f>
        <v>7272</v>
      </c>
      <c r="P179" s="34">
        <f>ROUND(
(($F179)*참고!$I$5)
+(($G179)*참고!$I$6)
+(($H179)*참고!$I$7)
+(($I179)*참고!$I$8)
+(($J179))*참고!$I$9,0)</f>
        <v>12782</v>
      </c>
      <c r="Q179" s="34">
        <f>ROUND(
(($F179)*참고!$J$5)
+(($G179)*참고!$J$6)
+(($H179)*참고!$J$7)
+(($I179)*참고!$J$8)
+(($J179))*참고!$J$9,0)</f>
        <v>8815</v>
      </c>
      <c r="R179" s="34">
        <f>IF(E179="공격형",(INDEX(몬스터계수[[#Data],[속도]],MATCH(E179, 몬스터계수[[#Data],[타입]],0),1)*속도핸들러_곱계수)*(INT(몬스터밸런스[[#This Row],[Lv]]/속도핸들러_합계수+1)),
IF(E179="방어형",(INDEX(몬스터계수[[#Data],[속도]],MATCH(E179, 몬스터계수[[#Data],[타입]],0),1)*속도핸들러_곱계수)*(INT(몬스터밸런스[[#This Row],[Lv]]/속도핸들러_합계수+1)),
IF(E179="회피형",(INDEX(몬스터계수[[#Data],[속도]],MATCH(E179, 몬스터계수[[#Data],[타입]],0),1)*속도핸들러_곱계수)*(INT(몬스터밸런스[[#This Row],[Lv]]/속도핸들러_합계수+1)),
IF(E179="기본형",(INDEX(몬스터계수[[#Data],[속도]],MATCH(E179, 몬스터계수[[#Data],[타입]],0),1)*속도핸들러_곱계수)*(INT(몬스터밸런스[[#This Row],[Lv]]/속도핸들러_합계수+1)),0))))</f>
        <v>0</v>
      </c>
      <c r="S179">
        <f t="shared" si="7"/>
        <v>2353114</v>
      </c>
      <c r="U179">
        <v>1</v>
      </c>
      <c r="V179">
        <v>177</v>
      </c>
      <c r="W179">
        <f>$Z$1*몬스터밸런스9[[#This Row],[단계]]</f>
        <v>5</v>
      </c>
      <c r="X179" t="s">
        <v>47</v>
      </c>
      <c r="AE179" s="34"/>
      <c r="AF179" s="34"/>
      <c r="AG179" s="34"/>
      <c r="AH179" s="34">
        <f>몬스터밸런스[[#This Row],[CriticalRate]]*0.3</f>
        <v>92.7</v>
      </c>
      <c r="AI179" s="34"/>
      <c r="AJ179" s="34"/>
      <c r="AK179" s="34"/>
      <c r="AL179">
        <f t="shared" si="8"/>
        <v>46.35</v>
      </c>
    </row>
    <row r="180" spans="1:38">
      <c r="A180">
        <v>1770</v>
      </c>
      <c r="B180">
        <v>178</v>
      </c>
      <c r="C180">
        <f>$F$1*몬스터밸런스[[#This Row],[Lv]]+15</f>
        <v>8865</v>
      </c>
      <c r="E180" t="s">
        <v>479</v>
      </c>
      <c r="F180">
        <f>IF(E180="공격형",INDEX(몬스터계수[[#Data],[생명계수]],MATCH(E180,몬스터계수[[#Data],[타입]],0),1)*C180,
IF(E180="방어형",INDEX(몬스터계수[[#Data],[생명계수]],MATCH(E180,몬스터계수[[#Data],[타입]],0),1)*C180,
IF(E180="회피형",INDEX(몬스터계수[[#Data],[생명계수]],MATCH(E180,몬스터계수[[#Data],[타입]],0),1)*C180,
IF(E180="체력형",INDEX(몬스터계수[[#Data],[생명계수]],MATCH(E180,몬스터계수[[#Data],[타입]],0),1)*C180,0))))*IF(몬스터밸런스[[#This Row],[보스]]=TRUE,2,1)</f>
        <v>4432.5</v>
      </c>
      <c r="G180">
        <f>IF(E180="공격형",INDEX(몬스터계수[[#Data],[힘계수]],MATCH(E180, 몬스터계수[[#Data],[타입]],0),1)*C180,
IF(E180="방어형",INDEX(몬스터계수[[#Data],[힘계수]],MATCH(E180, 몬스터계수[[#Data],[타입]],0),1)*C180,
IF(E180="회피형",INDEX(몬스터계수[[#Data],[힘계수]],MATCH(E180, 몬스터계수[[#Data],[타입]],0),1)*C180,
IF(E180="체력형",INDEX(몬스터계수[[#Data],[힘계수]],MATCH(E180, 몬스터계수[[#Data],[타입]],0),1)*C180,0))))</f>
        <v>2216.25</v>
      </c>
      <c r="H180">
        <f>IF(E180="공격형",INDEX(몬스터계수[[#Data],[근력게수]],MATCH(E180,몬스터계수[[#Data],[타입]],0),1)*C180,
IF(E180="방어형",INDEX(몬스터계수[[#Data],[근력게수]],MATCH(E180,몬스터계수[[#Data],[타입]],0),1)*C180,
IF(E180="회피형",INDEX(몬스터계수[[#Data],[근력게수]],MATCH(E180,몬스터계수[[#Data],[타입]],0),1)*C180,
IF(E180="체력형",INDEX(몬스터계수[[#Data],[근력게수]],MATCH(E180,몬스터계수[[#Data],[타입]],0),1)*C180,0))))</f>
        <v>443.25</v>
      </c>
      <c r="I180">
        <f>IF(E180="공격형",INDEX(몬스터계수[[#Data],[숙련도계수]],MATCH(E180,몬스터계수[[#Data],[타입]],0),1)*C180,
IF(E180="방어형",INDEX(몬스터계수[[#Data],[숙련도계수]],MATCH(E180,몬스터계수[[#Data],[타입]],0),1)*C180,
IF(E180="회피형",INDEX(몬스터계수[[#Data],[숙련도계수]],MATCH(E180,몬스터계수[[#Data],[타입]],0),1)*C180,
IF(E180="체력형",INDEX(몬스터계수[[#Data],[숙련도계수]],MATCH(E180,몬스터계수[[#Data],[타입]],0),1)*C180,0))))</f>
        <v>1329.75</v>
      </c>
      <c r="J180">
        <f>IF(E180="공격형",INDEX(몬스터계수[[#Data],[행운계수]],MATCH(E180, 몬스터계수[[#Data],[타입]],0),1)*C180,
IF(E180="방어형",INDEX(몬스터계수[[#Data],[행운계수]],MATCH(E180, 몬스터계수[[#Data],[타입]],0),1)*C180,
IF(E180="회피형",INDEX(몬스터계수[[#Data],[행운계수]],MATCH(E180, 몬스터계수[[#Data],[타입]],0),1)*C180,
IF(E180="체력형",INDEX(몬스터계수[[#Data],[행운계수]],MATCH(E180, 몬스터계수[[#Data],[타입]],0),1)*C180,0))))</f>
        <v>443.25</v>
      </c>
      <c r="K180" s="34">
        <f>ROUND(
(($F180)*참고!$D$5)
+(($G180)*참고!$D$6)
+(($H180)*참고!$D$7)
+(($I180)*참고!$D$8)
+(($J180))*참고!$D$9,0)</f>
        <v>68925</v>
      </c>
      <c r="L180" s="34">
        <f>ROUND(
(($F180)*참고!$E$5)
+(($G180)*참고!$E$6)
+(($H180)*참고!$E$7)
+(($I180)*참고!$E$8)
+(($J180))*참고!$E$9,0)</f>
        <v>39449</v>
      </c>
      <c r="M180" s="34">
        <f>ROUND(
(($F180)*참고!$F$5)
+(($G180)*참고!$F$6)
+(($H180)*참고!$F$7)
+(($I180)*참고!$F$8)
+(($J180))*참고!$F$9,0)</f>
        <v>11081</v>
      </c>
      <c r="N180" s="34">
        <f>ROUND(
(($F180)*참고!$G$5)
+(($G180)*참고!$G$6)
+(($H180)*참고!$G$7)
+(($I180)*참고!$G$8)
+(($J180))*참고!$G$9,0)</f>
        <v>310</v>
      </c>
      <c r="O180" s="34">
        <f>ROUND(
(($F180)*참고!$H$5)
+(($G180)*참고!$H$6)
+(($H180)*참고!$H$7)
+(($I180)*참고!$H$8)
+(($J180))*참고!$H$9,0)</f>
        <v>7314</v>
      </c>
      <c r="P180" s="34">
        <f>ROUND(
(($F180)*참고!$I$5)
+(($G180)*참고!$I$6)
+(($H180)*참고!$I$7)
+(($I180)*참고!$I$8)
+(($J180))*참고!$I$9,0)</f>
        <v>12854</v>
      </c>
      <c r="Q180" s="34">
        <f>ROUND(
(($F180)*참고!$J$5)
+(($G180)*참고!$J$6)
+(($H180)*참고!$J$7)
+(($I180)*참고!$J$8)
+(($J180))*참고!$J$9,0)</f>
        <v>8865</v>
      </c>
      <c r="R180" s="34">
        <f>IF(E180="공격형",(INDEX(몬스터계수[[#Data],[속도]],MATCH(E180, 몬스터계수[[#Data],[타입]],0),1)*속도핸들러_곱계수)*(INT(몬스터밸런스[[#This Row],[Lv]]/속도핸들러_합계수+1)),
IF(E180="방어형",(INDEX(몬스터계수[[#Data],[속도]],MATCH(E180, 몬스터계수[[#Data],[타입]],0),1)*속도핸들러_곱계수)*(INT(몬스터밸런스[[#This Row],[Lv]]/속도핸들러_합계수+1)),
IF(E180="회피형",(INDEX(몬스터계수[[#Data],[속도]],MATCH(E180, 몬스터계수[[#Data],[타입]],0),1)*속도핸들러_곱계수)*(INT(몬스터밸런스[[#This Row],[Lv]]/속도핸들러_합계수+1)),
IF(E180="기본형",(INDEX(몬스터계수[[#Data],[속도]],MATCH(E180, 몬스터계수[[#Data],[타입]],0),1)*속도핸들러_곱계수)*(INT(몬스터밸런스[[#This Row],[Lv]]/속도핸들러_합계수+1)),0))))</f>
        <v>0</v>
      </c>
      <c r="S180">
        <f t="shared" si="7"/>
        <v>2366429.5</v>
      </c>
      <c r="U180">
        <v>1</v>
      </c>
      <c r="V180">
        <v>178</v>
      </c>
      <c r="W180">
        <f>$Z$1*몬스터밸런스9[[#This Row],[단계]]</f>
        <v>5</v>
      </c>
      <c r="X180" t="s">
        <v>47</v>
      </c>
      <c r="AE180" s="34"/>
      <c r="AF180" s="34"/>
      <c r="AG180" s="34"/>
      <c r="AH180" s="34">
        <f>몬스터밸런스[[#This Row],[CriticalRate]]*0.3</f>
        <v>93</v>
      </c>
      <c r="AI180" s="34"/>
      <c r="AJ180" s="34"/>
      <c r="AK180" s="34"/>
      <c r="AL180">
        <f t="shared" si="8"/>
        <v>46.5</v>
      </c>
    </row>
    <row r="181" spans="1:38">
      <c r="A181">
        <v>1780</v>
      </c>
      <c r="B181">
        <v>179</v>
      </c>
      <c r="C181">
        <f>$F$1*몬스터밸런스[[#This Row],[Lv]]+15</f>
        <v>8915</v>
      </c>
      <c r="E181" t="s">
        <v>479</v>
      </c>
      <c r="F181">
        <f>IF(E181="공격형",INDEX(몬스터계수[[#Data],[생명계수]],MATCH(E181,몬스터계수[[#Data],[타입]],0),1)*C181,
IF(E181="방어형",INDEX(몬스터계수[[#Data],[생명계수]],MATCH(E181,몬스터계수[[#Data],[타입]],0),1)*C181,
IF(E181="회피형",INDEX(몬스터계수[[#Data],[생명계수]],MATCH(E181,몬스터계수[[#Data],[타입]],0),1)*C181,
IF(E181="체력형",INDEX(몬스터계수[[#Data],[생명계수]],MATCH(E181,몬스터계수[[#Data],[타입]],0),1)*C181,0))))*IF(몬스터밸런스[[#This Row],[보스]]=TRUE,2,1)</f>
        <v>4457.5</v>
      </c>
      <c r="G181">
        <f>IF(E181="공격형",INDEX(몬스터계수[[#Data],[힘계수]],MATCH(E181, 몬스터계수[[#Data],[타입]],0),1)*C181,
IF(E181="방어형",INDEX(몬스터계수[[#Data],[힘계수]],MATCH(E181, 몬스터계수[[#Data],[타입]],0),1)*C181,
IF(E181="회피형",INDEX(몬스터계수[[#Data],[힘계수]],MATCH(E181, 몬스터계수[[#Data],[타입]],0),1)*C181,
IF(E181="체력형",INDEX(몬스터계수[[#Data],[힘계수]],MATCH(E181, 몬스터계수[[#Data],[타입]],0),1)*C181,0))))</f>
        <v>2228.75</v>
      </c>
      <c r="H181">
        <f>IF(E181="공격형",INDEX(몬스터계수[[#Data],[근력게수]],MATCH(E181,몬스터계수[[#Data],[타입]],0),1)*C181,
IF(E181="방어형",INDEX(몬스터계수[[#Data],[근력게수]],MATCH(E181,몬스터계수[[#Data],[타입]],0),1)*C181,
IF(E181="회피형",INDEX(몬스터계수[[#Data],[근력게수]],MATCH(E181,몬스터계수[[#Data],[타입]],0),1)*C181,
IF(E181="체력형",INDEX(몬스터계수[[#Data],[근력게수]],MATCH(E181,몬스터계수[[#Data],[타입]],0),1)*C181,0))))</f>
        <v>445.75</v>
      </c>
      <c r="I181">
        <f>IF(E181="공격형",INDEX(몬스터계수[[#Data],[숙련도계수]],MATCH(E181,몬스터계수[[#Data],[타입]],0),1)*C181,
IF(E181="방어형",INDEX(몬스터계수[[#Data],[숙련도계수]],MATCH(E181,몬스터계수[[#Data],[타입]],0),1)*C181,
IF(E181="회피형",INDEX(몬스터계수[[#Data],[숙련도계수]],MATCH(E181,몬스터계수[[#Data],[타입]],0),1)*C181,
IF(E181="체력형",INDEX(몬스터계수[[#Data],[숙련도계수]],MATCH(E181,몬스터계수[[#Data],[타입]],0),1)*C181,0))))</f>
        <v>1337.25</v>
      </c>
      <c r="J181">
        <f>IF(E181="공격형",INDEX(몬스터계수[[#Data],[행운계수]],MATCH(E181, 몬스터계수[[#Data],[타입]],0),1)*C181,
IF(E181="방어형",INDEX(몬스터계수[[#Data],[행운계수]],MATCH(E181, 몬스터계수[[#Data],[타입]],0),1)*C181,
IF(E181="회피형",INDEX(몬스터계수[[#Data],[행운계수]],MATCH(E181, 몬스터계수[[#Data],[타입]],0),1)*C181,
IF(E181="체력형",INDEX(몬스터계수[[#Data],[행운계수]],MATCH(E181, 몬스터계수[[#Data],[타입]],0),1)*C181,0))))</f>
        <v>445.75</v>
      </c>
      <c r="K181" s="34">
        <f>ROUND(
(($F181)*참고!$D$5)
+(($G181)*참고!$D$6)
+(($H181)*참고!$D$7)
+(($I181)*참고!$D$8)
+(($J181))*참고!$D$9,0)</f>
        <v>69314</v>
      </c>
      <c r="L181" s="34">
        <f>ROUND(
(($F181)*참고!$E$5)
+(($G181)*참고!$E$6)
+(($H181)*참고!$E$7)
+(($I181)*참고!$E$8)
+(($J181))*참고!$E$9,0)</f>
        <v>39672</v>
      </c>
      <c r="M181" s="34">
        <f>ROUND(
(($F181)*참고!$F$5)
+(($G181)*참고!$F$6)
+(($H181)*참고!$F$7)
+(($I181)*참고!$F$8)
+(($J181))*참고!$F$9,0)</f>
        <v>11144</v>
      </c>
      <c r="N181" s="34">
        <f>ROUND(
(($F181)*참고!$G$5)
+(($G181)*참고!$G$6)
+(($H181)*참고!$G$7)
+(($I181)*참고!$G$8)
+(($J181))*참고!$G$9,0)</f>
        <v>312</v>
      </c>
      <c r="O181" s="34">
        <f>ROUND(
(($F181)*참고!$H$5)
+(($G181)*참고!$H$6)
+(($H181)*참고!$H$7)
+(($I181)*참고!$H$8)
+(($J181))*참고!$H$9,0)</f>
        <v>7355</v>
      </c>
      <c r="P181" s="34">
        <f>ROUND(
(($F181)*참고!$I$5)
+(($G181)*참고!$I$6)
+(($H181)*참고!$I$7)
+(($I181)*참고!$I$8)
+(($J181))*참고!$I$9,0)</f>
        <v>12927</v>
      </c>
      <c r="Q181" s="34">
        <f>ROUND(
(($F181)*참고!$J$5)
+(($G181)*참고!$J$6)
+(($H181)*참고!$J$7)
+(($I181)*참고!$J$8)
+(($J181))*참고!$J$9,0)</f>
        <v>8915</v>
      </c>
      <c r="R181" s="34">
        <f>IF(E181="공격형",(INDEX(몬스터계수[[#Data],[속도]],MATCH(E181, 몬스터계수[[#Data],[타입]],0),1)*속도핸들러_곱계수)*(INT(몬스터밸런스[[#This Row],[Lv]]/속도핸들러_합계수+1)),
IF(E181="방어형",(INDEX(몬스터계수[[#Data],[속도]],MATCH(E181, 몬스터계수[[#Data],[타입]],0),1)*속도핸들러_곱계수)*(INT(몬스터밸런스[[#This Row],[Lv]]/속도핸들러_합계수+1)),
IF(E181="회피형",(INDEX(몬스터계수[[#Data],[속도]],MATCH(E181, 몬스터계수[[#Data],[타입]],0),1)*속도핸들러_곱계수)*(INT(몬스터밸런스[[#This Row],[Lv]]/속도핸들러_합계수+1)),
IF(E181="기본형",(INDEX(몬스터계수[[#Data],[속도]],MATCH(E181, 몬스터계수[[#Data],[타입]],0),1)*속도핸들러_곱계수)*(INT(몬스터밸런스[[#This Row],[Lv]]/속도핸들러_합계수+1)),0))))</f>
        <v>0</v>
      </c>
      <c r="S181">
        <f t="shared" si="7"/>
        <v>2379801.5</v>
      </c>
      <c r="U181">
        <v>1</v>
      </c>
      <c r="V181">
        <v>179</v>
      </c>
      <c r="W181">
        <f>$Z$1*몬스터밸런스9[[#This Row],[단계]]</f>
        <v>5</v>
      </c>
      <c r="X181" t="s">
        <v>47</v>
      </c>
      <c r="AE181" s="34"/>
      <c r="AF181" s="34"/>
      <c r="AG181" s="34">
        <f>몬스터밸런스[[#This Row],[Defense]]*0.2</f>
        <v>2228.8000000000002</v>
      </c>
      <c r="AH181" s="34">
        <f>몬스터밸런스[[#This Row],[CriticalRate]]*0.3</f>
        <v>93.6</v>
      </c>
      <c r="AI181" s="34"/>
      <c r="AJ181" s="34"/>
      <c r="AK181" s="34"/>
      <c r="AL181">
        <f t="shared" ref="AL181:AL212" si="9">(AE181*HP계수) + (AF181*attack계수) + (AG181*Defense계수) + (AH181*CriticalRate계수) + (AI181*CriticalDamage계수) + (AJ181*Accuracy계수) + (AK181*DodgeRate계수)</f>
        <v>35707.600000000006</v>
      </c>
    </row>
    <row r="182" spans="1:38">
      <c r="A182">
        <v>1790</v>
      </c>
      <c r="B182">
        <v>180</v>
      </c>
      <c r="C182">
        <f>$F$1*몬스터밸런스[[#This Row],[Lv]]+15</f>
        <v>8965</v>
      </c>
      <c r="E182" t="s">
        <v>479</v>
      </c>
      <c r="F182">
        <f>IF(E182="공격형",INDEX(몬스터계수[[#Data],[생명계수]],MATCH(E182,몬스터계수[[#Data],[타입]],0),1)*C182,
IF(E182="방어형",INDEX(몬스터계수[[#Data],[생명계수]],MATCH(E182,몬스터계수[[#Data],[타입]],0),1)*C182,
IF(E182="회피형",INDEX(몬스터계수[[#Data],[생명계수]],MATCH(E182,몬스터계수[[#Data],[타입]],0),1)*C182,
IF(E182="체력형",INDEX(몬스터계수[[#Data],[생명계수]],MATCH(E182,몬스터계수[[#Data],[타입]],0),1)*C182,0))))*IF(몬스터밸런스[[#This Row],[보스]]=TRUE,2,1)</f>
        <v>4482.5</v>
      </c>
      <c r="G182">
        <f>IF(E182="공격형",INDEX(몬스터계수[[#Data],[힘계수]],MATCH(E182, 몬스터계수[[#Data],[타입]],0),1)*C182,
IF(E182="방어형",INDEX(몬스터계수[[#Data],[힘계수]],MATCH(E182, 몬스터계수[[#Data],[타입]],0),1)*C182,
IF(E182="회피형",INDEX(몬스터계수[[#Data],[힘계수]],MATCH(E182, 몬스터계수[[#Data],[타입]],0),1)*C182,
IF(E182="체력형",INDEX(몬스터계수[[#Data],[힘계수]],MATCH(E182, 몬스터계수[[#Data],[타입]],0),1)*C182,0))))</f>
        <v>2241.25</v>
      </c>
      <c r="H182">
        <f>IF(E182="공격형",INDEX(몬스터계수[[#Data],[근력게수]],MATCH(E182,몬스터계수[[#Data],[타입]],0),1)*C182,
IF(E182="방어형",INDEX(몬스터계수[[#Data],[근력게수]],MATCH(E182,몬스터계수[[#Data],[타입]],0),1)*C182,
IF(E182="회피형",INDEX(몬스터계수[[#Data],[근력게수]],MATCH(E182,몬스터계수[[#Data],[타입]],0),1)*C182,
IF(E182="체력형",INDEX(몬스터계수[[#Data],[근력게수]],MATCH(E182,몬스터계수[[#Data],[타입]],0),1)*C182,0))))</f>
        <v>448.25</v>
      </c>
      <c r="I182">
        <f>IF(E182="공격형",INDEX(몬스터계수[[#Data],[숙련도계수]],MATCH(E182,몬스터계수[[#Data],[타입]],0),1)*C182,
IF(E182="방어형",INDEX(몬스터계수[[#Data],[숙련도계수]],MATCH(E182,몬스터계수[[#Data],[타입]],0),1)*C182,
IF(E182="회피형",INDEX(몬스터계수[[#Data],[숙련도계수]],MATCH(E182,몬스터계수[[#Data],[타입]],0),1)*C182,
IF(E182="체력형",INDEX(몬스터계수[[#Data],[숙련도계수]],MATCH(E182,몬스터계수[[#Data],[타입]],0),1)*C182,0))))</f>
        <v>1344.75</v>
      </c>
      <c r="J182">
        <f>IF(E182="공격형",INDEX(몬스터계수[[#Data],[행운계수]],MATCH(E182, 몬스터계수[[#Data],[타입]],0),1)*C182,
IF(E182="방어형",INDEX(몬스터계수[[#Data],[행운계수]],MATCH(E182, 몬스터계수[[#Data],[타입]],0),1)*C182,
IF(E182="회피형",INDEX(몬스터계수[[#Data],[행운계수]],MATCH(E182, 몬스터계수[[#Data],[타입]],0),1)*C182,
IF(E182="체력형",INDEX(몬스터계수[[#Data],[행운계수]],MATCH(E182, 몬스터계수[[#Data],[타입]],0),1)*C182,0))))</f>
        <v>448.25</v>
      </c>
      <c r="K182" s="34">
        <f>ROUND(
(($F182)*참고!$D$5)
+(($G182)*참고!$D$6)
+(($H182)*참고!$D$7)
+(($I182)*참고!$D$8)
+(($J182))*참고!$D$9,0)</f>
        <v>69703</v>
      </c>
      <c r="L182" s="34">
        <f>ROUND(
(($F182)*참고!$E$5)
+(($G182)*참고!$E$6)
+(($H182)*참고!$E$7)
+(($I182)*참고!$E$8)
+(($J182))*참고!$E$9,0)</f>
        <v>39894</v>
      </c>
      <c r="M182" s="34">
        <f>ROUND(
(($F182)*참고!$F$5)
+(($G182)*참고!$F$6)
+(($H182)*참고!$F$7)
+(($I182)*참고!$F$8)
+(($J182))*참고!$F$9,0)</f>
        <v>11206</v>
      </c>
      <c r="N182" s="34">
        <f>ROUND(
(($F182)*참고!$G$5)
+(($G182)*참고!$G$6)
+(($H182)*참고!$G$7)
+(($I182)*참고!$G$8)
+(($J182))*참고!$G$9,0)</f>
        <v>314</v>
      </c>
      <c r="O182" s="34">
        <f>ROUND(
(($F182)*참고!$H$5)
+(($G182)*참고!$H$6)
+(($H182)*참고!$H$7)
+(($I182)*참고!$H$8)
+(($J182))*참고!$H$9,0)</f>
        <v>7396</v>
      </c>
      <c r="P182" s="34">
        <f>ROUND(
(($F182)*참고!$I$5)
+(($G182)*참고!$I$6)
+(($H182)*참고!$I$7)
+(($I182)*참고!$I$8)
+(($J182))*참고!$I$9,0)</f>
        <v>12999</v>
      </c>
      <c r="Q182" s="34">
        <f>ROUND(
(($F182)*참고!$J$5)
+(($G182)*참고!$J$6)
+(($H182)*참고!$J$7)
+(($I182)*참고!$J$8)
+(($J182))*참고!$J$9,0)</f>
        <v>8965</v>
      </c>
      <c r="R182" s="34">
        <f>IF(E182="공격형",(INDEX(몬스터계수[[#Data],[속도]],MATCH(E182, 몬스터계수[[#Data],[타입]],0),1)*속도핸들러_곱계수)*(INT(몬스터밸런스[[#This Row],[Lv]]/속도핸들러_합계수+1)),
IF(E182="방어형",(INDEX(몬스터계수[[#Data],[속도]],MATCH(E182, 몬스터계수[[#Data],[타입]],0),1)*속도핸들러_곱계수)*(INT(몬스터밸런스[[#This Row],[Lv]]/속도핸들러_합계수+1)),
IF(E182="회피형",(INDEX(몬스터계수[[#Data],[속도]],MATCH(E182, 몬스터계수[[#Data],[타입]],0),1)*속도핸들러_곱계수)*(INT(몬스터밸런스[[#This Row],[Lv]]/속도핸들러_합계수+1)),
IF(E182="기본형",(INDEX(몬스터계수[[#Data],[속도]],MATCH(E182, 몬스터계수[[#Data],[타입]],0),1)*속도핸들러_곱계수)*(INT(몬스터밸런스[[#This Row],[Lv]]/속도핸들러_합계수+1)),0))))</f>
        <v>0</v>
      </c>
      <c r="S182">
        <f t="shared" si="7"/>
        <v>2393130.5</v>
      </c>
      <c r="U182">
        <v>1</v>
      </c>
      <c r="V182">
        <v>180</v>
      </c>
      <c r="W182">
        <f>$Z$1*몬스터밸런스9[[#This Row],[단계]]</f>
        <v>5</v>
      </c>
      <c r="X182" t="s">
        <v>47</v>
      </c>
      <c r="AE182" s="34"/>
      <c r="AF182" s="34"/>
      <c r="AG182" s="34">
        <f>몬스터밸런스[[#This Row],[Defense]]*0.2</f>
        <v>2241.2000000000003</v>
      </c>
      <c r="AH182" s="34">
        <f>몬스터밸런스[[#This Row],[CriticalRate]]*0.3</f>
        <v>94.2</v>
      </c>
      <c r="AI182" s="34"/>
      <c r="AJ182" s="34"/>
      <c r="AK182" s="34"/>
      <c r="AL182">
        <f t="shared" si="9"/>
        <v>35906.300000000003</v>
      </c>
    </row>
    <row r="183" spans="1:38">
      <c r="A183">
        <v>1800</v>
      </c>
      <c r="B183">
        <v>181</v>
      </c>
      <c r="C183">
        <f>$F$1*몬스터밸런스[[#This Row],[Lv]]+15</f>
        <v>9015</v>
      </c>
      <c r="E183" t="s">
        <v>479</v>
      </c>
      <c r="F183">
        <f>IF(E183="공격형",INDEX(몬스터계수[[#Data],[생명계수]],MATCH(E183,몬스터계수[[#Data],[타입]],0),1)*C183,
IF(E183="방어형",INDEX(몬스터계수[[#Data],[생명계수]],MATCH(E183,몬스터계수[[#Data],[타입]],0),1)*C183,
IF(E183="회피형",INDEX(몬스터계수[[#Data],[생명계수]],MATCH(E183,몬스터계수[[#Data],[타입]],0),1)*C183,
IF(E183="체력형",INDEX(몬스터계수[[#Data],[생명계수]],MATCH(E183,몬스터계수[[#Data],[타입]],0),1)*C183,0))))*IF(몬스터밸런스[[#This Row],[보스]]=TRUE,2,1)</f>
        <v>4507.5</v>
      </c>
      <c r="G183">
        <f>IF(E183="공격형",INDEX(몬스터계수[[#Data],[힘계수]],MATCH(E183, 몬스터계수[[#Data],[타입]],0),1)*C183,
IF(E183="방어형",INDEX(몬스터계수[[#Data],[힘계수]],MATCH(E183, 몬스터계수[[#Data],[타입]],0),1)*C183,
IF(E183="회피형",INDEX(몬스터계수[[#Data],[힘계수]],MATCH(E183, 몬스터계수[[#Data],[타입]],0),1)*C183,
IF(E183="체력형",INDEX(몬스터계수[[#Data],[힘계수]],MATCH(E183, 몬스터계수[[#Data],[타입]],0),1)*C183,0))))</f>
        <v>2253.75</v>
      </c>
      <c r="H183">
        <f>IF(E183="공격형",INDEX(몬스터계수[[#Data],[근력게수]],MATCH(E183,몬스터계수[[#Data],[타입]],0),1)*C183,
IF(E183="방어형",INDEX(몬스터계수[[#Data],[근력게수]],MATCH(E183,몬스터계수[[#Data],[타입]],0),1)*C183,
IF(E183="회피형",INDEX(몬스터계수[[#Data],[근력게수]],MATCH(E183,몬스터계수[[#Data],[타입]],0),1)*C183,
IF(E183="체력형",INDEX(몬스터계수[[#Data],[근력게수]],MATCH(E183,몬스터계수[[#Data],[타입]],0),1)*C183,0))))</f>
        <v>450.75</v>
      </c>
      <c r="I183">
        <f>IF(E183="공격형",INDEX(몬스터계수[[#Data],[숙련도계수]],MATCH(E183,몬스터계수[[#Data],[타입]],0),1)*C183,
IF(E183="방어형",INDEX(몬스터계수[[#Data],[숙련도계수]],MATCH(E183,몬스터계수[[#Data],[타입]],0),1)*C183,
IF(E183="회피형",INDEX(몬스터계수[[#Data],[숙련도계수]],MATCH(E183,몬스터계수[[#Data],[타입]],0),1)*C183,
IF(E183="체력형",INDEX(몬스터계수[[#Data],[숙련도계수]],MATCH(E183,몬스터계수[[#Data],[타입]],0),1)*C183,0))))</f>
        <v>1352.25</v>
      </c>
      <c r="J183">
        <f>IF(E183="공격형",INDEX(몬스터계수[[#Data],[행운계수]],MATCH(E183, 몬스터계수[[#Data],[타입]],0),1)*C183,
IF(E183="방어형",INDEX(몬스터계수[[#Data],[행운계수]],MATCH(E183, 몬스터계수[[#Data],[타입]],0),1)*C183,
IF(E183="회피형",INDEX(몬스터계수[[#Data],[행운계수]],MATCH(E183, 몬스터계수[[#Data],[타입]],0),1)*C183,
IF(E183="체력형",INDEX(몬스터계수[[#Data],[행운계수]],MATCH(E183, 몬스터계수[[#Data],[타입]],0),1)*C183,0))))</f>
        <v>450.75</v>
      </c>
      <c r="K183" s="34">
        <f>ROUND(
(($F183)*참고!$D$5)
+(($G183)*참고!$D$6)
+(($H183)*참고!$D$7)
+(($I183)*참고!$D$8)
+(($J183))*참고!$D$9,0)</f>
        <v>70092</v>
      </c>
      <c r="L183" s="34">
        <f>ROUND(
(($F183)*참고!$E$5)
+(($G183)*참고!$E$6)
+(($H183)*참고!$E$7)
+(($I183)*참고!$E$8)
+(($J183))*참고!$E$9,0)</f>
        <v>40117</v>
      </c>
      <c r="M183" s="34">
        <f>ROUND(
(($F183)*참고!$F$5)
+(($G183)*참고!$F$6)
+(($H183)*참고!$F$7)
+(($I183)*참고!$F$8)
+(($J183))*참고!$F$9,0)</f>
        <v>11269</v>
      </c>
      <c r="N183" s="34">
        <f>ROUND(
(($F183)*참고!$G$5)
+(($G183)*참고!$G$6)
+(($H183)*참고!$G$7)
+(($I183)*참고!$G$8)
+(($J183))*참고!$G$9,0)</f>
        <v>316</v>
      </c>
      <c r="O183" s="34">
        <f>ROUND(
(($F183)*참고!$H$5)
+(($G183)*참고!$H$6)
+(($H183)*참고!$H$7)
+(($I183)*참고!$H$8)
+(($J183))*참고!$H$9,0)</f>
        <v>7437</v>
      </c>
      <c r="P183" s="34">
        <f>ROUND(
(($F183)*참고!$I$5)
+(($G183)*참고!$I$6)
+(($H183)*참고!$I$7)
+(($I183)*참고!$I$8)
+(($J183))*참고!$I$9,0)</f>
        <v>13072</v>
      </c>
      <c r="Q183" s="34">
        <f>ROUND(
(($F183)*참고!$J$5)
+(($G183)*참고!$J$6)
+(($H183)*참고!$J$7)
+(($I183)*참고!$J$8)
+(($J183))*참고!$J$9,0)</f>
        <v>9015</v>
      </c>
      <c r="R183" s="34">
        <f>IF(E183="공격형",(INDEX(몬스터계수[[#Data],[속도]],MATCH(E183, 몬스터계수[[#Data],[타입]],0),1)*속도핸들러_곱계수)*(INT(몬스터밸런스[[#This Row],[Lv]]/속도핸들러_합계수+1)),
IF(E183="방어형",(INDEX(몬스터계수[[#Data],[속도]],MATCH(E183, 몬스터계수[[#Data],[타입]],0),1)*속도핸들러_곱계수)*(INT(몬스터밸런스[[#This Row],[Lv]]/속도핸들러_합계수+1)),
IF(E183="회피형",(INDEX(몬스터계수[[#Data],[속도]],MATCH(E183, 몬스터계수[[#Data],[타입]],0),1)*속도핸들러_곱계수)*(INT(몬스터밸런스[[#This Row],[Lv]]/속도핸들러_합계수+1)),
IF(E183="기본형",(INDEX(몬스터계수[[#Data],[속도]],MATCH(E183, 몬스터계수[[#Data],[타입]],0),1)*속도핸들러_곱계수)*(INT(몬스터밸런스[[#This Row],[Lv]]/속도핸들러_합계수+1)),0))))</f>
        <v>0</v>
      </c>
      <c r="S183">
        <f t="shared" si="7"/>
        <v>2406502.5</v>
      </c>
      <c r="U183">
        <v>2</v>
      </c>
      <c r="V183">
        <v>181</v>
      </c>
      <c r="W183">
        <f>$Z$1*몬스터밸런스9[[#This Row],[단계]]</f>
        <v>10</v>
      </c>
      <c r="X183" t="s">
        <v>47</v>
      </c>
      <c r="AE183" s="34"/>
      <c r="AF183" s="34"/>
      <c r="AG183" s="34"/>
      <c r="AH183" s="34">
        <f>몬스터밸런스[[#This Row],[CriticalRate]]*0.3</f>
        <v>94.8</v>
      </c>
      <c r="AI183" s="34"/>
      <c r="AJ183" s="34"/>
      <c r="AK183" s="34"/>
      <c r="AL183">
        <f t="shared" si="9"/>
        <v>47.4</v>
      </c>
    </row>
    <row r="184" spans="1:38">
      <c r="A184">
        <v>1810</v>
      </c>
      <c r="B184">
        <v>182</v>
      </c>
      <c r="C184">
        <f>$F$1*몬스터밸런스[[#This Row],[Lv]]+15</f>
        <v>9065</v>
      </c>
      <c r="E184" t="s">
        <v>479</v>
      </c>
      <c r="F184">
        <f>IF(E184="공격형",INDEX(몬스터계수[[#Data],[생명계수]],MATCH(E184,몬스터계수[[#Data],[타입]],0),1)*C184,
IF(E184="방어형",INDEX(몬스터계수[[#Data],[생명계수]],MATCH(E184,몬스터계수[[#Data],[타입]],0),1)*C184,
IF(E184="회피형",INDEX(몬스터계수[[#Data],[생명계수]],MATCH(E184,몬스터계수[[#Data],[타입]],0),1)*C184,
IF(E184="체력형",INDEX(몬스터계수[[#Data],[생명계수]],MATCH(E184,몬스터계수[[#Data],[타입]],0),1)*C184,0))))*IF(몬스터밸런스[[#This Row],[보스]]=TRUE,2,1)</f>
        <v>4532.5</v>
      </c>
      <c r="G184">
        <f>IF(E184="공격형",INDEX(몬스터계수[[#Data],[힘계수]],MATCH(E184, 몬스터계수[[#Data],[타입]],0),1)*C184,
IF(E184="방어형",INDEX(몬스터계수[[#Data],[힘계수]],MATCH(E184, 몬스터계수[[#Data],[타입]],0),1)*C184,
IF(E184="회피형",INDEX(몬스터계수[[#Data],[힘계수]],MATCH(E184, 몬스터계수[[#Data],[타입]],0),1)*C184,
IF(E184="체력형",INDEX(몬스터계수[[#Data],[힘계수]],MATCH(E184, 몬스터계수[[#Data],[타입]],0),1)*C184,0))))</f>
        <v>2266.25</v>
      </c>
      <c r="H184">
        <f>IF(E184="공격형",INDEX(몬스터계수[[#Data],[근력게수]],MATCH(E184,몬스터계수[[#Data],[타입]],0),1)*C184,
IF(E184="방어형",INDEX(몬스터계수[[#Data],[근력게수]],MATCH(E184,몬스터계수[[#Data],[타입]],0),1)*C184,
IF(E184="회피형",INDEX(몬스터계수[[#Data],[근력게수]],MATCH(E184,몬스터계수[[#Data],[타입]],0),1)*C184,
IF(E184="체력형",INDEX(몬스터계수[[#Data],[근력게수]],MATCH(E184,몬스터계수[[#Data],[타입]],0),1)*C184,0))))</f>
        <v>453.25</v>
      </c>
      <c r="I184">
        <f>IF(E184="공격형",INDEX(몬스터계수[[#Data],[숙련도계수]],MATCH(E184,몬스터계수[[#Data],[타입]],0),1)*C184,
IF(E184="방어형",INDEX(몬스터계수[[#Data],[숙련도계수]],MATCH(E184,몬스터계수[[#Data],[타입]],0),1)*C184,
IF(E184="회피형",INDEX(몬스터계수[[#Data],[숙련도계수]],MATCH(E184,몬스터계수[[#Data],[타입]],0),1)*C184,
IF(E184="체력형",INDEX(몬스터계수[[#Data],[숙련도계수]],MATCH(E184,몬스터계수[[#Data],[타입]],0),1)*C184,0))))</f>
        <v>1359.75</v>
      </c>
      <c r="J184">
        <f>IF(E184="공격형",INDEX(몬스터계수[[#Data],[행운계수]],MATCH(E184, 몬스터계수[[#Data],[타입]],0),1)*C184,
IF(E184="방어형",INDEX(몬스터계수[[#Data],[행운계수]],MATCH(E184, 몬스터계수[[#Data],[타입]],0),1)*C184,
IF(E184="회피형",INDEX(몬스터계수[[#Data],[행운계수]],MATCH(E184, 몬스터계수[[#Data],[타입]],0),1)*C184,
IF(E184="체력형",INDEX(몬스터계수[[#Data],[행운계수]],MATCH(E184, 몬스터계수[[#Data],[타입]],0),1)*C184,0))))</f>
        <v>453.25</v>
      </c>
      <c r="K184" s="34">
        <f>ROUND(
(($F184)*참고!$D$5)
+(($G184)*참고!$D$6)
+(($H184)*참고!$D$7)
+(($I184)*참고!$D$8)
+(($J184))*참고!$D$9,0)</f>
        <v>70480</v>
      </c>
      <c r="L184" s="34">
        <f>ROUND(
(($F184)*참고!$E$5)
+(($G184)*참고!$E$6)
+(($H184)*참고!$E$7)
+(($I184)*참고!$E$8)
+(($J184))*참고!$E$9,0)</f>
        <v>40339</v>
      </c>
      <c r="M184" s="34">
        <f>ROUND(
(($F184)*참고!$F$5)
+(($G184)*참고!$F$6)
+(($H184)*참고!$F$7)
+(($I184)*참고!$F$8)
+(($J184))*참고!$F$9,0)</f>
        <v>11331</v>
      </c>
      <c r="N184" s="34">
        <f>ROUND(
(($F184)*참고!$G$5)
+(($G184)*참고!$G$6)
+(($H184)*참고!$G$7)
+(($I184)*참고!$G$8)
+(($J184))*참고!$G$9,0)</f>
        <v>317</v>
      </c>
      <c r="O184" s="34">
        <f>ROUND(
(($F184)*참고!$H$5)
+(($G184)*참고!$H$6)
+(($H184)*참고!$H$7)
+(($I184)*참고!$H$8)
+(($J184))*참고!$H$9,0)</f>
        <v>7479</v>
      </c>
      <c r="P184" s="34">
        <f>ROUND(
(($F184)*참고!$I$5)
+(($G184)*참고!$I$6)
+(($H184)*참고!$I$7)
+(($I184)*참고!$I$8)
+(($J184))*참고!$I$9,0)</f>
        <v>13144</v>
      </c>
      <c r="Q184" s="34">
        <f>ROUND(
(($F184)*참고!$J$5)
+(($G184)*참고!$J$6)
+(($H184)*참고!$J$7)
+(($I184)*참고!$J$8)
+(($J184))*참고!$J$9,0)</f>
        <v>9065</v>
      </c>
      <c r="R184" s="34">
        <f>IF(E184="공격형",(INDEX(몬스터계수[[#Data],[속도]],MATCH(E184, 몬스터계수[[#Data],[타입]],0),1)*속도핸들러_곱계수)*(INT(몬스터밸런스[[#This Row],[Lv]]/속도핸들러_합계수+1)),
IF(E184="방어형",(INDEX(몬스터계수[[#Data],[속도]],MATCH(E184, 몬스터계수[[#Data],[타입]],0),1)*속도핸들러_곱계수)*(INT(몬스터밸런스[[#This Row],[Lv]]/속도핸들러_합계수+1)),
IF(E184="회피형",(INDEX(몬스터계수[[#Data],[속도]],MATCH(E184, 몬스터계수[[#Data],[타입]],0),1)*속도핸들러_곱계수)*(INT(몬스터밸런스[[#This Row],[Lv]]/속도핸들러_합계수+1)),
IF(E184="기본형",(INDEX(몬스터계수[[#Data],[속도]],MATCH(E184, 몬스터계수[[#Data],[타입]],0),1)*속도핸들러_곱계수)*(INT(몬스터밸런스[[#This Row],[Lv]]/속도핸들러_합계수+1)),0))))</f>
        <v>0</v>
      </c>
      <c r="S184">
        <f t="shared" si="7"/>
        <v>2419818</v>
      </c>
      <c r="U184">
        <v>2</v>
      </c>
      <c r="V184">
        <v>182</v>
      </c>
      <c r="W184">
        <f>$Z$1*몬스터밸런스9[[#This Row],[단계]]</f>
        <v>10</v>
      </c>
      <c r="X184" t="s">
        <v>47</v>
      </c>
      <c r="AE184" s="34"/>
      <c r="AF184" s="34"/>
      <c r="AG184" s="34"/>
      <c r="AH184" s="34">
        <f>몬스터밸런스[[#This Row],[CriticalRate]]*0.3</f>
        <v>95.1</v>
      </c>
      <c r="AI184" s="34"/>
      <c r="AJ184" s="34"/>
      <c r="AK184" s="34"/>
      <c r="AL184">
        <f t="shared" si="9"/>
        <v>47.55</v>
      </c>
    </row>
    <row r="185" spans="1:38">
      <c r="A185">
        <v>1820</v>
      </c>
      <c r="B185">
        <v>183</v>
      </c>
      <c r="C185">
        <f>$F$1*몬스터밸런스[[#This Row],[Lv]]+15</f>
        <v>9115</v>
      </c>
      <c r="E185" t="s">
        <v>479</v>
      </c>
      <c r="F185">
        <f>IF(E185="공격형",INDEX(몬스터계수[[#Data],[생명계수]],MATCH(E185,몬스터계수[[#Data],[타입]],0),1)*C185,
IF(E185="방어형",INDEX(몬스터계수[[#Data],[생명계수]],MATCH(E185,몬스터계수[[#Data],[타입]],0),1)*C185,
IF(E185="회피형",INDEX(몬스터계수[[#Data],[생명계수]],MATCH(E185,몬스터계수[[#Data],[타입]],0),1)*C185,
IF(E185="체력형",INDEX(몬스터계수[[#Data],[생명계수]],MATCH(E185,몬스터계수[[#Data],[타입]],0),1)*C185,0))))*IF(몬스터밸런스[[#This Row],[보스]]=TRUE,2,1)</f>
        <v>4557.5</v>
      </c>
      <c r="G185">
        <f>IF(E185="공격형",INDEX(몬스터계수[[#Data],[힘계수]],MATCH(E185, 몬스터계수[[#Data],[타입]],0),1)*C185,
IF(E185="방어형",INDEX(몬스터계수[[#Data],[힘계수]],MATCH(E185, 몬스터계수[[#Data],[타입]],0),1)*C185,
IF(E185="회피형",INDEX(몬스터계수[[#Data],[힘계수]],MATCH(E185, 몬스터계수[[#Data],[타입]],0),1)*C185,
IF(E185="체력형",INDEX(몬스터계수[[#Data],[힘계수]],MATCH(E185, 몬스터계수[[#Data],[타입]],0),1)*C185,0))))</f>
        <v>2278.75</v>
      </c>
      <c r="H185">
        <f>IF(E185="공격형",INDEX(몬스터계수[[#Data],[근력게수]],MATCH(E185,몬스터계수[[#Data],[타입]],0),1)*C185,
IF(E185="방어형",INDEX(몬스터계수[[#Data],[근력게수]],MATCH(E185,몬스터계수[[#Data],[타입]],0),1)*C185,
IF(E185="회피형",INDEX(몬스터계수[[#Data],[근력게수]],MATCH(E185,몬스터계수[[#Data],[타입]],0),1)*C185,
IF(E185="체력형",INDEX(몬스터계수[[#Data],[근력게수]],MATCH(E185,몬스터계수[[#Data],[타입]],0),1)*C185,0))))</f>
        <v>455.75</v>
      </c>
      <c r="I185">
        <f>IF(E185="공격형",INDEX(몬스터계수[[#Data],[숙련도계수]],MATCH(E185,몬스터계수[[#Data],[타입]],0),1)*C185,
IF(E185="방어형",INDEX(몬스터계수[[#Data],[숙련도계수]],MATCH(E185,몬스터계수[[#Data],[타입]],0),1)*C185,
IF(E185="회피형",INDEX(몬스터계수[[#Data],[숙련도계수]],MATCH(E185,몬스터계수[[#Data],[타입]],0),1)*C185,
IF(E185="체력형",INDEX(몬스터계수[[#Data],[숙련도계수]],MATCH(E185,몬스터계수[[#Data],[타입]],0),1)*C185,0))))</f>
        <v>1367.25</v>
      </c>
      <c r="J185">
        <f>IF(E185="공격형",INDEX(몬스터계수[[#Data],[행운계수]],MATCH(E185, 몬스터계수[[#Data],[타입]],0),1)*C185,
IF(E185="방어형",INDEX(몬스터계수[[#Data],[행운계수]],MATCH(E185, 몬스터계수[[#Data],[타입]],0),1)*C185,
IF(E185="회피형",INDEX(몬스터계수[[#Data],[행운계수]],MATCH(E185, 몬스터계수[[#Data],[타입]],0),1)*C185,
IF(E185="체력형",INDEX(몬스터계수[[#Data],[행운계수]],MATCH(E185, 몬스터계수[[#Data],[타입]],0),1)*C185,0))))</f>
        <v>455.75</v>
      </c>
      <c r="K185" s="34">
        <f>ROUND(
(($F185)*참고!$D$5)
+(($G185)*참고!$D$6)
+(($H185)*참고!$D$7)
+(($I185)*참고!$D$8)
+(($J185))*참고!$D$9,0)</f>
        <v>70869</v>
      </c>
      <c r="L185" s="34">
        <f>ROUND(
(($F185)*참고!$E$5)
+(($G185)*참고!$E$6)
+(($H185)*참고!$E$7)
+(($I185)*참고!$E$8)
+(($J185))*참고!$E$9,0)</f>
        <v>40562</v>
      </c>
      <c r="M185" s="34">
        <f>ROUND(
(($F185)*참고!$F$5)
+(($G185)*참고!$F$6)
+(($H185)*참고!$F$7)
+(($I185)*참고!$F$8)
+(($J185))*참고!$F$9,0)</f>
        <v>11394</v>
      </c>
      <c r="N185" s="34">
        <f>ROUND(
(($F185)*참고!$G$5)
+(($G185)*참고!$G$6)
+(($H185)*참고!$G$7)
+(($I185)*참고!$G$8)
+(($J185))*참고!$G$9,0)</f>
        <v>319</v>
      </c>
      <c r="O185" s="34">
        <f>ROUND(
(($F185)*참고!$H$5)
+(($G185)*참고!$H$6)
+(($H185)*참고!$H$7)
+(($I185)*참고!$H$8)
+(($J185))*참고!$H$9,0)</f>
        <v>7520</v>
      </c>
      <c r="P185" s="34">
        <f>ROUND(
(($F185)*참고!$I$5)
+(($G185)*참고!$I$6)
+(($H185)*참고!$I$7)
+(($I185)*참고!$I$8)
+(($J185))*참고!$I$9,0)</f>
        <v>13217</v>
      </c>
      <c r="Q185" s="34">
        <f>ROUND(
(($F185)*참고!$J$5)
+(($G185)*참고!$J$6)
+(($H185)*참고!$J$7)
+(($I185)*참고!$J$8)
+(($J185))*참고!$J$9,0)</f>
        <v>9115</v>
      </c>
      <c r="R185" s="34">
        <f>IF(E185="공격형",(INDEX(몬스터계수[[#Data],[속도]],MATCH(E185, 몬스터계수[[#Data],[타입]],0),1)*속도핸들러_곱계수)*(INT(몬스터밸런스[[#This Row],[Lv]]/속도핸들러_합계수+1)),
IF(E185="방어형",(INDEX(몬스터계수[[#Data],[속도]],MATCH(E185, 몬스터계수[[#Data],[타입]],0),1)*속도핸들러_곱계수)*(INT(몬스터밸런스[[#This Row],[Lv]]/속도핸들러_합계수+1)),
IF(E185="회피형",(INDEX(몬스터계수[[#Data],[속도]],MATCH(E185, 몬스터계수[[#Data],[타입]],0),1)*속도핸들러_곱계수)*(INT(몬스터밸런스[[#This Row],[Lv]]/속도핸들러_합계수+1)),
IF(E185="기본형",(INDEX(몬스터계수[[#Data],[속도]],MATCH(E185, 몬스터계수[[#Data],[타입]],0),1)*속도핸들러_곱계수)*(INT(몬스터밸런스[[#This Row],[Lv]]/속도핸들러_합계수+1)),0))))</f>
        <v>0</v>
      </c>
      <c r="S185">
        <f t="shared" si="7"/>
        <v>2433190</v>
      </c>
      <c r="U185">
        <v>2</v>
      </c>
      <c r="V185">
        <v>183</v>
      </c>
      <c r="W185">
        <f>$Z$1*몬스터밸런스9[[#This Row],[단계]]</f>
        <v>10</v>
      </c>
      <c r="X185" t="s">
        <v>47</v>
      </c>
      <c r="AE185" s="34"/>
      <c r="AF185" s="34"/>
      <c r="AG185" s="34"/>
      <c r="AH185" s="34">
        <f>몬스터밸런스[[#This Row],[CriticalRate]]*0.3</f>
        <v>95.7</v>
      </c>
      <c r="AI185" s="34"/>
      <c r="AJ185" s="34"/>
      <c r="AK185" s="34"/>
      <c r="AL185">
        <f t="shared" si="9"/>
        <v>47.85</v>
      </c>
    </row>
    <row r="186" spans="1:38">
      <c r="A186">
        <v>1830</v>
      </c>
      <c r="B186">
        <v>184</v>
      </c>
      <c r="C186">
        <f>$F$1*몬스터밸런스[[#This Row],[Lv]]+15</f>
        <v>9165</v>
      </c>
      <c r="E186" t="s">
        <v>479</v>
      </c>
      <c r="F186">
        <f>IF(E186="공격형",INDEX(몬스터계수[[#Data],[생명계수]],MATCH(E186,몬스터계수[[#Data],[타입]],0),1)*C186,
IF(E186="방어형",INDEX(몬스터계수[[#Data],[생명계수]],MATCH(E186,몬스터계수[[#Data],[타입]],0),1)*C186,
IF(E186="회피형",INDEX(몬스터계수[[#Data],[생명계수]],MATCH(E186,몬스터계수[[#Data],[타입]],0),1)*C186,
IF(E186="체력형",INDEX(몬스터계수[[#Data],[생명계수]],MATCH(E186,몬스터계수[[#Data],[타입]],0),1)*C186,0))))*IF(몬스터밸런스[[#This Row],[보스]]=TRUE,2,1)</f>
        <v>4582.5</v>
      </c>
      <c r="G186">
        <f>IF(E186="공격형",INDEX(몬스터계수[[#Data],[힘계수]],MATCH(E186, 몬스터계수[[#Data],[타입]],0),1)*C186,
IF(E186="방어형",INDEX(몬스터계수[[#Data],[힘계수]],MATCH(E186, 몬스터계수[[#Data],[타입]],0),1)*C186,
IF(E186="회피형",INDEX(몬스터계수[[#Data],[힘계수]],MATCH(E186, 몬스터계수[[#Data],[타입]],0),1)*C186,
IF(E186="체력형",INDEX(몬스터계수[[#Data],[힘계수]],MATCH(E186, 몬스터계수[[#Data],[타입]],0),1)*C186,0))))</f>
        <v>2291.25</v>
      </c>
      <c r="H186">
        <f>IF(E186="공격형",INDEX(몬스터계수[[#Data],[근력게수]],MATCH(E186,몬스터계수[[#Data],[타입]],0),1)*C186,
IF(E186="방어형",INDEX(몬스터계수[[#Data],[근력게수]],MATCH(E186,몬스터계수[[#Data],[타입]],0),1)*C186,
IF(E186="회피형",INDEX(몬스터계수[[#Data],[근력게수]],MATCH(E186,몬스터계수[[#Data],[타입]],0),1)*C186,
IF(E186="체력형",INDEX(몬스터계수[[#Data],[근력게수]],MATCH(E186,몬스터계수[[#Data],[타입]],0),1)*C186,0))))</f>
        <v>458.25</v>
      </c>
      <c r="I186">
        <f>IF(E186="공격형",INDEX(몬스터계수[[#Data],[숙련도계수]],MATCH(E186,몬스터계수[[#Data],[타입]],0),1)*C186,
IF(E186="방어형",INDEX(몬스터계수[[#Data],[숙련도계수]],MATCH(E186,몬스터계수[[#Data],[타입]],0),1)*C186,
IF(E186="회피형",INDEX(몬스터계수[[#Data],[숙련도계수]],MATCH(E186,몬스터계수[[#Data],[타입]],0),1)*C186,
IF(E186="체력형",INDEX(몬스터계수[[#Data],[숙련도계수]],MATCH(E186,몬스터계수[[#Data],[타입]],0),1)*C186,0))))</f>
        <v>1374.75</v>
      </c>
      <c r="J186">
        <f>IF(E186="공격형",INDEX(몬스터계수[[#Data],[행운계수]],MATCH(E186, 몬스터계수[[#Data],[타입]],0),1)*C186,
IF(E186="방어형",INDEX(몬스터계수[[#Data],[행운계수]],MATCH(E186, 몬스터계수[[#Data],[타입]],0),1)*C186,
IF(E186="회피형",INDEX(몬스터계수[[#Data],[행운계수]],MATCH(E186, 몬스터계수[[#Data],[타입]],0),1)*C186,
IF(E186="체력형",INDEX(몬스터계수[[#Data],[행운계수]],MATCH(E186, 몬스터계수[[#Data],[타입]],0),1)*C186,0))))</f>
        <v>458.25</v>
      </c>
      <c r="K186" s="34">
        <f>ROUND(
(($F186)*참고!$D$5)
+(($G186)*참고!$D$6)
+(($H186)*참고!$D$7)
+(($I186)*참고!$D$8)
+(($J186))*참고!$D$9,0)</f>
        <v>71258</v>
      </c>
      <c r="L186" s="34">
        <f>ROUND(
(($F186)*참고!$E$5)
+(($G186)*참고!$E$6)
+(($H186)*참고!$E$7)
+(($I186)*참고!$E$8)
+(($J186))*참고!$E$9,0)</f>
        <v>40784</v>
      </c>
      <c r="M186" s="34">
        <f>ROUND(
(($F186)*참고!$F$5)
+(($G186)*참고!$F$6)
+(($H186)*참고!$F$7)
+(($I186)*참고!$F$8)
+(($J186))*참고!$F$9,0)</f>
        <v>11456</v>
      </c>
      <c r="N186" s="34">
        <f>ROUND(
(($F186)*참고!$G$5)
+(($G186)*참고!$G$6)
+(($H186)*참고!$G$7)
+(($I186)*참고!$G$8)
+(($J186))*참고!$G$9,0)</f>
        <v>321</v>
      </c>
      <c r="O186" s="34">
        <f>ROUND(
(($F186)*참고!$H$5)
+(($G186)*참고!$H$6)
+(($H186)*참고!$H$7)
+(($I186)*참고!$H$8)
+(($J186))*참고!$H$9,0)</f>
        <v>7561</v>
      </c>
      <c r="P186" s="34">
        <f>ROUND(
(($F186)*참고!$I$5)
+(($G186)*참고!$I$6)
+(($H186)*참고!$I$7)
+(($I186)*참고!$I$8)
+(($J186))*참고!$I$9,0)</f>
        <v>13289</v>
      </c>
      <c r="Q186" s="34">
        <f>ROUND(
(($F186)*참고!$J$5)
+(($G186)*참고!$J$6)
+(($H186)*참고!$J$7)
+(($I186)*참고!$J$8)
+(($J186))*참고!$J$9,0)</f>
        <v>9165</v>
      </c>
      <c r="R186" s="34">
        <f>IF(E186="공격형",(INDEX(몬스터계수[[#Data],[속도]],MATCH(E186, 몬스터계수[[#Data],[타입]],0),1)*속도핸들러_곱계수)*(INT(몬스터밸런스[[#This Row],[Lv]]/속도핸들러_합계수+1)),
IF(E186="방어형",(INDEX(몬스터계수[[#Data],[속도]],MATCH(E186, 몬스터계수[[#Data],[타입]],0),1)*속도핸들러_곱계수)*(INT(몬스터밸런스[[#This Row],[Lv]]/속도핸들러_합계수+1)),
IF(E186="회피형",(INDEX(몬스터계수[[#Data],[속도]],MATCH(E186, 몬스터계수[[#Data],[타입]],0),1)*속도핸들러_곱계수)*(INT(몬스터밸런스[[#This Row],[Lv]]/속도핸들러_합계수+1)),
IF(E186="기본형",(INDEX(몬스터계수[[#Data],[속도]],MATCH(E186, 몬스터계수[[#Data],[타입]],0),1)*속도핸들러_곱계수)*(INT(몬스터밸런스[[#This Row],[Lv]]/속도핸들러_합계수+1)),0))))</f>
        <v>0</v>
      </c>
      <c r="S186">
        <f t="shared" si="7"/>
        <v>2446519</v>
      </c>
      <c r="U186">
        <v>2</v>
      </c>
      <c r="V186">
        <v>184</v>
      </c>
      <c r="W186">
        <f>$Z$1*몬스터밸런스9[[#This Row],[단계]]</f>
        <v>10</v>
      </c>
      <c r="X186" t="s">
        <v>47</v>
      </c>
      <c r="AE186" s="34"/>
      <c r="AF186" s="34"/>
      <c r="AG186" s="34"/>
      <c r="AH186" s="34">
        <f>몬스터밸런스[[#This Row],[CriticalRate]]*0.3</f>
        <v>96.3</v>
      </c>
      <c r="AI186" s="34"/>
      <c r="AJ186" s="34">
        <f>몬스터밸런스[[#This Row],[Accuracy]]*0.2</f>
        <v>2657.8</v>
      </c>
      <c r="AK186" s="34"/>
      <c r="AL186">
        <f t="shared" si="9"/>
        <v>29283.950000000004</v>
      </c>
    </row>
    <row r="187" spans="1:38">
      <c r="A187">
        <v>1840</v>
      </c>
      <c r="B187">
        <v>185</v>
      </c>
      <c r="C187">
        <f>$F$1*몬스터밸런스[[#This Row],[Lv]]+15</f>
        <v>9215</v>
      </c>
      <c r="E187" t="s">
        <v>479</v>
      </c>
      <c r="F187">
        <f>IF(E187="공격형",INDEX(몬스터계수[[#Data],[생명계수]],MATCH(E187,몬스터계수[[#Data],[타입]],0),1)*C187,
IF(E187="방어형",INDEX(몬스터계수[[#Data],[생명계수]],MATCH(E187,몬스터계수[[#Data],[타입]],0),1)*C187,
IF(E187="회피형",INDEX(몬스터계수[[#Data],[생명계수]],MATCH(E187,몬스터계수[[#Data],[타입]],0),1)*C187,
IF(E187="체력형",INDEX(몬스터계수[[#Data],[생명계수]],MATCH(E187,몬스터계수[[#Data],[타입]],0),1)*C187,0))))*IF(몬스터밸런스[[#This Row],[보스]]=TRUE,2,1)</f>
        <v>4607.5</v>
      </c>
      <c r="G187">
        <f>IF(E187="공격형",INDEX(몬스터계수[[#Data],[힘계수]],MATCH(E187, 몬스터계수[[#Data],[타입]],0),1)*C187,
IF(E187="방어형",INDEX(몬스터계수[[#Data],[힘계수]],MATCH(E187, 몬스터계수[[#Data],[타입]],0),1)*C187,
IF(E187="회피형",INDEX(몬스터계수[[#Data],[힘계수]],MATCH(E187, 몬스터계수[[#Data],[타입]],0),1)*C187,
IF(E187="체력형",INDEX(몬스터계수[[#Data],[힘계수]],MATCH(E187, 몬스터계수[[#Data],[타입]],0),1)*C187,0))))</f>
        <v>2303.75</v>
      </c>
      <c r="H187">
        <f>IF(E187="공격형",INDEX(몬스터계수[[#Data],[근력게수]],MATCH(E187,몬스터계수[[#Data],[타입]],0),1)*C187,
IF(E187="방어형",INDEX(몬스터계수[[#Data],[근력게수]],MATCH(E187,몬스터계수[[#Data],[타입]],0),1)*C187,
IF(E187="회피형",INDEX(몬스터계수[[#Data],[근력게수]],MATCH(E187,몬스터계수[[#Data],[타입]],0),1)*C187,
IF(E187="체력형",INDEX(몬스터계수[[#Data],[근력게수]],MATCH(E187,몬스터계수[[#Data],[타입]],0),1)*C187,0))))</f>
        <v>460.75</v>
      </c>
      <c r="I187">
        <f>IF(E187="공격형",INDEX(몬스터계수[[#Data],[숙련도계수]],MATCH(E187,몬스터계수[[#Data],[타입]],0),1)*C187,
IF(E187="방어형",INDEX(몬스터계수[[#Data],[숙련도계수]],MATCH(E187,몬스터계수[[#Data],[타입]],0),1)*C187,
IF(E187="회피형",INDEX(몬스터계수[[#Data],[숙련도계수]],MATCH(E187,몬스터계수[[#Data],[타입]],0),1)*C187,
IF(E187="체력형",INDEX(몬스터계수[[#Data],[숙련도계수]],MATCH(E187,몬스터계수[[#Data],[타입]],0),1)*C187,0))))</f>
        <v>1382.25</v>
      </c>
      <c r="J187">
        <f>IF(E187="공격형",INDEX(몬스터계수[[#Data],[행운계수]],MATCH(E187, 몬스터계수[[#Data],[타입]],0),1)*C187,
IF(E187="방어형",INDEX(몬스터계수[[#Data],[행운계수]],MATCH(E187, 몬스터계수[[#Data],[타입]],0),1)*C187,
IF(E187="회피형",INDEX(몬스터계수[[#Data],[행운계수]],MATCH(E187, 몬스터계수[[#Data],[타입]],0),1)*C187,
IF(E187="체력형",INDEX(몬스터계수[[#Data],[행운계수]],MATCH(E187, 몬스터계수[[#Data],[타입]],0),1)*C187,0))))</f>
        <v>460.75</v>
      </c>
      <c r="K187" s="34">
        <f>ROUND(
(($F187)*참고!$D$5)
+(($G187)*참고!$D$6)
+(($H187)*참고!$D$7)
+(($I187)*참고!$D$8)
+(($J187))*참고!$D$9,0)</f>
        <v>71647</v>
      </c>
      <c r="L187" s="34">
        <f>ROUND(
(($F187)*참고!$E$5)
+(($G187)*참고!$E$6)
+(($H187)*참고!$E$7)
+(($I187)*참고!$E$8)
+(($J187))*참고!$E$9,0)</f>
        <v>41007</v>
      </c>
      <c r="M187" s="34">
        <f>ROUND(
(($F187)*참고!$F$5)
+(($G187)*참고!$F$6)
+(($H187)*참고!$F$7)
+(($I187)*참고!$F$8)
+(($J187))*참고!$F$9,0)</f>
        <v>11519</v>
      </c>
      <c r="N187" s="34">
        <f>ROUND(
(($F187)*참고!$G$5)
+(($G187)*참고!$G$6)
+(($H187)*참고!$G$7)
+(($I187)*참고!$G$8)
+(($J187))*참고!$G$9,0)</f>
        <v>323</v>
      </c>
      <c r="O187" s="34">
        <f>ROUND(
(($F187)*참고!$H$5)
+(($G187)*참고!$H$6)
+(($H187)*참고!$H$7)
+(($I187)*참고!$H$8)
+(($J187))*참고!$H$9,0)</f>
        <v>7602</v>
      </c>
      <c r="P187" s="34">
        <f>ROUND(
(($F187)*참고!$I$5)
+(($G187)*참고!$I$6)
+(($H187)*참고!$I$7)
+(($I187)*참고!$I$8)
+(($J187))*참고!$I$9,0)</f>
        <v>13362</v>
      </c>
      <c r="Q187" s="34">
        <f>ROUND(
(($F187)*참고!$J$5)
+(($G187)*참고!$J$6)
+(($H187)*참고!$J$7)
+(($I187)*참고!$J$8)
+(($J187))*참고!$J$9,0)</f>
        <v>9215</v>
      </c>
      <c r="R187" s="34">
        <f>IF(E187="공격형",(INDEX(몬스터계수[[#Data],[속도]],MATCH(E187, 몬스터계수[[#Data],[타입]],0),1)*속도핸들러_곱계수)*(INT(몬스터밸런스[[#This Row],[Lv]]/속도핸들러_합계수+1)),
IF(E187="방어형",(INDEX(몬스터계수[[#Data],[속도]],MATCH(E187, 몬스터계수[[#Data],[타입]],0),1)*속도핸들러_곱계수)*(INT(몬스터밸런스[[#This Row],[Lv]]/속도핸들러_합계수+1)),
IF(E187="회피형",(INDEX(몬스터계수[[#Data],[속도]],MATCH(E187, 몬스터계수[[#Data],[타입]],0),1)*속도핸들러_곱계수)*(INT(몬스터밸런스[[#This Row],[Lv]]/속도핸들러_합계수+1)),
IF(E187="기본형",(INDEX(몬스터계수[[#Data],[속도]],MATCH(E187, 몬스터계수[[#Data],[타입]],0),1)*속도핸들러_곱계수)*(INT(몬스터밸런스[[#This Row],[Lv]]/속도핸들러_합계수+1)),0))))</f>
        <v>0</v>
      </c>
      <c r="S187">
        <f t="shared" si="7"/>
        <v>2459891</v>
      </c>
      <c r="U187">
        <v>2</v>
      </c>
      <c r="V187">
        <v>185</v>
      </c>
      <c r="W187">
        <f>$Z$1*몬스터밸런스9[[#This Row],[단계]]</f>
        <v>10</v>
      </c>
      <c r="X187" t="s">
        <v>47</v>
      </c>
      <c r="AE187" s="34"/>
      <c r="AF187" s="34"/>
      <c r="AG187" s="34"/>
      <c r="AH187" s="34">
        <f>몬스터밸런스[[#This Row],[CriticalRate]]*0.3</f>
        <v>96.899999999999991</v>
      </c>
      <c r="AI187" s="34"/>
      <c r="AJ187" s="34">
        <f>몬스터밸런스[[#This Row],[Accuracy]]*0.2</f>
        <v>2672.4</v>
      </c>
      <c r="AK187" s="34"/>
      <c r="AL187">
        <f t="shared" si="9"/>
        <v>29444.850000000002</v>
      </c>
    </row>
    <row r="188" spans="1:38">
      <c r="A188">
        <v>1850</v>
      </c>
      <c r="B188">
        <v>186</v>
      </c>
      <c r="C188">
        <f>$F$1*몬스터밸런스[[#This Row],[Lv]]+15</f>
        <v>9265</v>
      </c>
      <c r="E188" t="s">
        <v>479</v>
      </c>
      <c r="F188">
        <f>IF(E188="공격형",INDEX(몬스터계수[[#Data],[생명계수]],MATCH(E188,몬스터계수[[#Data],[타입]],0),1)*C188,
IF(E188="방어형",INDEX(몬스터계수[[#Data],[생명계수]],MATCH(E188,몬스터계수[[#Data],[타입]],0),1)*C188,
IF(E188="회피형",INDEX(몬스터계수[[#Data],[생명계수]],MATCH(E188,몬스터계수[[#Data],[타입]],0),1)*C188,
IF(E188="체력형",INDEX(몬스터계수[[#Data],[생명계수]],MATCH(E188,몬스터계수[[#Data],[타입]],0),1)*C188,0))))*IF(몬스터밸런스[[#This Row],[보스]]=TRUE,2,1)</f>
        <v>4632.5</v>
      </c>
      <c r="G188">
        <f>IF(E188="공격형",INDEX(몬스터계수[[#Data],[힘계수]],MATCH(E188, 몬스터계수[[#Data],[타입]],0),1)*C188,
IF(E188="방어형",INDEX(몬스터계수[[#Data],[힘계수]],MATCH(E188, 몬스터계수[[#Data],[타입]],0),1)*C188,
IF(E188="회피형",INDEX(몬스터계수[[#Data],[힘계수]],MATCH(E188, 몬스터계수[[#Data],[타입]],0),1)*C188,
IF(E188="체력형",INDEX(몬스터계수[[#Data],[힘계수]],MATCH(E188, 몬스터계수[[#Data],[타입]],0),1)*C188,0))))</f>
        <v>2316.25</v>
      </c>
      <c r="H188">
        <f>IF(E188="공격형",INDEX(몬스터계수[[#Data],[근력게수]],MATCH(E188,몬스터계수[[#Data],[타입]],0),1)*C188,
IF(E188="방어형",INDEX(몬스터계수[[#Data],[근력게수]],MATCH(E188,몬스터계수[[#Data],[타입]],0),1)*C188,
IF(E188="회피형",INDEX(몬스터계수[[#Data],[근력게수]],MATCH(E188,몬스터계수[[#Data],[타입]],0),1)*C188,
IF(E188="체력형",INDEX(몬스터계수[[#Data],[근력게수]],MATCH(E188,몬스터계수[[#Data],[타입]],0),1)*C188,0))))</f>
        <v>463.25</v>
      </c>
      <c r="I188">
        <f>IF(E188="공격형",INDEX(몬스터계수[[#Data],[숙련도계수]],MATCH(E188,몬스터계수[[#Data],[타입]],0),1)*C188,
IF(E188="방어형",INDEX(몬스터계수[[#Data],[숙련도계수]],MATCH(E188,몬스터계수[[#Data],[타입]],0),1)*C188,
IF(E188="회피형",INDEX(몬스터계수[[#Data],[숙련도계수]],MATCH(E188,몬스터계수[[#Data],[타입]],0),1)*C188,
IF(E188="체력형",INDEX(몬스터계수[[#Data],[숙련도계수]],MATCH(E188,몬스터계수[[#Data],[타입]],0),1)*C188,0))))</f>
        <v>1389.75</v>
      </c>
      <c r="J188">
        <f>IF(E188="공격형",INDEX(몬스터계수[[#Data],[행운계수]],MATCH(E188, 몬스터계수[[#Data],[타입]],0),1)*C188,
IF(E188="방어형",INDEX(몬스터계수[[#Data],[행운계수]],MATCH(E188, 몬스터계수[[#Data],[타입]],0),1)*C188,
IF(E188="회피형",INDEX(몬스터계수[[#Data],[행운계수]],MATCH(E188, 몬스터계수[[#Data],[타입]],0),1)*C188,
IF(E188="체력형",INDEX(몬스터계수[[#Data],[행운계수]],MATCH(E188, 몬스터계수[[#Data],[타입]],0),1)*C188,0))))</f>
        <v>463.25</v>
      </c>
      <c r="K188" s="34">
        <f>ROUND(
(($F188)*참고!$D$5)
+(($G188)*참고!$D$6)
+(($H188)*참고!$D$7)
+(($I188)*참고!$D$8)
+(($J188))*참고!$D$9,0)</f>
        <v>72035</v>
      </c>
      <c r="L188" s="34">
        <f>ROUND(
(($F188)*참고!$E$5)
+(($G188)*참고!$E$6)
+(($H188)*참고!$E$7)
+(($I188)*참고!$E$8)
+(($J188))*참고!$E$9,0)</f>
        <v>41229</v>
      </c>
      <c r="M188" s="34">
        <f>ROUND(
(($F188)*참고!$F$5)
+(($G188)*참고!$F$6)
+(($H188)*참고!$F$7)
+(($I188)*참고!$F$8)
+(($J188))*참고!$F$9,0)</f>
        <v>11581</v>
      </c>
      <c r="N188" s="34">
        <f>ROUND(
(($F188)*참고!$G$5)
+(($G188)*참고!$G$6)
+(($H188)*참고!$G$7)
+(($I188)*참고!$G$8)
+(($J188))*참고!$G$9,0)</f>
        <v>324</v>
      </c>
      <c r="O188" s="34">
        <f>ROUND(
(($F188)*참고!$H$5)
+(($G188)*참고!$H$6)
+(($H188)*참고!$H$7)
+(($I188)*참고!$H$8)
+(($J188))*참고!$H$9,0)</f>
        <v>7644</v>
      </c>
      <c r="P188" s="34">
        <f>ROUND(
(($F188)*참고!$I$5)
+(($G188)*참고!$I$6)
+(($H188)*참고!$I$7)
+(($I188)*참고!$I$8)
+(($J188))*참고!$I$9,0)</f>
        <v>13434</v>
      </c>
      <c r="Q188" s="34">
        <f>ROUND(
(($F188)*참고!$J$5)
+(($G188)*참고!$J$6)
+(($H188)*참고!$J$7)
+(($I188)*참고!$J$8)
+(($J188))*참고!$J$9,0)</f>
        <v>9265</v>
      </c>
      <c r="R188" s="34">
        <f>IF(E188="공격형",(INDEX(몬스터계수[[#Data],[속도]],MATCH(E188, 몬스터계수[[#Data],[타입]],0),1)*속도핸들러_곱계수)*(INT(몬스터밸런스[[#This Row],[Lv]]/속도핸들러_합계수+1)),
IF(E188="방어형",(INDEX(몬스터계수[[#Data],[속도]],MATCH(E188, 몬스터계수[[#Data],[타입]],0),1)*속도핸들러_곱계수)*(INT(몬스터밸런스[[#This Row],[Lv]]/속도핸들러_합계수+1)),
IF(E188="회피형",(INDEX(몬스터계수[[#Data],[속도]],MATCH(E188, 몬스터계수[[#Data],[타입]],0),1)*속도핸들러_곱계수)*(INT(몬스터밸런스[[#This Row],[Lv]]/속도핸들러_합계수+1)),
IF(E188="기본형",(INDEX(몬스터계수[[#Data],[속도]],MATCH(E188, 몬스터계수[[#Data],[타입]],0),1)*속도핸들러_곱계수)*(INT(몬스터밸런스[[#This Row],[Lv]]/속도핸들러_합계수+1)),0))))</f>
        <v>0</v>
      </c>
      <c r="S188">
        <f t="shared" si="7"/>
        <v>2473206.5</v>
      </c>
      <c r="U188">
        <v>3</v>
      </c>
      <c r="V188">
        <v>186</v>
      </c>
      <c r="W188">
        <f>$Z$1*몬스터밸런스9[[#This Row],[단계]]</f>
        <v>15</v>
      </c>
      <c r="X188" t="s">
        <v>47</v>
      </c>
      <c r="AE188" s="34"/>
      <c r="AF188" s="34"/>
      <c r="AG188" s="34"/>
      <c r="AH188" s="34">
        <f>몬스터밸런스[[#This Row],[CriticalRate]]*0.3</f>
        <v>97.2</v>
      </c>
      <c r="AI188" s="34"/>
      <c r="AJ188" s="34"/>
      <c r="AK188" s="34"/>
      <c r="AL188">
        <f t="shared" si="9"/>
        <v>48.6</v>
      </c>
    </row>
    <row r="189" spans="1:38">
      <c r="A189">
        <v>1860</v>
      </c>
      <c r="B189">
        <v>187</v>
      </c>
      <c r="C189">
        <f>$F$1*몬스터밸런스[[#This Row],[Lv]]+15</f>
        <v>9315</v>
      </c>
      <c r="E189" t="s">
        <v>479</v>
      </c>
      <c r="F189">
        <f>IF(E189="공격형",INDEX(몬스터계수[[#Data],[생명계수]],MATCH(E189,몬스터계수[[#Data],[타입]],0),1)*C189,
IF(E189="방어형",INDEX(몬스터계수[[#Data],[생명계수]],MATCH(E189,몬스터계수[[#Data],[타입]],0),1)*C189,
IF(E189="회피형",INDEX(몬스터계수[[#Data],[생명계수]],MATCH(E189,몬스터계수[[#Data],[타입]],0),1)*C189,
IF(E189="체력형",INDEX(몬스터계수[[#Data],[생명계수]],MATCH(E189,몬스터계수[[#Data],[타입]],0),1)*C189,0))))*IF(몬스터밸런스[[#This Row],[보스]]=TRUE,2,1)</f>
        <v>4657.5</v>
      </c>
      <c r="G189">
        <f>IF(E189="공격형",INDEX(몬스터계수[[#Data],[힘계수]],MATCH(E189, 몬스터계수[[#Data],[타입]],0),1)*C189,
IF(E189="방어형",INDEX(몬스터계수[[#Data],[힘계수]],MATCH(E189, 몬스터계수[[#Data],[타입]],0),1)*C189,
IF(E189="회피형",INDEX(몬스터계수[[#Data],[힘계수]],MATCH(E189, 몬스터계수[[#Data],[타입]],0),1)*C189,
IF(E189="체력형",INDEX(몬스터계수[[#Data],[힘계수]],MATCH(E189, 몬스터계수[[#Data],[타입]],0),1)*C189,0))))</f>
        <v>2328.75</v>
      </c>
      <c r="H189">
        <f>IF(E189="공격형",INDEX(몬스터계수[[#Data],[근력게수]],MATCH(E189,몬스터계수[[#Data],[타입]],0),1)*C189,
IF(E189="방어형",INDEX(몬스터계수[[#Data],[근력게수]],MATCH(E189,몬스터계수[[#Data],[타입]],0),1)*C189,
IF(E189="회피형",INDEX(몬스터계수[[#Data],[근력게수]],MATCH(E189,몬스터계수[[#Data],[타입]],0),1)*C189,
IF(E189="체력형",INDEX(몬스터계수[[#Data],[근력게수]],MATCH(E189,몬스터계수[[#Data],[타입]],0),1)*C189,0))))</f>
        <v>465.75</v>
      </c>
      <c r="I189">
        <f>IF(E189="공격형",INDEX(몬스터계수[[#Data],[숙련도계수]],MATCH(E189,몬스터계수[[#Data],[타입]],0),1)*C189,
IF(E189="방어형",INDEX(몬스터계수[[#Data],[숙련도계수]],MATCH(E189,몬스터계수[[#Data],[타입]],0),1)*C189,
IF(E189="회피형",INDEX(몬스터계수[[#Data],[숙련도계수]],MATCH(E189,몬스터계수[[#Data],[타입]],0),1)*C189,
IF(E189="체력형",INDEX(몬스터계수[[#Data],[숙련도계수]],MATCH(E189,몬스터계수[[#Data],[타입]],0),1)*C189,0))))</f>
        <v>1397.25</v>
      </c>
      <c r="J189">
        <f>IF(E189="공격형",INDEX(몬스터계수[[#Data],[행운계수]],MATCH(E189, 몬스터계수[[#Data],[타입]],0),1)*C189,
IF(E189="방어형",INDEX(몬스터계수[[#Data],[행운계수]],MATCH(E189, 몬스터계수[[#Data],[타입]],0),1)*C189,
IF(E189="회피형",INDEX(몬스터계수[[#Data],[행운계수]],MATCH(E189, 몬스터계수[[#Data],[타입]],0),1)*C189,
IF(E189="체력형",INDEX(몬스터계수[[#Data],[행운계수]],MATCH(E189, 몬스터계수[[#Data],[타입]],0),1)*C189,0))))</f>
        <v>465.75</v>
      </c>
      <c r="K189" s="34">
        <f>ROUND(
(($F189)*참고!$D$5)
+(($G189)*참고!$D$6)
+(($H189)*참고!$D$7)
+(($I189)*참고!$D$8)
+(($J189))*참고!$D$9,0)</f>
        <v>72424</v>
      </c>
      <c r="L189" s="34">
        <f>ROUND(
(($F189)*참고!$E$5)
+(($G189)*참고!$E$6)
+(($H189)*참고!$E$7)
+(($I189)*참고!$E$8)
+(($J189))*참고!$E$9,0)</f>
        <v>41452</v>
      </c>
      <c r="M189" s="34">
        <f>ROUND(
(($F189)*참고!$F$5)
+(($G189)*참고!$F$6)
+(($H189)*참고!$F$7)
+(($I189)*참고!$F$8)
+(($J189))*참고!$F$9,0)</f>
        <v>11644</v>
      </c>
      <c r="N189" s="34">
        <f>ROUND(
(($F189)*참고!$G$5)
+(($G189)*참고!$G$6)
+(($H189)*참고!$G$7)
+(($I189)*참고!$G$8)
+(($J189))*참고!$G$9,0)</f>
        <v>326</v>
      </c>
      <c r="O189" s="34">
        <f>ROUND(
(($F189)*참고!$H$5)
+(($G189)*참고!$H$6)
+(($H189)*참고!$H$7)
+(($I189)*참고!$H$8)
+(($J189))*참고!$H$9,0)</f>
        <v>7685</v>
      </c>
      <c r="P189" s="34">
        <f>ROUND(
(($F189)*참고!$I$5)
+(($G189)*참고!$I$6)
+(($H189)*참고!$I$7)
+(($I189)*참고!$I$8)
+(($J189))*참고!$I$9,0)</f>
        <v>13507</v>
      </c>
      <c r="Q189" s="34">
        <f>ROUND(
(($F189)*참고!$J$5)
+(($G189)*참고!$J$6)
+(($H189)*참고!$J$7)
+(($I189)*참고!$J$8)
+(($J189))*참고!$J$9,0)</f>
        <v>9315</v>
      </c>
      <c r="R189" s="34">
        <f>IF(E189="공격형",(INDEX(몬스터계수[[#Data],[속도]],MATCH(E189, 몬스터계수[[#Data],[타입]],0),1)*속도핸들러_곱계수)*(INT(몬스터밸런스[[#This Row],[Lv]]/속도핸들러_합계수+1)),
IF(E189="방어형",(INDEX(몬스터계수[[#Data],[속도]],MATCH(E189, 몬스터계수[[#Data],[타입]],0),1)*속도핸들러_곱계수)*(INT(몬스터밸런스[[#This Row],[Lv]]/속도핸들러_합계수+1)),
IF(E189="회피형",(INDEX(몬스터계수[[#Data],[속도]],MATCH(E189, 몬스터계수[[#Data],[타입]],0),1)*속도핸들러_곱계수)*(INT(몬스터밸런스[[#This Row],[Lv]]/속도핸들러_합계수+1)),
IF(E189="기본형",(INDEX(몬스터계수[[#Data],[속도]],MATCH(E189, 몬스터계수[[#Data],[타입]],0),1)*속도핸들러_곱계수)*(INT(몬스터밸런스[[#This Row],[Lv]]/속도핸들러_합계수+1)),0))))</f>
        <v>0</v>
      </c>
      <c r="S189">
        <f t="shared" si="7"/>
        <v>2486578.5</v>
      </c>
      <c r="U189">
        <v>3</v>
      </c>
      <c r="V189">
        <v>187</v>
      </c>
      <c r="W189">
        <f>$Z$1*몬스터밸런스9[[#This Row],[단계]]</f>
        <v>15</v>
      </c>
      <c r="X189" t="s">
        <v>47</v>
      </c>
      <c r="AE189" s="34"/>
      <c r="AF189" s="34"/>
      <c r="AG189" s="34"/>
      <c r="AH189" s="34">
        <f>몬스터밸런스[[#This Row],[CriticalRate]]*0.3</f>
        <v>97.8</v>
      </c>
      <c r="AI189" s="34"/>
      <c r="AJ189" s="34"/>
      <c r="AK189" s="34"/>
      <c r="AL189">
        <f t="shared" si="9"/>
        <v>48.9</v>
      </c>
    </row>
    <row r="190" spans="1:38">
      <c r="A190">
        <v>1870</v>
      </c>
      <c r="B190">
        <v>188</v>
      </c>
      <c r="C190">
        <f>$F$1*몬스터밸런스[[#This Row],[Lv]]+15</f>
        <v>9365</v>
      </c>
      <c r="E190" t="s">
        <v>479</v>
      </c>
      <c r="F190">
        <f>IF(E190="공격형",INDEX(몬스터계수[[#Data],[생명계수]],MATCH(E190,몬스터계수[[#Data],[타입]],0),1)*C190,
IF(E190="방어형",INDEX(몬스터계수[[#Data],[생명계수]],MATCH(E190,몬스터계수[[#Data],[타입]],0),1)*C190,
IF(E190="회피형",INDEX(몬스터계수[[#Data],[생명계수]],MATCH(E190,몬스터계수[[#Data],[타입]],0),1)*C190,
IF(E190="체력형",INDEX(몬스터계수[[#Data],[생명계수]],MATCH(E190,몬스터계수[[#Data],[타입]],0),1)*C190,0))))*IF(몬스터밸런스[[#This Row],[보스]]=TRUE,2,1)</f>
        <v>4682.5</v>
      </c>
      <c r="G190">
        <f>IF(E190="공격형",INDEX(몬스터계수[[#Data],[힘계수]],MATCH(E190, 몬스터계수[[#Data],[타입]],0),1)*C190,
IF(E190="방어형",INDEX(몬스터계수[[#Data],[힘계수]],MATCH(E190, 몬스터계수[[#Data],[타입]],0),1)*C190,
IF(E190="회피형",INDEX(몬스터계수[[#Data],[힘계수]],MATCH(E190, 몬스터계수[[#Data],[타입]],0),1)*C190,
IF(E190="체력형",INDEX(몬스터계수[[#Data],[힘계수]],MATCH(E190, 몬스터계수[[#Data],[타입]],0),1)*C190,0))))</f>
        <v>2341.25</v>
      </c>
      <c r="H190">
        <f>IF(E190="공격형",INDEX(몬스터계수[[#Data],[근력게수]],MATCH(E190,몬스터계수[[#Data],[타입]],0),1)*C190,
IF(E190="방어형",INDEX(몬스터계수[[#Data],[근력게수]],MATCH(E190,몬스터계수[[#Data],[타입]],0),1)*C190,
IF(E190="회피형",INDEX(몬스터계수[[#Data],[근력게수]],MATCH(E190,몬스터계수[[#Data],[타입]],0),1)*C190,
IF(E190="체력형",INDEX(몬스터계수[[#Data],[근력게수]],MATCH(E190,몬스터계수[[#Data],[타입]],0),1)*C190,0))))</f>
        <v>468.25</v>
      </c>
      <c r="I190">
        <f>IF(E190="공격형",INDEX(몬스터계수[[#Data],[숙련도계수]],MATCH(E190,몬스터계수[[#Data],[타입]],0),1)*C190,
IF(E190="방어형",INDEX(몬스터계수[[#Data],[숙련도계수]],MATCH(E190,몬스터계수[[#Data],[타입]],0),1)*C190,
IF(E190="회피형",INDEX(몬스터계수[[#Data],[숙련도계수]],MATCH(E190,몬스터계수[[#Data],[타입]],0),1)*C190,
IF(E190="체력형",INDEX(몬스터계수[[#Data],[숙련도계수]],MATCH(E190,몬스터계수[[#Data],[타입]],0),1)*C190,0))))</f>
        <v>1404.75</v>
      </c>
      <c r="J190">
        <f>IF(E190="공격형",INDEX(몬스터계수[[#Data],[행운계수]],MATCH(E190, 몬스터계수[[#Data],[타입]],0),1)*C190,
IF(E190="방어형",INDEX(몬스터계수[[#Data],[행운계수]],MATCH(E190, 몬스터계수[[#Data],[타입]],0),1)*C190,
IF(E190="회피형",INDEX(몬스터계수[[#Data],[행운계수]],MATCH(E190, 몬스터계수[[#Data],[타입]],0),1)*C190,
IF(E190="체력형",INDEX(몬스터계수[[#Data],[행운계수]],MATCH(E190, 몬스터계수[[#Data],[타입]],0),1)*C190,0))))</f>
        <v>468.25</v>
      </c>
      <c r="K190" s="34">
        <f>ROUND(
(($F190)*참고!$D$5)
+(($G190)*참고!$D$6)
+(($H190)*참고!$D$7)
+(($I190)*참고!$D$8)
+(($J190))*참고!$D$9,0)</f>
        <v>72813</v>
      </c>
      <c r="L190" s="34">
        <f>ROUND(
(($F190)*참고!$E$5)
+(($G190)*참고!$E$6)
+(($H190)*참고!$E$7)
+(($I190)*참고!$E$8)
+(($J190))*참고!$E$9,0)</f>
        <v>41674</v>
      </c>
      <c r="M190" s="34">
        <f>ROUND(
(($F190)*참고!$F$5)
+(($G190)*참고!$F$6)
+(($H190)*참고!$F$7)
+(($I190)*참고!$F$8)
+(($J190))*참고!$F$9,0)</f>
        <v>11706</v>
      </c>
      <c r="N190" s="34">
        <f>ROUND(
(($F190)*참고!$G$5)
+(($G190)*참고!$G$6)
+(($H190)*참고!$G$7)
+(($I190)*참고!$G$8)
+(($J190))*참고!$G$9,0)</f>
        <v>328</v>
      </c>
      <c r="O190" s="34">
        <f>ROUND(
(($F190)*참고!$H$5)
+(($G190)*참고!$H$6)
+(($H190)*참고!$H$7)
+(($I190)*참고!$H$8)
+(($J190))*참고!$H$9,0)</f>
        <v>7726</v>
      </c>
      <c r="P190" s="34">
        <f>ROUND(
(($F190)*참고!$I$5)
+(($G190)*참고!$I$6)
+(($H190)*참고!$I$7)
+(($I190)*참고!$I$8)
+(($J190))*참고!$I$9,0)</f>
        <v>13579</v>
      </c>
      <c r="Q190" s="34">
        <f>ROUND(
(($F190)*참고!$J$5)
+(($G190)*참고!$J$6)
+(($H190)*참고!$J$7)
+(($I190)*참고!$J$8)
+(($J190))*참고!$J$9,0)</f>
        <v>9365</v>
      </c>
      <c r="R190" s="34">
        <f>IF(E190="공격형",(INDEX(몬스터계수[[#Data],[속도]],MATCH(E190, 몬스터계수[[#Data],[타입]],0),1)*속도핸들러_곱계수)*(INT(몬스터밸런스[[#This Row],[Lv]]/속도핸들러_합계수+1)),
IF(E190="방어형",(INDEX(몬스터계수[[#Data],[속도]],MATCH(E190, 몬스터계수[[#Data],[타입]],0),1)*속도핸들러_곱계수)*(INT(몬스터밸런스[[#This Row],[Lv]]/속도핸들러_합계수+1)),
IF(E190="회피형",(INDEX(몬스터계수[[#Data],[속도]],MATCH(E190, 몬스터계수[[#Data],[타입]],0),1)*속도핸들러_곱계수)*(INT(몬스터밸런스[[#This Row],[Lv]]/속도핸들러_합계수+1)),
IF(E190="기본형",(INDEX(몬스터계수[[#Data],[속도]],MATCH(E190, 몬스터계수[[#Data],[타입]],0),1)*속도핸들러_곱계수)*(INT(몬스터밸런스[[#This Row],[Lv]]/속도핸들러_합계수+1)),0))))</f>
        <v>0</v>
      </c>
      <c r="S190">
        <f t="shared" si="7"/>
        <v>2499907.5</v>
      </c>
      <c r="U190">
        <v>3</v>
      </c>
      <c r="V190">
        <v>188</v>
      </c>
      <c r="W190">
        <f>$Z$1*몬스터밸런스9[[#This Row],[단계]]</f>
        <v>15</v>
      </c>
      <c r="X190" t="s">
        <v>47</v>
      </c>
      <c r="AE190" s="34"/>
      <c r="AF190" s="34"/>
      <c r="AG190" s="34"/>
      <c r="AH190" s="34">
        <f>몬스터밸런스[[#This Row],[CriticalRate]]*0.3</f>
        <v>98.399999999999991</v>
      </c>
      <c r="AI190" s="34"/>
      <c r="AJ190" s="34"/>
      <c r="AK190" s="34"/>
      <c r="AL190">
        <f t="shared" si="9"/>
        <v>49.199999999999996</v>
      </c>
    </row>
    <row r="191" spans="1:38">
      <c r="A191">
        <v>1880</v>
      </c>
      <c r="B191">
        <v>189</v>
      </c>
      <c r="C191">
        <f>$F$1*몬스터밸런스[[#This Row],[Lv]]+15</f>
        <v>9415</v>
      </c>
      <c r="E191" t="s">
        <v>479</v>
      </c>
      <c r="F191">
        <f>IF(E191="공격형",INDEX(몬스터계수[[#Data],[생명계수]],MATCH(E191,몬스터계수[[#Data],[타입]],0),1)*C191,
IF(E191="방어형",INDEX(몬스터계수[[#Data],[생명계수]],MATCH(E191,몬스터계수[[#Data],[타입]],0),1)*C191,
IF(E191="회피형",INDEX(몬스터계수[[#Data],[생명계수]],MATCH(E191,몬스터계수[[#Data],[타입]],0),1)*C191,
IF(E191="체력형",INDEX(몬스터계수[[#Data],[생명계수]],MATCH(E191,몬스터계수[[#Data],[타입]],0),1)*C191,0))))*IF(몬스터밸런스[[#This Row],[보스]]=TRUE,2,1)</f>
        <v>4707.5</v>
      </c>
      <c r="G191">
        <f>IF(E191="공격형",INDEX(몬스터계수[[#Data],[힘계수]],MATCH(E191, 몬스터계수[[#Data],[타입]],0),1)*C191,
IF(E191="방어형",INDEX(몬스터계수[[#Data],[힘계수]],MATCH(E191, 몬스터계수[[#Data],[타입]],0),1)*C191,
IF(E191="회피형",INDEX(몬스터계수[[#Data],[힘계수]],MATCH(E191, 몬스터계수[[#Data],[타입]],0),1)*C191,
IF(E191="체력형",INDEX(몬스터계수[[#Data],[힘계수]],MATCH(E191, 몬스터계수[[#Data],[타입]],0),1)*C191,0))))</f>
        <v>2353.75</v>
      </c>
      <c r="H191">
        <f>IF(E191="공격형",INDEX(몬스터계수[[#Data],[근력게수]],MATCH(E191,몬스터계수[[#Data],[타입]],0),1)*C191,
IF(E191="방어형",INDEX(몬스터계수[[#Data],[근력게수]],MATCH(E191,몬스터계수[[#Data],[타입]],0),1)*C191,
IF(E191="회피형",INDEX(몬스터계수[[#Data],[근력게수]],MATCH(E191,몬스터계수[[#Data],[타입]],0),1)*C191,
IF(E191="체력형",INDEX(몬스터계수[[#Data],[근력게수]],MATCH(E191,몬스터계수[[#Data],[타입]],0),1)*C191,0))))</f>
        <v>470.75</v>
      </c>
      <c r="I191">
        <f>IF(E191="공격형",INDEX(몬스터계수[[#Data],[숙련도계수]],MATCH(E191,몬스터계수[[#Data],[타입]],0),1)*C191,
IF(E191="방어형",INDEX(몬스터계수[[#Data],[숙련도계수]],MATCH(E191,몬스터계수[[#Data],[타입]],0),1)*C191,
IF(E191="회피형",INDEX(몬스터계수[[#Data],[숙련도계수]],MATCH(E191,몬스터계수[[#Data],[타입]],0),1)*C191,
IF(E191="체력형",INDEX(몬스터계수[[#Data],[숙련도계수]],MATCH(E191,몬스터계수[[#Data],[타입]],0),1)*C191,0))))</f>
        <v>1412.25</v>
      </c>
      <c r="J191">
        <f>IF(E191="공격형",INDEX(몬스터계수[[#Data],[행운계수]],MATCH(E191, 몬스터계수[[#Data],[타입]],0),1)*C191,
IF(E191="방어형",INDEX(몬스터계수[[#Data],[행운계수]],MATCH(E191, 몬스터계수[[#Data],[타입]],0),1)*C191,
IF(E191="회피형",INDEX(몬스터계수[[#Data],[행운계수]],MATCH(E191, 몬스터계수[[#Data],[타입]],0),1)*C191,
IF(E191="체력형",INDEX(몬스터계수[[#Data],[행운계수]],MATCH(E191, 몬스터계수[[#Data],[타입]],0),1)*C191,0))))</f>
        <v>470.75</v>
      </c>
      <c r="K191" s="34">
        <f>ROUND(
(($F191)*참고!$D$5)
+(($G191)*참고!$D$6)
+(($H191)*참고!$D$7)
+(($I191)*참고!$D$8)
+(($J191))*참고!$D$9,0)</f>
        <v>73202</v>
      </c>
      <c r="L191" s="34">
        <f>ROUND(
(($F191)*참고!$E$5)
+(($G191)*참고!$E$6)
+(($H191)*참고!$E$7)
+(($I191)*참고!$E$8)
+(($J191))*참고!$E$9,0)</f>
        <v>41897</v>
      </c>
      <c r="M191" s="34">
        <f>ROUND(
(($F191)*참고!$F$5)
+(($G191)*참고!$F$6)
+(($H191)*참고!$F$7)
+(($I191)*참고!$F$8)
+(($J191))*참고!$F$9,0)</f>
        <v>11769</v>
      </c>
      <c r="N191" s="34">
        <f>ROUND(
(($F191)*참고!$G$5)
+(($G191)*참고!$G$6)
+(($H191)*참고!$G$7)
+(($I191)*참고!$G$8)
+(($J191))*참고!$G$9,0)</f>
        <v>330</v>
      </c>
      <c r="O191" s="34">
        <f>ROUND(
(($F191)*참고!$H$5)
+(($G191)*참고!$H$6)
+(($H191)*참고!$H$7)
+(($I191)*참고!$H$8)
+(($J191))*참고!$H$9,0)</f>
        <v>7767</v>
      </c>
      <c r="P191" s="34">
        <f>ROUND(
(($F191)*참고!$I$5)
+(($G191)*참고!$I$6)
+(($H191)*참고!$I$7)
+(($I191)*참고!$I$8)
+(($J191))*참고!$I$9,0)</f>
        <v>13652</v>
      </c>
      <c r="Q191" s="34">
        <f>ROUND(
(($F191)*참고!$J$5)
+(($G191)*참고!$J$6)
+(($H191)*참고!$J$7)
+(($I191)*참고!$J$8)
+(($J191))*참고!$J$9,0)</f>
        <v>9415</v>
      </c>
      <c r="R191" s="34">
        <f>IF(E191="공격형",(INDEX(몬스터계수[[#Data],[속도]],MATCH(E191, 몬스터계수[[#Data],[타입]],0),1)*속도핸들러_곱계수)*(INT(몬스터밸런스[[#This Row],[Lv]]/속도핸들러_합계수+1)),
IF(E191="방어형",(INDEX(몬스터계수[[#Data],[속도]],MATCH(E191, 몬스터계수[[#Data],[타입]],0),1)*속도핸들러_곱계수)*(INT(몬스터밸런스[[#This Row],[Lv]]/속도핸들러_합계수+1)),
IF(E191="회피형",(INDEX(몬스터계수[[#Data],[속도]],MATCH(E191, 몬스터계수[[#Data],[타입]],0),1)*속도핸들러_곱계수)*(INT(몬스터밸런스[[#This Row],[Lv]]/속도핸들러_합계수+1)),
IF(E191="기본형",(INDEX(몬스터계수[[#Data],[속도]],MATCH(E191, 몬스터계수[[#Data],[타입]],0),1)*속도핸들러_곱계수)*(INT(몬스터밸런스[[#This Row],[Lv]]/속도핸들러_합계수+1)),0))))</f>
        <v>0</v>
      </c>
      <c r="S191">
        <f t="shared" si="7"/>
        <v>2513279.5</v>
      </c>
      <c r="U191">
        <v>3</v>
      </c>
      <c r="V191">
        <v>189</v>
      </c>
      <c r="W191">
        <f>$Z$1*몬스터밸런스9[[#This Row],[단계]]</f>
        <v>15</v>
      </c>
      <c r="X191" t="s">
        <v>47</v>
      </c>
      <c r="AE191" s="34"/>
      <c r="AF191" s="34"/>
      <c r="AG191" s="34"/>
      <c r="AH191" s="34">
        <f>몬스터밸런스[[#This Row],[CriticalRate]]*0.3</f>
        <v>99</v>
      </c>
      <c r="AI191" s="34"/>
      <c r="AJ191" s="34"/>
      <c r="AK191" s="34"/>
      <c r="AL191">
        <f t="shared" si="9"/>
        <v>49.5</v>
      </c>
    </row>
    <row r="192" spans="1:38">
      <c r="A192">
        <v>1890</v>
      </c>
      <c r="B192">
        <v>190</v>
      </c>
      <c r="C192">
        <f>$F$1*몬스터밸런스[[#This Row],[Lv]]+15</f>
        <v>9465</v>
      </c>
      <c r="E192" t="s">
        <v>479</v>
      </c>
      <c r="F192">
        <f>IF(E192="공격형",INDEX(몬스터계수[[#Data],[생명계수]],MATCH(E192,몬스터계수[[#Data],[타입]],0),1)*C192,
IF(E192="방어형",INDEX(몬스터계수[[#Data],[생명계수]],MATCH(E192,몬스터계수[[#Data],[타입]],0),1)*C192,
IF(E192="회피형",INDEX(몬스터계수[[#Data],[생명계수]],MATCH(E192,몬스터계수[[#Data],[타입]],0),1)*C192,
IF(E192="체력형",INDEX(몬스터계수[[#Data],[생명계수]],MATCH(E192,몬스터계수[[#Data],[타입]],0),1)*C192,0))))*IF(몬스터밸런스[[#This Row],[보스]]=TRUE,2,1)</f>
        <v>4732.5</v>
      </c>
      <c r="G192">
        <f>IF(E192="공격형",INDEX(몬스터계수[[#Data],[힘계수]],MATCH(E192, 몬스터계수[[#Data],[타입]],0),1)*C192,
IF(E192="방어형",INDEX(몬스터계수[[#Data],[힘계수]],MATCH(E192, 몬스터계수[[#Data],[타입]],0),1)*C192,
IF(E192="회피형",INDEX(몬스터계수[[#Data],[힘계수]],MATCH(E192, 몬스터계수[[#Data],[타입]],0),1)*C192,
IF(E192="체력형",INDEX(몬스터계수[[#Data],[힘계수]],MATCH(E192, 몬스터계수[[#Data],[타입]],0),1)*C192,0))))</f>
        <v>2366.25</v>
      </c>
      <c r="H192">
        <f>IF(E192="공격형",INDEX(몬스터계수[[#Data],[근력게수]],MATCH(E192,몬스터계수[[#Data],[타입]],0),1)*C192,
IF(E192="방어형",INDEX(몬스터계수[[#Data],[근력게수]],MATCH(E192,몬스터계수[[#Data],[타입]],0),1)*C192,
IF(E192="회피형",INDEX(몬스터계수[[#Data],[근력게수]],MATCH(E192,몬스터계수[[#Data],[타입]],0),1)*C192,
IF(E192="체력형",INDEX(몬스터계수[[#Data],[근력게수]],MATCH(E192,몬스터계수[[#Data],[타입]],0),1)*C192,0))))</f>
        <v>473.25</v>
      </c>
      <c r="I192">
        <f>IF(E192="공격형",INDEX(몬스터계수[[#Data],[숙련도계수]],MATCH(E192,몬스터계수[[#Data],[타입]],0),1)*C192,
IF(E192="방어형",INDEX(몬스터계수[[#Data],[숙련도계수]],MATCH(E192,몬스터계수[[#Data],[타입]],0),1)*C192,
IF(E192="회피형",INDEX(몬스터계수[[#Data],[숙련도계수]],MATCH(E192,몬스터계수[[#Data],[타입]],0),1)*C192,
IF(E192="체력형",INDEX(몬스터계수[[#Data],[숙련도계수]],MATCH(E192,몬스터계수[[#Data],[타입]],0),1)*C192,0))))</f>
        <v>1419.75</v>
      </c>
      <c r="J192">
        <f>IF(E192="공격형",INDEX(몬스터계수[[#Data],[행운계수]],MATCH(E192, 몬스터계수[[#Data],[타입]],0),1)*C192,
IF(E192="방어형",INDEX(몬스터계수[[#Data],[행운계수]],MATCH(E192, 몬스터계수[[#Data],[타입]],0),1)*C192,
IF(E192="회피형",INDEX(몬스터계수[[#Data],[행운계수]],MATCH(E192, 몬스터계수[[#Data],[타입]],0),1)*C192,
IF(E192="체력형",INDEX(몬스터계수[[#Data],[행운계수]],MATCH(E192, 몬스터계수[[#Data],[타입]],0),1)*C192,0))))</f>
        <v>473.25</v>
      </c>
      <c r="K192" s="34">
        <f>ROUND(
(($F192)*참고!$D$5)
+(($G192)*참고!$D$6)
+(($H192)*참고!$D$7)
+(($I192)*참고!$D$8)
+(($J192))*참고!$D$9,0)</f>
        <v>73590</v>
      </c>
      <c r="L192" s="34">
        <f>ROUND(
(($F192)*참고!$E$5)
+(($G192)*참고!$E$6)
+(($H192)*참고!$E$7)
+(($I192)*참고!$E$8)
+(($J192))*참고!$E$9,0)</f>
        <v>42119</v>
      </c>
      <c r="M192" s="34">
        <f>ROUND(
(($F192)*참고!$F$5)
+(($G192)*참고!$F$6)
+(($H192)*참고!$F$7)
+(($I192)*참고!$F$8)
+(($J192))*참고!$F$9,0)</f>
        <v>11831</v>
      </c>
      <c r="N192" s="34">
        <f>ROUND(
(($F192)*참고!$G$5)
+(($G192)*참고!$G$6)
+(($H192)*참고!$G$7)
+(($I192)*참고!$G$8)
+(($J192))*참고!$G$9,0)</f>
        <v>331</v>
      </c>
      <c r="O192" s="34">
        <f>ROUND(
(($F192)*참고!$H$5)
+(($G192)*참고!$H$6)
+(($H192)*참고!$H$7)
+(($I192)*참고!$H$8)
+(($J192))*참고!$H$9,0)</f>
        <v>7809</v>
      </c>
      <c r="P192" s="34">
        <f>ROUND(
(($F192)*참고!$I$5)
+(($G192)*참고!$I$6)
+(($H192)*참고!$I$7)
+(($I192)*참고!$I$8)
+(($J192))*참고!$I$9,0)</f>
        <v>13724</v>
      </c>
      <c r="Q192" s="34">
        <f>ROUND(
(($F192)*참고!$J$5)
+(($G192)*참고!$J$6)
+(($H192)*참고!$J$7)
+(($I192)*참고!$J$8)
+(($J192))*참고!$J$9,0)</f>
        <v>9465</v>
      </c>
      <c r="R192" s="34">
        <f>IF(E192="공격형",(INDEX(몬스터계수[[#Data],[속도]],MATCH(E192, 몬스터계수[[#Data],[타입]],0),1)*속도핸들러_곱계수)*(INT(몬스터밸런스[[#This Row],[Lv]]/속도핸들러_합계수+1)),
IF(E192="방어형",(INDEX(몬스터계수[[#Data],[속도]],MATCH(E192, 몬스터계수[[#Data],[타입]],0),1)*속도핸들러_곱계수)*(INT(몬스터밸런스[[#This Row],[Lv]]/속도핸들러_합계수+1)),
IF(E192="회피형",(INDEX(몬스터계수[[#Data],[속도]],MATCH(E192, 몬스터계수[[#Data],[타입]],0),1)*속도핸들러_곱계수)*(INT(몬스터밸런스[[#This Row],[Lv]]/속도핸들러_합계수+1)),
IF(E192="기본형",(INDEX(몬스터계수[[#Data],[속도]],MATCH(E192, 몬스터계수[[#Data],[타입]],0),1)*속도핸들러_곱계수)*(INT(몬스터밸런스[[#This Row],[Lv]]/속도핸들러_합계수+1)),0))))</f>
        <v>0</v>
      </c>
      <c r="S192">
        <f t="shared" si="7"/>
        <v>2526595</v>
      </c>
      <c r="U192">
        <v>3</v>
      </c>
      <c r="V192">
        <v>190</v>
      </c>
      <c r="W192">
        <f>$Z$1*몬스터밸런스9[[#This Row],[단계]]</f>
        <v>15</v>
      </c>
      <c r="X192" t="s">
        <v>47</v>
      </c>
      <c r="AE192" s="34"/>
      <c r="AF192" s="34"/>
      <c r="AG192" s="34"/>
      <c r="AH192" s="34">
        <f>몬스터밸런스[[#This Row],[CriticalRate]]*0.3</f>
        <v>99.3</v>
      </c>
      <c r="AI192" s="34"/>
      <c r="AJ192" s="34"/>
      <c r="AK192" s="34"/>
      <c r="AL192">
        <f t="shared" si="9"/>
        <v>49.65</v>
      </c>
    </row>
    <row r="193" spans="1:38">
      <c r="A193">
        <v>1900</v>
      </c>
      <c r="B193">
        <v>191</v>
      </c>
      <c r="C193">
        <f>$F$1*몬스터밸런스[[#This Row],[Lv]]+15</f>
        <v>9515</v>
      </c>
      <c r="E193" t="s">
        <v>479</v>
      </c>
      <c r="F193">
        <f>IF(E193="공격형",INDEX(몬스터계수[[#Data],[생명계수]],MATCH(E193,몬스터계수[[#Data],[타입]],0),1)*C193,
IF(E193="방어형",INDEX(몬스터계수[[#Data],[생명계수]],MATCH(E193,몬스터계수[[#Data],[타입]],0),1)*C193,
IF(E193="회피형",INDEX(몬스터계수[[#Data],[생명계수]],MATCH(E193,몬스터계수[[#Data],[타입]],0),1)*C193,
IF(E193="체력형",INDEX(몬스터계수[[#Data],[생명계수]],MATCH(E193,몬스터계수[[#Data],[타입]],0),1)*C193,0))))*IF(몬스터밸런스[[#This Row],[보스]]=TRUE,2,1)</f>
        <v>4757.5</v>
      </c>
      <c r="G193">
        <f>IF(E193="공격형",INDEX(몬스터계수[[#Data],[힘계수]],MATCH(E193, 몬스터계수[[#Data],[타입]],0),1)*C193,
IF(E193="방어형",INDEX(몬스터계수[[#Data],[힘계수]],MATCH(E193, 몬스터계수[[#Data],[타입]],0),1)*C193,
IF(E193="회피형",INDEX(몬스터계수[[#Data],[힘계수]],MATCH(E193, 몬스터계수[[#Data],[타입]],0),1)*C193,
IF(E193="체력형",INDEX(몬스터계수[[#Data],[힘계수]],MATCH(E193, 몬스터계수[[#Data],[타입]],0),1)*C193,0))))</f>
        <v>2378.75</v>
      </c>
      <c r="H193">
        <f>IF(E193="공격형",INDEX(몬스터계수[[#Data],[근력게수]],MATCH(E193,몬스터계수[[#Data],[타입]],0),1)*C193,
IF(E193="방어형",INDEX(몬스터계수[[#Data],[근력게수]],MATCH(E193,몬스터계수[[#Data],[타입]],0),1)*C193,
IF(E193="회피형",INDEX(몬스터계수[[#Data],[근력게수]],MATCH(E193,몬스터계수[[#Data],[타입]],0),1)*C193,
IF(E193="체력형",INDEX(몬스터계수[[#Data],[근력게수]],MATCH(E193,몬스터계수[[#Data],[타입]],0),1)*C193,0))))</f>
        <v>475.75</v>
      </c>
      <c r="I193">
        <f>IF(E193="공격형",INDEX(몬스터계수[[#Data],[숙련도계수]],MATCH(E193,몬스터계수[[#Data],[타입]],0),1)*C193,
IF(E193="방어형",INDEX(몬스터계수[[#Data],[숙련도계수]],MATCH(E193,몬스터계수[[#Data],[타입]],0),1)*C193,
IF(E193="회피형",INDEX(몬스터계수[[#Data],[숙련도계수]],MATCH(E193,몬스터계수[[#Data],[타입]],0),1)*C193,
IF(E193="체력형",INDEX(몬스터계수[[#Data],[숙련도계수]],MATCH(E193,몬스터계수[[#Data],[타입]],0),1)*C193,0))))</f>
        <v>1427.25</v>
      </c>
      <c r="J193">
        <f>IF(E193="공격형",INDEX(몬스터계수[[#Data],[행운계수]],MATCH(E193, 몬스터계수[[#Data],[타입]],0),1)*C193,
IF(E193="방어형",INDEX(몬스터계수[[#Data],[행운계수]],MATCH(E193, 몬스터계수[[#Data],[타입]],0),1)*C193,
IF(E193="회피형",INDEX(몬스터계수[[#Data],[행운계수]],MATCH(E193, 몬스터계수[[#Data],[타입]],0),1)*C193,
IF(E193="체력형",INDEX(몬스터계수[[#Data],[행운계수]],MATCH(E193, 몬스터계수[[#Data],[타입]],0),1)*C193,0))))</f>
        <v>475.75</v>
      </c>
      <c r="K193" s="34">
        <f>ROUND(
(($F193)*참고!$D$5)
+(($G193)*참고!$D$6)
+(($H193)*참고!$D$7)
+(($I193)*참고!$D$8)
+(($J193))*참고!$D$9,0)</f>
        <v>73979</v>
      </c>
      <c r="L193" s="34">
        <f>ROUND(
(($F193)*참고!$E$5)
+(($G193)*참고!$E$6)
+(($H193)*참고!$E$7)
+(($I193)*참고!$E$8)
+(($J193))*참고!$E$9,0)</f>
        <v>42342</v>
      </c>
      <c r="M193" s="34">
        <f>ROUND(
(($F193)*참고!$F$5)
+(($G193)*참고!$F$6)
+(($H193)*참고!$F$7)
+(($I193)*참고!$F$8)
+(($J193))*참고!$F$9,0)</f>
        <v>11894</v>
      </c>
      <c r="N193" s="34">
        <f>ROUND(
(($F193)*참고!$G$5)
+(($G193)*참고!$G$6)
+(($H193)*참고!$G$7)
+(($I193)*참고!$G$8)
+(($J193))*참고!$G$9,0)</f>
        <v>333</v>
      </c>
      <c r="O193" s="34">
        <f>ROUND(
(($F193)*참고!$H$5)
+(($G193)*참고!$H$6)
+(($H193)*참고!$H$7)
+(($I193)*참고!$H$8)
+(($J193))*참고!$H$9,0)</f>
        <v>7850</v>
      </c>
      <c r="P193" s="34">
        <f>ROUND(
(($F193)*참고!$I$5)
+(($G193)*참고!$I$6)
+(($H193)*참고!$I$7)
+(($I193)*참고!$I$8)
+(($J193))*참고!$I$9,0)</f>
        <v>13797</v>
      </c>
      <c r="Q193" s="34">
        <f>ROUND(
(($F193)*참고!$J$5)
+(($G193)*참고!$J$6)
+(($H193)*참고!$J$7)
+(($I193)*참고!$J$8)
+(($J193))*참고!$J$9,0)</f>
        <v>9515</v>
      </c>
      <c r="R193" s="34">
        <f>IF(E193="공격형",(INDEX(몬스터계수[[#Data],[속도]],MATCH(E193, 몬스터계수[[#Data],[타입]],0),1)*속도핸들러_곱계수)*(INT(몬스터밸런스[[#This Row],[Lv]]/속도핸들러_합계수+1)),
IF(E193="방어형",(INDEX(몬스터계수[[#Data],[속도]],MATCH(E193, 몬스터계수[[#Data],[타입]],0),1)*속도핸들러_곱계수)*(INT(몬스터밸런스[[#This Row],[Lv]]/속도핸들러_합계수+1)),
IF(E193="회피형",(INDEX(몬스터계수[[#Data],[속도]],MATCH(E193, 몬스터계수[[#Data],[타입]],0),1)*속도핸들러_곱계수)*(INT(몬스터밸런스[[#This Row],[Lv]]/속도핸들러_합계수+1)),
IF(E193="기본형",(INDEX(몬스터계수[[#Data],[속도]],MATCH(E193, 몬스터계수[[#Data],[타입]],0),1)*속도핸들러_곱계수)*(INT(몬스터밸런스[[#This Row],[Lv]]/속도핸들러_합계수+1)),0))))</f>
        <v>0</v>
      </c>
      <c r="S193">
        <f t="shared" si="7"/>
        <v>2539967</v>
      </c>
      <c r="U193">
        <v>4</v>
      </c>
      <c r="V193">
        <v>191</v>
      </c>
      <c r="W193">
        <f>$Z$1*몬스터밸런스9[[#This Row],[단계]]</f>
        <v>20</v>
      </c>
      <c r="X193" t="s">
        <v>47</v>
      </c>
      <c r="AE193" s="34"/>
      <c r="AF193" s="34"/>
      <c r="AG193" s="34"/>
      <c r="AH193" s="34">
        <f>몬스터밸런스[[#This Row],[CriticalRate]]*0.3</f>
        <v>99.899999999999991</v>
      </c>
      <c r="AI193" s="34"/>
      <c r="AJ193" s="34"/>
      <c r="AK193" s="34"/>
      <c r="AL193">
        <f t="shared" si="9"/>
        <v>49.949999999999996</v>
      </c>
    </row>
    <row r="194" spans="1:38">
      <c r="A194">
        <v>1910</v>
      </c>
      <c r="B194">
        <v>192</v>
      </c>
      <c r="C194">
        <f>$F$1*몬스터밸런스[[#This Row],[Lv]]+15</f>
        <v>9565</v>
      </c>
      <c r="E194" t="s">
        <v>479</v>
      </c>
      <c r="F194">
        <f>IF(E194="공격형",INDEX(몬스터계수[[#Data],[생명계수]],MATCH(E194,몬스터계수[[#Data],[타입]],0),1)*C194,
IF(E194="방어형",INDEX(몬스터계수[[#Data],[생명계수]],MATCH(E194,몬스터계수[[#Data],[타입]],0),1)*C194,
IF(E194="회피형",INDEX(몬스터계수[[#Data],[생명계수]],MATCH(E194,몬스터계수[[#Data],[타입]],0),1)*C194,
IF(E194="체력형",INDEX(몬스터계수[[#Data],[생명계수]],MATCH(E194,몬스터계수[[#Data],[타입]],0),1)*C194,0))))*IF(몬스터밸런스[[#This Row],[보스]]=TRUE,2,1)</f>
        <v>4782.5</v>
      </c>
      <c r="G194">
        <f>IF(E194="공격형",INDEX(몬스터계수[[#Data],[힘계수]],MATCH(E194, 몬스터계수[[#Data],[타입]],0),1)*C194,
IF(E194="방어형",INDEX(몬스터계수[[#Data],[힘계수]],MATCH(E194, 몬스터계수[[#Data],[타입]],0),1)*C194,
IF(E194="회피형",INDEX(몬스터계수[[#Data],[힘계수]],MATCH(E194, 몬스터계수[[#Data],[타입]],0),1)*C194,
IF(E194="체력형",INDEX(몬스터계수[[#Data],[힘계수]],MATCH(E194, 몬스터계수[[#Data],[타입]],0),1)*C194,0))))</f>
        <v>2391.25</v>
      </c>
      <c r="H194">
        <f>IF(E194="공격형",INDEX(몬스터계수[[#Data],[근력게수]],MATCH(E194,몬스터계수[[#Data],[타입]],0),1)*C194,
IF(E194="방어형",INDEX(몬스터계수[[#Data],[근력게수]],MATCH(E194,몬스터계수[[#Data],[타입]],0),1)*C194,
IF(E194="회피형",INDEX(몬스터계수[[#Data],[근력게수]],MATCH(E194,몬스터계수[[#Data],[타입]],0),1)*C194,
IF(E194="체력형",INDEX(몬스터계수[[#Data],[근력게수]],MATCH(E194,몬스터계수[[#Data],[타입]],0),1)*C194,0))))</f>
        <v>478.25</v>
      </c>
      <c r="I194">
        <f>IF(E194="공격형",INDEX(몬스터계수[[#Data],[숙련도계수]],MATCH(E194,몬스터계수[[#Data],[타입]],0),1)*C194,
IF(E194="방어형",INDEX(몬스터계수[[#Data],[숙련도계수]],MATCH(E194,몬스터계수[[#Data],[타입]],0),1)*C194,
IF(E194="회피형",INDEX(몬스터계수[[#Data],[숙련도계수]],MATCH(E194,몬스터계수[[#Data],[타입]],0),1)*C194,
IF(E194="체력형",INDEX(몬스터계수[[#Data],[숙련도계수]],MATCH(E194,몬스터계수[[#Data],[타입]],0),1)*C194,0))))</f>
        <v>1434.75</v>
      </c>
      <c r="J194">
        <f>IF(E194="공격형",INDEX(몬스터계수[[#Data],[행운계수]],MATCH(E194, 몬스터계수[[#Data],[타입]],0),1)*C194,
IF(E194="방어형",INDEX(몬스터계수[[#Data],[행운계수]],MATCH(E194, 몬스터계수[[#Data],[타입]],0),1)*C194,
IF(E194="회피형",INDEX(몬스터계수[[#Data],[행운계수]],MATCH(E194, 몬스터계수[[#Data],[타입]],0),1)*C194,
IF(E194="체력형",INDEX(몬스터계수[[#Data],[행운계수]],MATCH(E194, 몬스터계수[[#Data],[타입]],0),1)*C194,0))))</f>
        <v>478.25</v>
      </c>
      <c r="K194" s="34">
        <f>ROUND(
(($F194)*참고!$D$5)
+(($G194)*참고!$D$6)
+(($H194)*참고!$D$7)
+(($I194)*참고!$D$8)
+(($J194))*참고!$D$9,0)</f>
        <v>74368</v>
      </c>
      <c r="L194" s="34">
        <f>ROUND(
(($F194)*참고!$E$5)
+(($G194)*참고!$E$6)
+(($H194)*참고!$E$7)
+(($I194)*참고!$E$8)
+(($J194))*참고!$E$9,0)</f>
        <v>42564</v>
      </c>
      <c r="M194" s="34">
        <f>ROUND(
(($F194)*참고!$F$5)
+(($G194)*참고!$F$6)
+(($H194)*참고!$F$7)
+(($I194)*참고!$F$8)
+(($J194))*참고!$F$9,0)</f>
        <v>11956</v>
      </c>
      <c r="N194" s="34">
        <f>ROUND(
(($F194)*참고!$G$5)
+(($G194)*참고!$G$6)
+(($H194)*참고!$G$7)
+(($I194)*참고!$G$8)
+(($J194))*참고!$G$9,0)</f>
        <v>335</v>
      </c>
      <c r="O194" s="34">
        <f>ROUND(
(($F194)*참고!$H$5)
+(($G194)*참고!$H$6)
+(($H194)*참고!$H$7)
+(($I194)*참고!$H$8)
+(($J194))*참고!$H$9,0)</f>
        <v>7891</v>
      </c>
      <c r="P194" s="34">
        <f>ROUND(
(($F194)*참고!$I$5)
+(($G194)*참고!$I$6)
+(($H194)*참고!$I$7)
+(($I194)*참고!$I$8)
+(($J194))*참고!$I$9,0)</f>
        <v>13869</v>
      </c>
      <c r="Q194" s="34">
        <f>ROUND(
(($F194)*참고!$J$5)
+(($G194)*참고!$J$6)
+(($H194)*참고!$J$7)
+(($I194)*참고!$J$8)
+(($J194))*참고!$J$9,0)</f>
        <v>9565</v>
      </c>
      <c r="R194" s="34">
        <f>IF(E194="공격형",(INDEX(몬스터계수[[#Data],[속도]],MATCH(E194, 몬스터계수[[#Data],[타입]],0),1)*속도핸들러_곱계수)*(INT(몬스터밸런스[[#This Row],[Lv]]/속도핸들러_합계수+1)),
IF(E194="방어형",(INDEX(몬스터계수[[#Data],[속도]],MATCH(E194, 몬스터계수[[#Data],[타입]],0),1)*속도핸들러_곱계수)*(INT(몬스터밸런스[[#This Row],[Lv]]/속도핸들러_합계수+1)),
IF(E194="회피형",(INDEX(몬스터계수[[#Data],[속도]],MATCH(E194, 몬스터계수[[#Data],[타입]],0),1)*속도핸들러_곱계수)*(INT(몬스터밸런스[[#This Row],[Lv]]/속도핸들러_합계수+1)),
IF(E194="기본형",(INDEX(몬스터계수[[#Data],[속도]],MATCH(E194, 몬스터계수[[#Data],[타입]],0),1)*속도핸들러_곱계수)*(INT(몬스터밸런스[[#This Row],[Lv]]/속도핸들러_합계수+1)),0))))</f>
        <v>0</v>
      </c>
      <c r="S194">
        <f t="shared" si="7"/>
        <v>2553296</v>
      </c>
      <c r="U194">
        <v>4</v>
      </c>
      <c r="V194">
        <v>192</v>
      </c>
      <c r="W194">
        <f>$Z$1*몬스터밸런스9[[#This Row],[단계]]</f>
        <v>20</v>
      </c>
      <c r="X194" t="s">
        <v>47</v>
      </c>
      <c r="AE194" s="34"/>
      <c r="AF194" s="34"/>
      <c r="AG194" s="34"/>
      <c r="AH194" s="34">
        <f>몬스터밸런스[[#This Row],[CriticalRate]]*0.3</f>
        <v>100.5</v>
      </c>
      <c r="AI194" s="34"/>
      <c r="AJ194" s="34"/>
      <c r="AK194" s="34"/>
      <c r="AL194">
        <f t="shared" si="9"/>
        <v>50.25</v>
      </c>
    </row>
    <row r="195" spans="1:38">
      <c r="A195">
        <v>1920</v>
      </c>
      <c r="B195">
        <v>193</v>
      </c>
      <c r="C195">
        <f>$F$1*몬스터밸런스[[#This Row],[Lv]]+15</f>
        <v>9615</v>
      </c>
      <c r="E195" t="s">
        <v>479</v>
      </c>
      <c r="F195">
        <f>IF(E195="공격형",INDEX(몬스터계수[[#Data],[생명계수]],MATCH(E195,몬스터계수[[#Data],[타입]],0),1)*C195,
IF(E195="방어형",INDEX(몬스터계수[[#Data],[생명계수]],MATCH(E195,몬스터계수[[#Data],[타입]],0),1)*C195,
IF(E195="회피형",INDEX(몬스터계수[[#Data],[생명계수]],MATCH(E195,몬스터계수[[#Data],[타입]],0),1)*C195,
IF(E195="체력형",INDEX(몬스터계수[[#Data],[생명계수]],MATCH(E195,몬스터계수[[#Data],[타입]],0),1)*C195,0))))*IF(몬스터밸런스[[#This Row],[보스]]=TRUE,2,1)</f>
        <v>4807.5</v>
      </c>
      <c r="G195">
        <f>IF(E195="공격형",INDEX(몬스터계수[[#Data],[힘계수]],MATCH(E195, 몬스터계수[[#Data],[타입]],0),1)*C195,
IF(E195="방어형",INDEX(몬스터계수[[#Data],[힘계수]],MATCH(E195, 몬스터계수[[#Data],[타입]],0),1)*C195,
IF(E195="회피형",INDEX(몬스터계수[[#Data],[힘계수]],MATCH(E195, 몬스터계수[[#Data],[타입]],0),1)*C195,
IF(E195="체력형",INDEX(몬스터계수[[#Data],[힘계수]],MATCH(E195, 몬스터계수[[#Data],[타입]],0),1)*C195,0))))</f>
        <v>2403.75</v>
      </c>
      <c r="H195">
        <f>IF(E195="공격형",INDEX(몬스터계수[[#Data],[근력게수]],MATCH(E195,몬스터계수[[#Data],[타입]],0),1)*C195,
IF(E195="방어형",INDEX(몬스터계수[[#Data],[근력게수]],MATCH(E195,몬스터계수[[#Data],[타입]],0),1)*C195,
IF(E195="회피형",INDEX(몬스터계수[[#Data],[근력게수]],MATCH(E195,몬스터계수[[#Data],[타입]],0),1)*C195,
IF(E195="체력형",INDEX(몬스터계수[[#Data],[근력게수]],MATCH(E195,몬스터계수[[#Data],[타입]],0),1)*C195,0))))</f>
        <v>480.75</v>
      </c>
      <c r="I195">
        <f>IF(E195="공격형",INDEX(몬스터계수[[#Data],[숙련도계수]],MATCH(E195,몬스터계수[[#Data],[타입]],0),1)*C195,
IF(E195="방어형",INDEX(몬스터계수[[#Data],[숙련도계수]],MATCH(E195,몬스터계수[[#Data],[타입]],0),1)*C195,
IF(E195="회피형",INDEX(몬스터계수[[#Data],[숙련도계수]],MATCH(E195,몬스터계수[[#Data],[타입]],0),1)*C195,
IF(E195="체력형",INDEX(몬스터계수[[#Data],[숙련도계수]],MATCH(E195,몬스터계수[[#Data],[타입]],0),1)*C195,0))))</f>
        <v>1442.25</v>
      </c>
      <c r="J195">
        <f>IF(E195="공격형",INDEX(몬스터계수[[#Data],[행운계수]],MATCH(E195, 몬스터계수[[#Data],[타입]],0),1)*C195,
IF(E195="방어형",INDEX(몬스터계수[[#Data],[행운계수]],MATCH(E195, 몬스터계수[[#Data],[타입]],0),1)*C195,
IF(E195="회피형",INDEX(몬스터계수[[#Data],[행운계수]],MATCH(E195, 몬스터계수[[#Data],[타입]],0),1)*C195,
IF(E195="체력형",INDEX(몬스터계수[[#Data],[행운계수]],MATCH(E195, 몬스터계수[[#Data],[타입]],0),1)*C195,0))))</f>
        <v>480.75</v>
      </c>
      <c r="K195" s="34">
        <f>ROUND(
(($F195)*참고!$D$5)
+(($G195)*참고!$D$6)
+(($H195)*참고!$D$7)
+(($I195)*참고!$D$8)
+(($J195))*참고!$D$9,0)</f>
        <v>74757</v>
      </c>
      <c r="L195" s="34">
        <f>ROUND(
(($F195)*참고!$E$5)
+(($G195)*참고!$E$6)
+(($H195)*참고!$E$7)
+(($I195)*참고!$E$8)
+(($J195))*참고!$E$9,0)</f>
        <v>42787</v>
      </c>
      <c r="M195" s="34">
        <f>ROUND(
(($F195)*참고!$F$5)
+(($G195)*참고!$F$6)
+(($H195)*참고!$F$7)
+(($I195)*참고!$F$8)
+(($J195))*참고!$F$9,0)</f>
        <v>12019</v>
      </c>
      <c r="N195" s="34">
        <f>ROUND(
(($F195)*참고!$G$5)
+(($G195)*참고!$G$6)
+(($H195)*참고!$G$7)
+(($I195)*참고!$G$8)
+(($J195))*참고!$G$9,0)</f>
        <v>337</v>
      </c>
      <c r="O195" s="34">
        <f>ROUND(
(($F195)*참고!$H$5)
+(($G195)*참고!$H$6)
+(($H195)*참고!$H$7)
+(($I195)*참고!$H$8)
+(($J195))*참고!$H$9,0)</f>
        <v>7932</v>
      </c>
      <c r="P195" s="34">
        <f>ROUND(
(($F195)*참고!$I$5)
+(($G195)*참고!$I$6)
+(($H195)*참고!$I$7)
+(($I195)*참고!$I$8)
+(($J195))*참고!$I$9,0)</f>
        <v>13942</v>
      </c>
      <c r="Q195" s="34">
        <f>ROUND(
(($F195)*참고!$J$5)
+(($G195)*참고!$J$6)
+(($H195)*참고!$J$7)
+(($I195)*참고!$J$8)
+(($J195))*참고!$J$9,0)</f>
        <v>9615</v>
      </c>
      <c r="R195" s="34">
        <f>IF(E195="공격형",(INDEX(몬스터계수[[#Data],[속도]],MATCH(E195, 몬스터계수[[#Data],[타입]],0),1)*속도핸들러_곱계수)*(INT(몬스터밸런스[[#This Row],[Lv]]/속도핸들러_합계수+1)),
IF(E195="방어형",(INDEX(몬스터계수[[#Data],[속도]],MATCH(E195, 몬스터계수[[#Data],[타입]],0),1)*속도핸들러_곱계수)*(INT(몬스터밸런스[[#This Row],[Lv]]/속도핸들러_합계수+1)),
IF(E195="회피형",(INDEX(몬스터계수[[#Data],[속도]],MATCH(E195, 몬스터계수[[#Data],[타입]],0),1)*속도핸들러_곱계수)*(INT(몬스터밸런스[[#This Row],[Lv]]/속도핸들러_합계수+1)),
IF(E195="기본형",(INDEX(몬스터계수[[#Data],[속도]],MATCH(E195, 몬스터계수[[#Data],[타입]],0),1)*속도핸들러_곱계수)*(INT(몬스터밸런스[[#This Row],[Lv]]/속도핸들러_합계수+1)),0))))</f>
        <v>0</v>
      </c>
      <c r="S195">
        <f t="shared" ref="S195:S258" si="10">(K195*HP계수) + (L195*attack계수) + (M195*Defense계수) + (N195*CriticalRate계수) + (O195*CriticalDamage계수) + (P195*Accuracy계수) + (Q195*DodgeRate계수)</f>
        <v>2566668</v>
      </c>
      <c r="U195">
        <v>4</v>
      </c>
      <c r="V195">
        <v>193</v>
      </c>
      <c r="W195">
        <f>$Z$1*몬스터밸런스9[[#This Row],[단계]]</f>
        <v>20</v>
      </c>
      <c r="X195" t="s">
        <v>47</v>
      </c>
      <c r="AE195" s="34"/>
      <c r="AF195" s="34"/>
      <c r="AG195" s="34"/>
      <c r="AH195" s="34">
        <f>몬스터밸런스[[#This Row],[CriticalRate]]*0.3</f>
        <v>101.1</v>
      </c>
      <c r="AI195" s="34"/>
      <c r="AJ195" s="34"/>
      <c r="AK195" s="34"/>
      <c r="AL195">
        <f t="shared" si="9"/>
        <v>50.55</v>
      </c>
    </row>
    <row r="196" spans="1:38">
      <c r="A196">
        <v>1930</v>
      </c>
      <c r="B196">
        <v>194</v>
      </c>
      <c r="C196">
        <f>$F$1*몬스터밸런스[[#This Row],[Lv]]+15</f>
        <v>9665</v>
      </c>
      <c r="E196" t="s">
        <v>479</v>
      </c>
      <c r="F196">
        <f>IF(E196="공격형",INDEX(몬스터계수[[#Data],[생명계수]],MATCH(E196,몬스터계수[[#Data],[타입]],0),1)*C196,
IF(E196="방어형",INDEX(몬스터계수[[#Data],[생명계수]],MATCH(E196,몬스터계수[[#Data],[타입]],0),1)*C196,
IF(E196="회피형",INDEX(몬스터계수[[#Data],[생명계수]],MATCH(E196,몬스터계수[[#Data],[타입]],0),1)*C196,
IF(E196="체력형",INDEX(몬스터계수[[#Data],[생명계수]],MATCH(E196,몬스터계수[[#Data],[타입]],0),1)*C196,0))))*IF(몬스터밸런스[[#This Row],[보스]]=TRUE,2,1)</f>
        <v>4832.5</v>
      </c>
      <c r="G196">
        <f>IF(E196="공격형",INDEX(몬스터계수[[#Data],[힘계수]],MATCH(E196, 몬스터계수[[#Data],[타입]],0),1)*C196,
IF(E196="방어형",INDEX(몬스터계수[[#Data],[힘계수]],MATCH(E196, 몬스터계수[[#Data],[타입]],0),1)*C196,
IF(E196="회피형",INDEX(몬스터계수[[#Data],[힘계수]],MATCH(E196, 몬스터계수[[#Data],[타입]],0),1)*C196,
IF(E196="체력형",INDEX(몬스터계수[[#Data],[힘계수]],MATCH(E196, 몬스터계수[[#Data],[타입]],0),1)*C196,0))))</f>
        <v>2416.25</v>
      </c>
      <c r="H196">
        <f>IF(E196="공격형",INDEX(몬스터계수[[#Data],[근력게수]],MATCH(E196,몬스터계수[[#Data],[타입]],0),1)*C196,
IF(E196="방어형",INDEX(몬스터계수[[#Data],[근력게수]],MATCH(E196,몬스터계수[[#Data],[타입]],0),1)*C196,
IF(E196="회피형",INDEX(몬스터계수[[#Data],[근력게수]],MATCH(E196,몬스터계수[[#Data],[타입]],0),1)*C196,
IF(E196="체력형",INDEX(몬스터계수[[#Data],[근력게수]],MATCH(E196,몬스터계수[[#Data],[타입]],0),1)*C196,0))))</f>
        <v>483.25</v>
      </c>
      <c r="I196">
        <f>IF(E196="공격형",INDEX(몬스터계수[[#Data],[숙련도계수]],MATCH(E196,몬스터계수[[#Data],[타입]],0),1)*C196,
IF(E196="방어형",INDEX(몬스터계수[[#Data],[숙련도계수]],MATCH(E196,몬스터계수[[#Data],[타입]],0),1)*C196,
IF(E196="회피형",INDEX(몬스터계수[[#Data],[숙련도계수]],MATCH(E196,몬스터계수[[#Data],[타입]],0),1)*C196,
IF(E196="체력형",INDEX(몬스터계수[[#Data],[숙련도계수]],MATCH(E196,몬스터계수[[#Data],[타입]],0),1)*C196,0))))</f>
        <v>1449.75</v>
      </c>
      <c r="J196">
        <f>IF(E196="공격형",INDEX(몬스터계수[[#Data],[행운계수]],MATCH(E196, 몬스터계수[[#Data],[타입]],0),1)*C196,
IF(E196="방어형",INDEX(몬스터계수[[#Data],[행운계수]],MATCH(E196, 몬스터계수[[#Data],[타입]],0),1)*C196,
IF(E196="회피형",INDEX(몬스터계수[[#Data],[행운계수]],MATCH(E196, 몬스터계수[[#Data],[타입]],0),1)*C196,
IF(E196="체력형",INDEX(몬스터계수[[#Data],[행운계수]],MATCH(E196, 몬스터계수[[#Data],[타입]],0),1)*C196,0))))</f>
        <v>483.25</v>
      </c>
      <c r="K196" s="34">
        <f>ROUND(
(($F196)*참고!$D$5)
+(($G196)*참고!$D$6)
+(($H196)*참고!$D$7)
+(($I196)*참고!$D$8)
+(($J196))*참고!$D$9,0)</f>
        <v>75145</v>
      </c>
      <c r="L196" s="34">
        <f>ROUND(
(($F196)*참고!$E$5)
+(($G196)*참고!$E$6)
+(($H196)*참고!$E$7)
+(($I196)*참고!$E$8)
+(($J196))*참고!$E$9,0)</f>
        <v>43009</v>
      </c>
      <c r="M196" s="34">
        <f>ROUND(
(($F196)*참고!$F$5)
+(($G196)*참고!$F$6)
+(($H196)*참고!$F$7)
+(($I196)*참고!$F$8)
+(($J196))*참고!$F$9,0)</f>
        <v>12081</v>
      </c>
      <c r="N196" s="34">
        <f>ROUND(
(($F196)*참고!$G$5)
+(($G196)*참고!$G$6)
+(($H196)*참고!$G$7)
+(($I196)*참고!$G$8)
+(($J196))*참고!$G$9,0)</f>
        <v>338</v>
      </c>
      <c r="O196" s="34">
        <f>ROUND(
(($F196)*참고!$H$5)
+(($G196)*참고!$H$6)
+(($H196)*참고!$H$7)
+(($I196)*참고!$H$8)
+(($J196))*참고!$H$9,0)</f>
        <v>7974</v>
      </c>
      <c r="P196" s="34">
        <f>ROUND(
(($F196)*참고!$I$5)
+(($G196)*참고!$I$6)
+(($H196)*참고!$I$7)
+(($I196)*참고!$I$8)
+(($J196))*참고!$I$9,0)</f>
        <v>14014</v>
      </c>
      <c r="Q196" s="34">
        <f>ROUND(
(($F196)*참고!$J$5)
+(($G196)*참고!$J$6)
+(($H196)*참고!$J$7)
+(($I196)*참고!$J$8)
+(($J196))*참고!$J$9,0)</f>
        <v>9665</v>
      </c>
      <c r="R196" s="34">
        <f>IF(E196="공격형",(INDEX(몬스터계수[[#Data],[속도]],MATCH(E196, 몬스터계수[[#Data],[타입]],0),1)*속도핸들러_곱계수)*(INT(몬스터밸런스[[#This Row],[Lv]]/속도핸들러_합계수+1)),
IF(E196="방어형",(INDEX(몬스터계수[[#Data],[속도]],MATCH(E196, 몬스터계수[[#Data],[타입]],0),1)*속도핸들러_곱계수)*(INT(몬스터밸런스[[#This Row],[Lv]]/속도핸들러_합계수+1)),
IF(E196="회피형",(INDEX(몬스터계수[[#Data],[속도]],MATCH(E196, 몬스터계수[[#Data],[타입]],0),1)*속도핸들러_곱계수)*(INT(몬스터밸런스[[#This Row],[Lv]]/속도핸들러_합계수+1)),
IF(E196="기본형",(INDEX(몬스터계수[[#Data],[속도]],MATCH(E196, 몬스터계수[[#Data],[타입]],0),1)*속도핸들러_곱계수)*(INT(몬스터밸런스[[#This Row],[Lv]]/속도핸들러_합계수+1)),0))))</f>
        <v>0</v>
      </c>
      <c r="S196">
        <f t="shared" si="10"/>
        <v>2579983.5</v>
      </c>
      <c r="U196">
        <v>4</v>
      </c>
      <c r="V196">
        <v>194</v>
      </c>
      <c r="W196">
        <f>$Z$1*몬스터밸런스9[[#This Row],[단계]]</f>
        <v>20</v>
      </c>
      <c r="X196" t="s">
        <v>47</v>
      </c>
      <c r="AE196" s="34"/>
      <c r="AF196" s="34"/>
      <c r="AG196" s="34">
        <f>몬스터밸런스[[#This Row],[Defense]]*0.2</f>
        <v>2416.2000000000003</v>
      </c>
      <c r="AH196" s="34">
        <f>몬스터밸런스[[#This Row],[CriticalRate]]*0.3</f>
        <v>101.39999999999999</v>
      </c>
      <c r="AI196" s="34"/>
      <c r="AJ196" s="34"/>
      <c r="AK196" s="34"/>
      <c r="AL196">
        <f t="shared" si="9"/>
        <v>38709.9</v>
      </c>
    </row>
    <row r="197" spans="1:38">
      <c r="A197">
        <v>1940</v>
      </c>
      <c r="B197">
        <v>195</v>
      </c>
      <c r="C197">
        <f>$F$1*몬스터밸런스[[#This Row],[Lv]]+15</f>
        <v>9715</v>
      </c>
      <c r="E197" t="s">
        <v>479</v>
      </c>
      <c r="F197">
        <f>IF(E197="공격형",INDEX(몬스터계수[[#Data],[생명계수]],MATCH(E197,몬스터계수[[#Data],[타입]],0),1)*C197,
IF(E197="방어형",INDEX(몬스터계수[[#Data],[생명계수]],MATCH(E197,몬스터계수[[#Data],[타입]],0),1)*C197,
IF(E197="회피형",INDEX(몬스터계수[[#Data],[생명계수]],MATCH(E197,몬스터계수[[#Data],[타입]],0),1)*C197,
IF(E197="체력형",INDEX(몬스터계수[[#Data],[생명계수]],MATCH(E197,몬스터계수[[#Data],[타입]],0),1)*C197,0))))*IF(몬스터밸런스[[#This Row],[보스]]=TRUE,2,1)</f>
        <v>4857.5</v>
      </c>
      <c r="G197">
        <f>IF(E197="공격형",INDEX(몬스터계수[[#Data],[힘계수]],MATCH(E197, 몬스터계수[[#Data],[타입]],0),1)*C197,
IF(E197="방어형",INDEX(몬스터계수[[#Data],[힘계수]],MATCH(E197, 몬스터계수[[#Data],[타입]],0),1)*C197,
IF(E197="회피형",INDEX(몬스터계수[[#Data],[힘계수]],MATCH(E197, 몬스터계수[[#Data],[타입]],0),1)*C197,
IF(E197="체력형",INDEX(몬스터계수[[#Data],[힘계수]],MATCH(E197, 몬스터계수[[#Data],[타입]],0),1)*C197,0))))</f>
        <v>2428.75</v>
      </c>
      <c r="H197">
        <f>IF(E197="공격형",INDEX(몬스터계수[[#Data],[근력게수]],MATCH(E197,몬스터계수[[#Data],[타입]],0),1)*C197,
IF(E197="방어형",INDEX(몬스터계수[[#Data],[근력게수]],MATCH(E197,몬스터계수[[#Data],[타입]],0),1)*C197,
IF(E197="회피형",INDEX(몬스터계수[[#Data],[근력게수]],MATCH(E197,몬스터계수[[#Data],[타입]],0),1)*C197,
IF(E197="체력형",INDEX(몬스터계수[[#Data],[근력게수]],MATCH(E197,몬스터계수[[#Data],[타입]],0),1)*C197,0))))</f>
        <v>485.75</v>
      </c>
      <c r="I197">
        <f>IF(E197="공격형",INDEX(몬스터계수[[#Data],[숙련도계수]],MATCH(E197,몬스터계수[[#Data],[타입]],0),1)*C197,
IF(E197="방어형",INDEX(몬스터계수[[#Data],[숙련도계수]],MATCH(E197,몬스터계수[[#Data],[타입]],0),1)*C197,
IF(E197="회피형",INDEX(몬스터계수[[#Data],[숙련도계수]],MATCH(E197,몬스터계수[[#Data],[타입]],0),1)*C197,
IF(E197="체력형",INDEX(몬스터계수[[#Data],[숙련도계수]],MATCH(E197,몬스터계수[[#Data],[타입]],0),1)*C197,0))))</f>
        <v>1457.25</v>
      </c>
      <c r="J197">
        <f>IF(E197="공격형",INDEX(몬스터계수[[#Data],[행운계수]],MATCH(E197, 몬스터계수[[#Data],[타입]],0),1)*C197,
IF(E197="방어형",INDEX(몬스터계수[[#Data],[행운계수]],MATCH(E197, 몬스터계수[[#Data],[타입]],0),1)*C197,
IF(E197="회피형",INDEX(몬스터계수[[#Data],[행운계수]],MATCH(E197, 몬스터계수[[#Data],[타입]],0),1)*C197,
IF(E197="체력형",INDEX(몬스터계수[[#Data],[행운계수]],MATCH(E197, 몬스터계수[[#Data],[타입]],0),1)*C197,0))))</f>
        <v>485.75</v>
      </c>
      <c r="K197" s="34">
        <f>ROUND(
(($F197)*참고!$D$5)
+(($G197)*참고!$D$6)
+(($H197)*참고!$D$7)
+(($I197)*참고!$D$8)
+(($J197))*참고!$D$9,0)</f>
        <v>75534</v>
      </c>
      <c r="L197" s="34">
        <f>ROUND(
(($F197)*참고!$E$5)
+(($G197)*참고!$E$6)
+(($H197)*참고!$E$7)
+(($I197)*참고!$E$8)
+(($J197))*참고!$E$9,0)</f>
        <v>43232</v>
      </c>
      <c r="M197" s="34">
        <f>ROUND(
(($F197)*참고!$F$5)
+(($G197)*참고!$F$6)
+(($H197)*참고!$F$7)
+(($I197)*참고!$F$8)
+(($J197))*참고!$F$9,0)</f>
        <v>12144</v>
      </c>
      <c r="N197" s="34">
        <f>ROUND(
(($F197)*참고!$G$5)
+(($G197)*참고!$G$6)
+(($H197)*참고!$G$7)
+(($I197)*참고!$G$8)
+(($J197))*참고!$G$9,0)</f>
        <v>340</v>
      </c>
      <c r="O197" s="34">
        <f>ROUND(
(($F197)*참고!$H$5)
+(($G197)*참고!$H$6)
+(($H197)*참고!$H$7)
+(($I197)*참고!$H$8)
+(($J197))*참고!$H$9,0)</f>
        <v>8015</v>
      </c>
      <c r="P197" s="34">
        <f>ROUND(
(($F197)*참고!$I$5)
+(($G197)*참고!$I$6)
+(($H197)*참고!$I$7)
+(($I197)*참고!$I$8)
+(($J197))*참고!$I$9,0)</f>
        <v>14087</v>
      </c>
      <c r="Q197" s="34">
        <f>ROUND(
(($F197)*참고!$J$5)
+(($G197)*참고!$J$6)
+(($H197)*참고!$J$7)
+(($I197)*참고!$J$8)
+(($J197))*참고!$J$9,0)</f>
        <v>9715</v>
      </c>
      <c r="R197" s="34">
        <f>IF(E197="공격형",(INDEX(몬스터계수[[#Data],[속도]],MATCH(E197, 몬스터계수[[#Data],[타입]],0),1)*속도핸들러_곱계수)*(INT(몬스터밸런스[[#This Row],[Lv]]/속도핸들러_합계수+1)),
IF(E197="방어형",(INDEX(몬스터계수[[#Data],[속도]],MATCH(E197, 몬스터계수[[#Data],[타입]],0),1)*속도핸들러_곱계수)*(INT(몬스터밸런스[[#This Row],[Lv]]/속도핸들러_합계수+1)),
IF(E197="회피형",(INDEX(몬스터계수[[#Data],[속도]],MATCH(E197, 몬스터계수[[#Data],[타입]],0),1)*속도핸들러_곱계수)*(INT(몬스터밸런스[[#This Row],[Lv]]/속도핸들러_합계수+1)),
IF(E197="기본형",(INDEX(몬스터계수[[#Data],[속도]],MATCH(E197, 몬스터계수[[#Data],[타입]],0),1)*속도핸들러_곱계수)*(INT(몬스터밸런스[[#This Row],[Lv]]/속도핸들러_합계수+1)),0))))</f>
        <v>0</v>
      </c>
      <c r="S197">
        <f t="shared" si="10"/>
        <v>2593355.5</v>
      </c>
      <c r="U197">
        <v>4</v>
      </c>
      <c r="V197">
        <v>195</v>
      </c>
      <c r="W197">
        <f>$Z$1*몬스터밸런스9[[#This Row],[단계]]</f>
        <v>20</v>
      </c>
      <c r="X197" t="s">
        <v>47</v>
      </c>
      <c r="AE197" s="34"/>
      <c r="AF197" s="34"/>
      <c r="AG197" s="34">
        <f>몬스터밸런스[[#This Row],[Defense]]*0.2</f>
        <v>2428.8000000000002</v>
      </c>
      <c r="AH197" s="34">
        <f>몬스터밸런스[[#This Row],[CriticalRate]]*0.3</f>
        <v>102</v>
      </c>
      <c r="AI197" s="34"/>
      <c r="AJ197" s="34"/>
      <c r="AK197" s="34"/>
      <c r="AL197">
        <f t="shared" si="9"/>
        <v>38911.800000000003</v>
      </c>
    </row>
    <row r="198" spans="1:38">
      <c r="A198">
        <v>1950</v>
      </c>
      <c r="B198">
        <v>196</v>
      </c>
      <c r="C198">
        <f>$F$1*몬스터밸런스[[#This Row],[Lv]]+15</f>
        <v>9765</v>
      </c>
      <c r="E198" t="s">
        <v>479</v>
      </c>
      <c r="F198">
        <f>IF(E198="공격형",INDEX(몬스터계수[[#Data],[생명계수]],MATCH(E198,몬스터계수[[#Data],[타입]],0),1)*C198,
IF(E198="방어형",INDEX(몬스터계수[[#Data],[생명계수]],MATCH(E198,몬스터계수[[#Data],[타입]],0),1)*C198,
IF(E198="회피형",INDEX(몬스터계수[[#Data],[생명계수]],MATCH(E198,몬스터계수[[#Data],[타입]],0),1)*C198,
IF(E198="체력형",INDEX(몬스터계수[[#Data],[생명계수]],MATCH(E198,몬스터계수[[#Data],[타입]],0),1)*C198,0))))*IF(몬스터밸런스[[#This Row],[보스]]=TRUE,2,1)</f>
        <v>4882.5</v>
      </c>
      <c r="G198">
        <f>IF(E198="공격형",INDEX(몬스터계수[[#Data],[힘계수]],MATCH(E198, 몬스터계수[[#Data],[타입]],0),1)*C198,
IF(E198="방어형",INDEX(몬스터계수[[#Data],[힘계수]],MATCH(E198, 몬스터계수[[#Data],[타입]],0),1)*C198,
IF(E198="회피형",INDEX(몬스터계수[[#Data],[힘계수]],MATCH(E198, 몬스터계수[[#Data],[타입]],0),1)*C198,
IF(E198="체력형",INDEX(몬스터계수[[#Data],[힘계수]],MATCH(E198, 몬스터계수[[#Data],[타입]],0),1)*C198,0))))</f>
        <v>2441.25</v>
      </c>
      <c r="H198">
        <f>IF(E198="공격형",INDEX(몬스터계수[[#Data],[근력게수]],MATCH(E198,몬스터계수[[#Data],[타입]],0),1)*C198,
IF(E198="방어형",INDEX(몬스터계수[[#Data],[근력게수]],MATCH(E198,몬스터계수[[#Data],[타입]],0),1)*C198,
IF(E198="회피형",INDEX(몬스터계수[[#Data],[근력게수]],MATCH(E198,몬스터계수[[#Data],[타입]],0),1)*C198,
IF(E198="체력형",INDEX(몬스터계수[[#Data],[근력게수]],MATCH(E198,몬스터계수[[#Data],[타입]],0),1)*C198,0))))</f>
        <v>488.25</v>
      </c>
      <c r="I198">
        <f>IF(E198="공격형",INDEX(몬스터계수[[#Data],[숙련도계수]],MATCH(E198,몬스터계수[[#Data],[타입]],0),1)*C198,
IF(E198="방어형",INDEX(몬스터계수[[#Data],[숙련도계수]],MATCH(E198,몬스터계수[[#Data],[타입]],0),1)*C198,
IF(E198="회피형",INDEX(몬스터계수[[#Data],[숙련도계수]],MATCH(E198,몬스터계수[[#Data],[타입]],0),1)*C198,
IF(E198="체력형",INDEX(몬스터계수[[#Data],[숙련도계수]],MATCH(E198,몬스터계수[[#Data],[타입]],0),1)*C198,0))))</f>
        <v>1464.75</v>
      </c>
      <c r="J198">
        <f>IF(E198="공격형",INDEX(몬스터계수[[#Data],[행운계수]],MATCH(E198, 몬스터계수[[#Data],[타입]],0),1)*C198,
IF(E198="방어형",INDEX(몬스터계수[[#Data],[행운계수]],MATCH(E198, 몬스터계수[[#Data],[타입]],0),1)*C198,
IF(E198="회피형",INDEX(몬스터계수[[#Data],[행운계수]],MATCH(E198, 몬스터계수[[#Data],[타입]],0),1)*C198,
IF(E198="체력형",INDEX(몬스터계수[[#Data],[행운계수]],MATCH(E198, 몬스터계수[[#Data],[타입]],0),1)*C198,0))))</f>
        <v>488.25</v>
      </c>
      <c r="K198" s="34">
        <f>ROUND(
(($F198)*참고!$D$5)
+(($G198)*참고!$D$6)
+(($H198)*참고!$D$7)
+(($I198)*참고!$D$8)
+(($J198))*참고!$D$9,0)</f>
        <v>75923</v>
      </c>
      <c r="L198" s="34">
        <f>ROUND(
(($F198)*참고!$E$5)
+(($G198)*참고!$E$6)
+(($H198)*참고!$E$7)
+(($I198)*참고!$E$8)
+(($J198))*참고!$E$9,0)</f>
        <v>43454</v>
      </c>
      <c r="M198" s="34">
        <f>ROUND(
(($F198)*참고!$F$5)
+(($G198)*참고!$F$6)
+(($H198)*참고!$F$7)
+(($I198)*참고!$F$8)
+(($J198))*참고!$F$9,0)</f>
        <v>12206</v>
      </c>
      <c r="N198" s="34">
        <f>ROUND(
(($F198)*참고!$G$5)
+(($G198)*참고!$G$6)
+(($H198)*참고!$G$7)
+(($I198)*참고!$G$8)
+(($J198))*참고!$G$9,0)</f>
        <v>342</v>
      </c>
      <c r="O198" s="34">
        <f>ROUND(
(($F198)*참고!$H$5)
+(($G198)*참고!$H$6)
+(($H198)*참고!$H$7)
+(($I198)*참고!$H$8)
+(($J198))*참고!$H$9,0)</f>
        <v>8056</v>
      </c>
      <c r="P198" s="34">
        <f>ROUND(
(($F198)*참고!$I$5)
+(($G198)*참고!$I$6)
+(($H198)*참고!$I$7)
+(($I198)*참고!$I$8)
+(($J198))*참고!$I$9,0)</f>
        <v>14159</v>
      </c>
      <c r="Q198" s="34">
        <f>ROUND(
(($F198)*참고!$J$5)
+(($G198)*참고!$J$6)
+(($H198)*참고!$J$7)
+(($I198)*참고!$J$8)
+(($J198))*참고!$J$9,0)</f>
        <v>9765</v>
      </c>
      <c r="R198" s="34">
        <f>IF(E198="공격형",(INDEX(몬스터계수[[#Data],[속도]],MATCH(E198, 몬스터계수[[#Data],[타입]],0),1)*속도핸들러_곱계수)*(INT(몬스터밸런스[[#This Row],[Lv]]/속도핸들러_합계수+1)),
IF(E198="방어형",(INDEX(몬스터계수[[#Data],[속도]],MATCH(E198, 몬스터계수[[#Data],[타입]],0),1)*속도핸들러_곱계수)*(INT(몬스터밸런스[[#This Row],[Lv]]/속도핸들러_합계수+1)),
IF(E198="회피형",(INDEX(몬스터계수[[#Data],[속도]],MATCH(E198, 몬스터계수[[#Data],[타입]],0),1)*속도핸들러_곱계수)*(INT(몬스터밸런스[[#This Row],[Lv]]/속도핸들러_합계수+1)),
IF(E198="기본형",(INDEX(몬스터계수[[#Data],[속도]],MATCH(E198, 몬스터계수[[#Data],[타입]],0),1)*속도핸들러_곱계수)*(INT(몬스터밸런스[[#This Row],[Lv]]/속도핸들러_합계수+1)),0))))</f>
        <v>0</v>
      </c>
      <c r="S198">
        <f t="shared" si="10"/>
        <v>2606684.5</v>
      </c>
      <c r="U198">
        <v>5</v>
      </c>
      <c r="V198">
        <v>196</v>
      </c>
      <c r="W198">
        <f>$Z$1*몬스터밸런스9[[#This Row],[단계]]</f>
        <v>25</v>
      </c>
      <c r="X198" t="s">
        <v>47</v>
      </c>
      <c r="AE198" s="34"/>
      <c r="AF198" s="34"/>
      <c r="AG198" s="34"/>
      <c r="AH198" s="34">
        <f>몬스터밸런스[[#This Row],[CriticalRate]]*0.3</f>
        <v>102.6</v>
      </c>
      <c r="AI198" s="34"/>
      <c r="AJ198" s="34"/>
      <c r="AK198" s="34"/>
      <c r="AL198">
        <f t="shared" si="9"/>
        <v>51.3</v>
      </c>
    </row>
    <row r="199" spans="1:38">
      <c r="A199">
        <v>1960</v>
      </c>
      <c r="B199">
        <v>197</v>
      </c>
      <c r="C199">
        <f>$F$1*몬스터밸런스[[#This Row],[Lv]]+15</f>
        <v>9815</v>
      </c>
      <c r="E199" t="s">
        <v>479</v>
      </c>
      <c r="F199">
        <f>IF(E199="공격형",INDEX(몬스터계수[[#Data],[생명계수]],MATCH(E199,몬스터계수[[#Data],[타입]],0),1)*C199,
IF(E199="방어형",INDEX(몬스터계수[[#Data],[생명계수]],MATCH(E199,몬스터계수[[#Data],[타입]],0),1)*C199,
IF(E199="회피형",INDEX(몬스터계수[[#Data],[생명계수]],MATCH(E199,몬스터계수[[#Data],[타입]],0),1)*C199,
IF(E199="체력형",INDEX(몬스터계수[[#Data],[생명계수]],MATCH(E199,몬스터계수[[#Data],[타입]],0),1)*C199,0))))*IF(몬스터밸런스[[#This Row],[보스]]=TRUE,2,1)</f>
        <v>4907.5</v>
      </c>
      <c r="G199">
        <f>IF(E199="공격형",INDEX(몬스터계수[[#Data],[힘계수]],MATCH(E199, 몬스터계수[[#Data],[타입]],0),1)*C199,
IF(E199="방어형",INDEX(몬스터계수[[#Data],[힘계수]],MATCH(E199, 몬스터계수[[#Data],[타입]],0),1)*C199,
IF(E199="회피형",INDEX(몬스터계수[[#Data],[힘계수]],MATCH(E199, 몬스터계수[[#Data],[타입]],0),1)*C199,
IF(E199="체력형",INDEX(몬스터계수[[#Data],[힘계수]],MATCH(E199, 몬스터계수[[#Data],[타입]],0),1)*C199,0))))</f>
        <v>2453.75</v>
      </c>
      <c r="H199">
        <f>IF(E199="공격형",INDEX(몬스터계수[[#Data],[근력게수]],MATCH(E199,몬스터계수[[#Data],[타입]],0),1)*C199,
IF(E199="방어형",INDEX(몬스터계수[[#Data],[근력게수]],MATCH(E199,몬스터계수[[#Data],[타입]],0),1)*C199,
IF(E199="회피형",INDEX(몬스터계수[[#Data],[근력게수]],MATCH(E199,몬스터계수[[#Data],[타입]],0),1)*C199,
IF(E199="체력형",INDEX(몬스터계수[[#Data],[근력게수]],MATCH(E199,몬스터계수[[#Data],[타입]],0),1)*C199,0))))</f>
        <v>490.75</v>
      </c>
      <c r="I199">
        <f>IF(E199="공격형",INDEX(몬스터계수[[#Data],[숙련도계수]],MATCH(E199,몬스터계수[[#Data],[타입]],0),1)*C199,
IF(E199="방어형",INDEX(몬스터계수[[#Data],[숙련도계수]],MATCH(E199,몬스터계수[[#Data],[타입]],0),1)*C199,
IF(E199="회피형",INDEX(몬스터계수[[#Data],[숙련도계수]],MATCH(E199,몬스터계수[[#Data],[타입]],0),1)*C199,
IF(E199="체력형",INDEX(몬스터계수[[#Data],[숙련도계수]],MATCH(E199,몬스터계수[[#Data],[타입]],0),1)*C199,0))))</f>
        <v>1472.25</v>
      </c>
      <c r="J199">
        <f>IF(E199="공격형",INDEX(몬스터계수[[#Data],[행운계수]],MATCH(E199, 몬스터계수[[#Data],[타입]],0),1)*C199,
IF(E199="방어형",INDEX(몬스터계수[[#Data],[행운계수]],MATCH(E199, 몬스터계수[[#Data],[타입]],0),1)*C199,
IF(E199="회피형",INDEX(몬스터계수[[#Data],[행운계수]],MATCH(E199, 몬스터계수[[#Data],[타입]],0),1)*C199,
IF(E199="체력형",INDEX(몬스터계수[[#Data],[행운계수]],MATCH(E199, 몬스터계수[[#Data],[타입]],0),1)*C199,0))))</f>
        <v>490.75</v>
      </c>
      <c r="K199" s="34">
        <f>ROUND(
(($F199)*참고!$D$5)
+(($G199)*참고!$D$6)
+(($H199)*참고!$D$7)
+(($I199)*참고!$D$8)
+(($J199))*참고!$D$9,0)</f>
        <v>76312</v>
      </c>
      <c r="L199" s="34">
        <f>ROUND(
(($F199)*참고!$E$5)
+(($G199)*참고!$E$6)
+(($H199)*참고!$E$7)
+(($I199)*참고!$E$8)
+(($J199))*참고!$E$9,0)</f>
        <v>43677</v>
      </c>
      <c r="M199" s="34">
        <f>ROUND(
(($F199)*참고!$F$5)
+(($G199)*참고!$F$6)
+(($H199)*참고!$F$7)
+(($I199)*참고!$F$8)
+(($J199))*참고!$F$9,0)</f>
        <v>12269</v>
      </c>
      <c r="N199" s="34">
        <f>ROUND(
(($F199)*참고!$G$5)
+(($G199)*참고!$G$6)
+(($H199)*참고!$G$7)
+(($I199)*참고!$G$8)
+(($J199))*참고!$G$9,0)</f>
        <v>344</v>
      </c>
      <c r="O199" s="34">
        <f>ROUND(
(($F199)*참고!$H$5)
+(($G199)*참고!$H$6)
+(($H199)*참고!$H$7)
+(($I199)*참고!$H$8)
+(($J199))*참고!$H$9,0)</f>
        <v>8097</v>
      </c>
      <c r="P199" s="34">
        <f>ROUND(
(($F199)*참고!$I$5)
+(($G199)*참고!$I$6)
+(($H199)*참고!$I$7)
+(($I199)*참고!$I$8)
+(($J199))*참고!$I$9,0)</f>
        <v>14232</v>
      </c>
      <c r="Q199" s="34">
        <f>ROUND(
(($F199)*참고!$J$5)
+(($G199)*참고!$J$6)
+(($H199)*참고!$J$7)
+(($I199)*참고!$J$8)
+(($J199))*참고!$J$9,0)</f>
        <v>9815</v>
      </c>
      <c r="R199" s="34">
        <f>IF(E199="공격형",(INDEX(몬스터계수[[#Data],[속도]],MATCH(E199, 몬스터계수[[#Data],[타입]],0),1)*속도핸들러_곱계수)*(INT(몬스터밸런스[[#This Row],[Lv]]/속도핸들러_합계수+1)),
IF(E199="방어형",(INDEX(몬스터계수[[#Data],[속도]],MATCH(E199, 몬스터계수[[#Data],[타입]],0),1)*속도핸들러_곱계수)*(INT(몬스터밸런스[[#This Row],[Lv]]/속도핸들러_합계수+1)),
IF(E199="회피형",(INDEX(몬스터계수[[#Data],[속도]],MATCH(E199, 몬스터계수[[#Data],[타입]],0),1)*속도핸들러_곱계수)*(INT(몬스터밸런스[[#This Row],[Lv]]/속도핸들러_합계수+1)),
IF(E199="기본형",(INDEX(몬스터계수[[#Data],[속도]],MATCH(E199, 몬스터계수[[#Data],[타입]],0),1)*속도핸들러_곱계수)*(INT(몬스터밸런스[[#This Row],[Lv]]/속도핸들러_합계수+1)),0))))</f>
        <v>0</v>
      </c>
      <c r="S199">
        <f t="shared" si="10"/>
        <v>2620056.5</v>
      </c>
      <c r="U199">
        <v>5</v>
      </c>
      <c r="V199">
        <v>197</v>
      </c>
      <c r="W199">
        <f>$Z$1*몬스터밸런스9[[#This Row],[단계]]</f>
        <v>25</v>
      </c>
      <c r="X199" t="s">
        <v>47</v>
      </c>
      <c r="AE199" s="34"/>
      <c r="AF199" s="34"/>
      <c r="AG199" s="34"/>
      <c r="AH199" s="34">
        <f>몬스터밸런스[[#This Row],[CriticalRate]]*0.3</f>
        <v>103.2</v>
      </c>
      <c r="AI199" s="34"/>
      <c r="AJ199" s="34"/>
      <c r="AK199" s="34"/>
      <c r="AL199">
        <f t="shared" si="9"/>
        <v>51.6</v>
      </c>
    </row>
    <row r="200" spans="1:38">
      <c r="A200">
        <v>1970</v>
      </c>
      <c r="B200">
        <v>198</v>
      </c>
      <c r="C200">
        <f>$F$1*몬스터밸런스[[#This Row],[Lv]]+15</f>
        <v>9865</v>
      </c>
      <c r="E200" t="s">
        <v>479</v>
      </c>
      <c r="F200">
        <f>IF(E200="공격형",INDEX(몬스터계수[[#Data],[생명계수]],MATCH(E200,몬스터계수[[#Data],[타입]],0),1)*C200,
IF(E200="방어형",INDEX(몬스터계수[[#Data],[생명계수]],MATCH(E200,몬스터계수[[#Data],[타입]],0),1)*C200,
IF(E200="회피형",INDEX(몬스터계수[[#Data],[생명계수]],MATCH(E200,몬스터계수[[#Data],[타입]],0),1)*C200,
IF(E200="체력형",INDEX(몬스터계수[[#Data],[생명계수]],MATCH(E200,몬스터계수[[#Data],[타입]],0),1)*C200,0))))*IF(몬스터밸런스[[#This Row],[보스]]=TRUE,2,1)</f>
        <v>4932.5</v>
      </c>
      <c r="G200">
        <f>IF(E200="공격형",INDEX(몬스터계수[[#Data],[힘계수]],MATCH(E200, 몬스터계수[[#Data],[타입]],0),1)*C200,
IF(E200="방어형",INDEX(몬스터계수[[#Data],[힘계수]],MATCH(E200, 몬스터계수[[#Data],[타입]],0),1)*C200,
IF(E200="회피형",INDEX(몬스터계수[[#Data],[힘계수]],MATCH(E200, 몬스터계수[[#Data],[타입]],0),1)*C200,
IF(E200="체력형",INDEX(몬스터계수[[#Data],[힘계수]],MATCH(E200, 몬스터계수[[#Data],[타입]],0),1)*C200,0))))</f>
        <v>2466.25</v>
      </c>
      <c r="H200">
        <f>IF(E200="공격형",INDEX(몬스터계수[[#Data],[근력게수]],MATCH(E200,몬스터계수[[#Data],[타입]],0),1)*C200,
IF(E200="방어형",INDEX(몬스터계수[[#Data],[근력게수]],MATCH(E200,몬스터계수[[#Data],[타입]],0),1)*C200,
IF(E200="회피형",INDEX(몬스터계수[[#Data],[근력게수]],MATCH(E200,몬스터계수[[#Data],[타입]],0),1)*C200,
IF(E200="체력형",INDEX(몬스터계수[[#Data],[근력게수]],MATCH(E200,몬스터계수[[#Data],[타입]],0),1)*C200,0))))</f>
        <v>493.25</v>
      </c>
      <c r="I200">
        <f>IF(E200="공격형",INDEX(몬스터계수[[#Data],[숙련도계수]],MATCH(E200,몬스터계수[[#Data],[타입]],0),1)*C200,
IF(E200="방어형",INDEX(몬스터계수[[#Data],[숙련도계수]],MATCH(E200,몬스터계수[[#Data],[타입]],0),1)*C200,
IF(E200="회피형",INDEX(몬스터계수[[#Data],[숙련도계수]],MATCH(E200,몬스터계수[[#Data],[타입]],0),1)*C200,
IF(E200="체력형",INDEX(몬스터계수[[#Data],[숙련도계수]],MATCH(E200,몬스터계수[[#Data],[타입]],0),1)*C200,0))))</f>
        <v>1479.75</v>
      </c>
      <c r="J200">
        <f>IF(E200="공격형",INDEX(몬스터계수[[#Data],[행운계수]],MATCH(E200, 몬스터계수[[#Data],[타입]],0),1)*C200,
IF(E200="방어형",INDEX(몬스터계수[[#Data],[행운계수]],MATCH(E200, 몬스터계수[[#Data],[타입]],0),1)*C200,
IF(E200="회피형",INDEX(몬스터계수[[#Data],[행운계수]],MATCH(E200, 몬스터계수[[#Data],[타입]],0),1)*C200,
IF(E200="체력형",INDEX(몬스터계수[[#Data],[행운계수]],MATCH(E200, 몬스터계수[[#Data],[타입]],0),1)*C200,0))))</f>
        <v>493.25</v>
      </c>
      <c r="K200" s="34">
        <f>ROUND(
(($F200)*참고!$D$5)
+(($G200)*참고!$D$6)
+(($H200)*참고!$D$7)
+(($I200)*참고!$D$8)
+(($J200))*참고!$D$9,0)</f>
        <v>76700</v>
      </c>
      <c r="L200" s="34">
        <f>ROUND(
(($F200)*참고!$E$5)
+(($G200)*참고!$E$6)
+(($H200)*참고!$E$7)
+(($I200)*참고!$E$8)
+(($J200))*참고!$E$9,0)</f>
        <v>43899</v>
      </c>
      <c r="M200" s="34">
        <f>ROUND(
(($F200)*참고!$F$5)
+(($G200)*참고!$F$6)
+(($H200)*참고!$F$7)
+(($I200)*참고!$F$8)
+(($J200))*참고!$F$9,0)</f>
        <v>12331</v>
      </c>
      <c r="N200" s="34">
        <f>ROUND(
(($F200)*참고!$G$5)
+(($G200)*참고!$G$6)
+(($H200)*참고!$G$7)
+(($I200)*참고!$G$8)
+(($J200))*참고!$G$9,0)</f>
        <v>345</v>
      </c>
      <c r="O200" s="34">
        <f>ROUND(
(($F200)*참고!$H$5)
+(($G200)*참고!$H$6)
+(($H200)*참고!$H$7)
+(($I200)*참고!$H$8)
+(($J200))*참고!$H$9,0)</f>
        <v>8139</v>
      </c>
      <c r="P200" s="34">
        <f>ROUND(
(($F200)*참고!$I$5)
+(($G200)*참고!$I$6)
+(($H200)*참고!$I$7)
+(($I200)*참고!$I$8)
+(($J200))*참고!$I$9,0)</f>
        <v>14304</v>
      </c>
      <c r="Q200" s="34">
        <f>ROUND(
(($F200)*참고!$J$5)
+(($G200)*참고!$J$6)
+(($H200)*참고!$J$7)
+(($I200)*참고!$J$8)
+(($J200))*참고!$J$9,0)</f>
        <v>9865</v>
      </c>
      <c r="R200" s="34">
        <f>IF(E200="공격형",(INDEX(몬스터계수[[#Data],[속도]],MATCH(E200, 몬스터계수[[#Data],[타입]],0),1)*속도핸들러_곱계수)*(INT(몬스터밸런스[[#This Row],[Lv]]/속도핸들러_합계수+1)),
IF(E200="방어형",(INDEX(몬스터계수[[#Data],[속도]],MATCH(E200, 몬스터계수[[#Data],[타입]],0),1)*속도핸들러_곱계수)*(INT(몬스터밸런스[[#This Row],[Lv]]/속도핸들러_합계수+1)),
IF(E200="회피형",(INDEX(몬스터계수[[#Data],[속도]],MATCH(E200, 몬스터계수[[#Data],[타입]],0),1)*속도핸들러_곱계수)*(INT(몬스터밸런스[[#This Row],[Lv]]/속도핸들러_합계수+1)),
IF(E200="기본형",(INDEX(몬스터계수[[#Data],[속도]],MATCH(E200, 몬스터계수[[#Data],[타입]],0),1)*속도핸들러_곱계수)*(INT(몬스터밸런스[[#This Row],[Lv]]/속도핸들러_합계수+1)),0))))</f>
        <v>0</v>
      </c>
      <c r="S200">
        <f t="shared" si="10"/>
        <v>2633372</v>
      </c>
      <c r="U200">
        <v>5</v>
      </c>
      <c r="V200">
        <v>198</v>
      </c>
      <c r="W200">
        <f>$Z$1*몬스터밸런스9[[#This Row],[단계]]</f>
        <v>25</v>
      </c>
      <c r="X200" t="s">
        <v>47</v>
      </c>
      <c r="AE200" s="34"/>
      <c r="AF200" s="34"/>
      <c r="AG200" s="34"/>
      <c r="AH200" s="34">
        <f>몬스터밸런스[[#This Row],[CriticalRate]]*0.3</f>
        <v>103.5</v>
      </c>
      <c r="AI200" s="34"/>
      <c r="AJ200" s="34"/>
      <c r="AK200" s="34"/>
      <c r="AL200">
        <f>(AE200*HP계수) + (AF200*attack계수) + (AG200*Defense계수) + (AH200*CriticalRate계수) + (AI200*CriticalDamage계수) + (AJ200*Accuracy계수) + (AK200*DodgeRate계수)</f>
        <v>51.75</v>
      </c>
    </row>
    <row r="201" spans="1:38">
      <c r="A201">
        <v>1980</v>
      </c>
      <c r="B201">
        <v>199</v>
      </c>
      <c r="C201">
        <f>$F$1*몬스터밸런스[[#This Row],[Lv]]+15</f>
        <v>9915</v>
      </c>
      <c r="E201" t="s">
        <v>479</v>
      </c>
      <c r="F201">
        <f>IF(E201="공격형",INDEX(몬스터계수[[#Data],[생명계수]],MATCH(E201,몬스터계수[[#Data],[타입]],0),1)*C201,
IF(E201="방어형",INDEX(몬스터계수[[#Data],[생명계수]],MATCH(E201,몬스터계수[[#Data],[타입]],0),1)*C201,
IF(E201="회피형",INDEX(몬스터계수[[#Data],[생명계수]],MATCH(E201,몬스터계수[[#Data],[타입]],0),1)*C201,
IF(E201="체력형",INDEX(몬스터계수[[#Data],[생명계수]],MATCH(E201,몬스터계수[[#Data],[타입]],0),1)*C201,0))))*IF(몬스터밸런스[[#This Row],[보스]]=TRUE,2,1)</f>
        <v>4957.5</v>
      </c>
      <c r="G201">
        <f>IF(E201="공격형",INDEX(몬스터계수[[#Data],[힘계수]],MATCH(E201, 몬스터계수[[#Data],[타입]],0),1)*C201,
IF(E201="방어형",INDEX(몬스터계수[[#Data],[힘계수]],MATCH(E201, 몬스터계수[[#Data],[타입]],0),1)*C201,
IF(E201="회피형",INDEX(몬스터계수[[#Data],[힘계수]],MATCH(E201, 몬스터계수[[#Data],[타입]],0),1)*C201,
IF(E201="체력형",INDEX(몬스터계수[[#Data],[힘계수]],MATCH(E201, 몬스터계수[[#Data],[타입]],0),1)*C201,0))))</f>
        <v>2478.75</v>
      </c>
      <c r="H201">
        <f>IF(E201="공격형",INDEX(몬스터계수[[#Data],[근력게수]],MATCH(E201,몬스터계수[[#Data],[타입]],0),1)*C201,
IF(E201="방어형",INDEX(몬스터계수[[#Data],[근력게수]],MATCH(E201,몬스터계수[[#Data],[타입]],0),1)*C201,
IF(E201="회피형",INDEX(몬스터계수[[#Data],[근력게수]],MATCH(E201,몬스터계수[[#Data],[타입]],0),1)*C201,
IF(E201="체력형",INDEX(몬스터계수[[#Data],[근력게수]],MATCH(E201,몬스터계수[[#Data],[타입]],0),1)*C201,0))))</f>
        <v>495.75</v>
      </c>
      <c r="I201">
        <f>IF(E201="공격형",INDEX(몬스터계수[[#Data],[숙련도계수]],MATCH(E201,몬스터계수[[#Data],[타입]],0),1)*C201,
IF(E201="방어형",INDEX(몬스터계수[[#Data],[숙련도계수]],MATCH(E201,몬스터계수[[#Data],[타입]],0),1)*C201,
IF(E201="회피형",INDEX(몬스터계수[[#Data],[숙련도계수]],MATCH(E201,몬스터계수[[#Data],[타입]],0),1)*C201,
IF(E201="체력형",INDEX(몬스터계수[[#Data],[숙련도계수]],MATCH(E201,몬스터계수[[#Data],[타입]],0),1)*C201,0))))</f>
        <v>1487.25</v>
      </c>
      <c r="J201">
        <f>IF(E201="공격형",INDEX(몬스터계수[[#Data],[행운계수]],MATCH(E201, 몬스터계수[[#Data],[타입]],0),1)*C201,
IF(E201="방어형",INDEX(몬스터계수[[#Data],[행운계수]],MATCH(E201, 몬스터계수[[#Data],[타입]],0),1)*C201,
IF(E201="회피형",INDEX(몬스터계수[[#Data],[행운계수]],MATCH(E201, 몬스터계수[[#Data],[타입]],0),1)*C201,
IF(E201="체력형",INDEX(몬스터계수[[#Data],[행운계수]],MATCH(E201, 몬스터계수[[#Data],[타입]],0),1)*C201,0))))</f>
        <v>495.75</v>
      </c>
      <c r="K201" s="34">
        <f>ROUND(
(($F201)*참고!$D$5)
+(($G201)*참고!$D$6)
+(($H201)*참고!$D$7)
+(($I201)*참고!$D$8)
+(($J201))*참고!$D$9,0)</f>
        <v>77089</v>
      </c>
      <c r="L201" s="34">
        <f>ROUND(
(($F201)*참고!$E$5)
+(($G201)*참고!$E$6)
+(($H201)*참고!$E$7)
+(($I201)*참고!$E$8)
+(($J201))*참고!$E$9,0)</f>
        <v>44122</v>
      </c>
      <c r="M201" s="34">
        <f>ROUND(
(($F201)*참고!$F$5)
+(($G201)*참고!$F$6)
+(($H201)*참고!$F$7)
+(($I201)*참고!$F$8)
+(($J201))*참고!$F$9,0)</f>
        <v>12394</v>
      </c>
      <c r="N201" s="34">
        <f>ROUND(
(($F201)*참고!$G$5)
+(($G201)*참고!$G$6)
+(($H201)*참고!$G$7)
+(($I201)*참고!$G$8)
+(($J201))*참고!$G$9,0)</f>
        <v>347</v>
      </c>
      <c r="O201" s="34">
        <f>ROUND(
(($F201)*참고!$H$5)
+(($G201)*참고!$H$6)
+(($H201)*참고!$H$7)
+(($I201)*참고!$H$8)
+(($J201))*참고!$H$9,0)</f>
        <v>8180</v>
      </c>
      <c r="P201" s="34">
        <f>ROUND(
(($F201)*참고!$I$5)
+(($G201)*참고!$I$6)
+(($H201)*참고!$I$7)
+(($I201)*참고!$I$8)
+(($J201))*참고!$I$9,0)</f>
        <v>14377</v>
      </c>
      <c r="Q201" s="34">
        <f>ROUND(
(($F201)*참고!$J$5)
+(($G201)*참고!$J$6)
+(($H201)*참고!$J$7)
+(($I201)*참고!$J$8)
+(($J201))*참고!$J$9,0)</f>
        <v>9915</v>
      </c>
      <c r="R201" s="34">
        <f>IF(E201="공격형",(INDEX(몬스터계수[[#Data],[속도]],MATCH(E201, 몬스터계수[[#Data],[타입]],0),1)*속도핸들러_곱계수)*(INT(몬스터밸런스[[#This Row],[Lv]]/속도핸들러_합계수+1)),
IF(E201="방어형",(INDEX(몬스터계수[[#Data],[속도]],MATCH(E201, 몬스터계수[[#Data],[타입]],0),1)*속도핸들러_곱계수)*(INT(몬스터밸런스[[#This Row],[Lv]]/속도핸들러_합계수+1)),
IF(E201="회피형",(INDEX(몬스터계수[[#Data],[속도]],MATCH(E201, 몬스터계수[[#Data],[타입]],0),1)*속도핸들러_곱계수)*(INT(몬스터밸런스[[#This Row],[Lv]]/속도핸들러_합계수+1)),
IF(E201="기본형",(INDEX(몬스터계수[[#Data],[속도]],MATCH(E201, 몬스터계수[[#Data],[타입]],0),1)*속도핸들러_곱계수)*(INT(몬스터밸런스[[#This Row],[Lv]]/속도핸들러_합계수+1)),0))))</f>
        <v>0</v>
      </c>
      <c r="S201">
        <f t="shared" si="10"/>
        <v>2646744</v>
      </c>
      <c r="U201">
        <v>5</v>
      </c>
      <c r="V201">
        <v>199</v>
      </c>
      <c r="W201">
        <f>$Z$1*몬스터밸런스9[[#This Row],[단계]]</f>
        <v>25</v>
      </c>
      <c r="X201" t="s">
        <v>47</v>
      </c>
      <c r="AE201" s="34"/>
      <c r="AF201" s="34"/>
      <c r="AG201" s="34"/>
      <c r="AH201" s="34">
        <f>몬스터밸런스[[#This Row],[CriticalRate]]*0.3</f>
        <v>104.1</v>
      </c>
      <c r="AI201" s="34"/>
      <c r="AJ201" s="34">
        <f>몬스터밸런스[[#This Row],[Accuracy]]*0.2</f>
        <v>2875.4</v>
      </c>
      <c r="AK201" s="34"/>
      <c r="AL201">
        <f t="shared" si="9"/>
        <v>31681.45</v>
      </c>
    </row>
    <row r="202" spans="1:38">
      <c r="A202">
        <v>1990</v>
      </c>
      <c r="B202">
        <v>200</v>
      </c>
      <c r="C202">
        <f>$F$1*몬스터밸런스[[#This Row],[Lv]]+15</f>
        <v>9965</v>
      </c>
      <c r="E202" t="s">
        <v>479</v>
      </c>
      <c r="F202">
        <f>IF(E202="공격형",INDEX(몬스터계수[[#Data],[생명계수]],MATCH(E202,몬스터계수[[#Data],[타입]],0),1)*C202,
IF(E202="방어형",INDEX(몬스터계수[[#Data],[생명계수]],MATCH(E202,몬스터계수[[#Data],[타입]],0),1)*C202,
IF(E202="회피형",INDEX(몬스터계수[[#Data],[생명계수]],MATCH(E202,몬스터계수[[#Data],[타입]],0),1)*C202,
IF(E202="체력형",INDEX(몬스터계수[[#Data],[생명계수]],MATCH(E202,몬스터계수[[#Data],[타입]],0),1)*C202,0))))*IF(몬스터밸런스[[#This Row],[보스]]=TRUE,2,1)</f>
        <v>4982.5</v>
      </c>
      <c r="G202">
        <f>IF(E202="공격형",INDEX(몬스터계수[[#Data],[힘계수]],MATCH(E202, 몬스터계수[[#Data],[타입]],0),1)*C202,
IF(E202="방어형",INDEX(몬스터계수[[#Data],[힘계수]],MATCH(E202, 몬스터계수[[#Data],[타입]],0),1)*C202,
IF(E202="회피형",INDEX(몬스터계수[[#Data],[힘계수]],MATCH(E202, 몬스터계수[[#Data],[타입]],0),1)*C202,
IF(E202="체력형",INDEX(몬스터계수[[#Data],[힘계수]],MATCH(E202, 몬스터계수[[#Data],[타입]],0),1)*C202,0))))</f>
        <v>2491.25</v>
      </c>
      <c r="H202">
        <f>IF(E202="공격형",INDEX(몬스터계수[[#Data],[근력게수]],MATCH(E202,몬스터계수[[#Data],[타입]],0),1)*C202,
IF(E202="방어형",INDEX(몬스터계수[[#Data],[근력게수]],MATCH(E202,몬스터계수[[#Data],[타입]],0),1)*C202,
IF(E202="회피형",INDEX(몬스터계수[[#Data],[근력게수]],MATCH(E202,몬스터계수[[#Data],[타입]],0),1)*C202,
IF(E202="체력형",INDEX(몬스터계수[[#Data],[근력게수]],MATCH(E202,몬스터계수[[#Data],[타입]],0),1)*C202,0))))</f>
        <v>498.25</v>
      </c>
      <c r="I202">
        <f>IF(E202="공격형",INDEX(몬스터계수[[#Data],[숙련도계수]],MATCH(E202,몬스터계수[[#Data],[타입]],0),1)*C202,
IF(E202="방어형",INDEX(몬스터계수[[#Data],[숙련도계수]],MATCH(E202,몬스터계수[[#Data],[타입]],0),1)*C202,
IF(E202="회피형",INDEX(몬스터계수[[#Data],[숙련도계수]],MATCH(E202,몬스터계수[[#Data],[타입]],0),1)*C202,
IF(E202="체력형",INDEX(몬스터계수[[#Data],[숙련도계수]],MATCH(E202,몬스터계수[[#Data],[타입]],0),1)*C202,0))))</f>
        <v>1494.75</v>
      </c>
      <c r="J202">
        <f>IF(E202="공격형",INDEX(몬스터계수[[#Data],[행운계수]],MATCH(E202, 몬스터계수[[#Data],[타입]],0),1)*C202,
IF(E202="방어형",INDEX(몬스터계수[[#Data],[행운계수]],MATCH(E202, 몬스터계수[[#Data],[타입]],0),1)*C202,
IF(E202="회피형",INDEX(몬스터계수[[#Data],[행운계수]],MATCH(E202, 몬스터계수[[#Data],[타입]],0),1)*C202,
IF(E202="체력형",INDEX(몬스터계수[[#Data],[행운계수]],MATCH(E202, 몬스터계수[[#Data],[타입]],0),1)*C202,0))))</f>
        <v>498.25</v>
      </c>
      <c r="K202" s="34">
        <f>ROUND(
(($F202)*참고!$D$5)
+(($G202)*참고!$D$6)
+(($H202)*참고!$D$7)
+(($I202)*참고!$D$8)
+(($J202))*참고!$D$9,0)</f>
        <v>77478</v>
      </c>
      <c r="L202" s="34">
        <f>ROUND(
(($F202)*참고!$E$5)
+(($G202)*참고!$E$6)
+(($H202)*참고!$E$7)
+(($I202)*참고!$E$8)
+(($J202))*참고!$E$9,0)</f>
        <v>44344</v>
      </c>
      <c r="M202" s="34">
        <f>ROUND(
(($F202)*참고!$F$5)
+(($G202)*참고!$F$6)
+(($H202)*참고!$F$7)
+(($I202)*참고!$F$8)
+(($J202))*참고!$F$9,0)</f>
        <v>12456</v>
      </c>
      <c r="N202" s="34">
        <f>ROUND(
(($F202)*참고!$G$5)
+(($G202)*참고!$G$6)
+(($H202)*참고!$G$7)
+(($I202)*참고!$G$8)
+(($J202))*참고!$G$9,0)</f>
        <v>349</v>
      </c>
      <c r="O202" s="34">
        <f>ROUND(
(($F202)*참고!$H$5)
+(($G202)*참고!$H$6)
+(($H202)*참고!$H$7)
+(($I202)*참고!$H$8)
+(($J202))*참고!$H$9,0)</f>
        <v>8221</v>
      </c>
      <c r="P202" s="34">
        <f>ROUND(
(($F202)*참고!$I$5)
+(($G202)*참고!$I$6)
+(($H202)*참고!$I$7)
+(($I202)*참고!$I$8)
+(($J202))*참고!$I$9,0)</f>
        <v>14449</v>
      </c>
      <c r="Q202" s="34">
        <f>ROUND(
(($F202)*참고!$J$5)
+(($G202)*참고!$J$6)
+(($H202)*참고!$J$7)
+(($I202)*참고!$J$8)
+(($J202))*참고!$J$9,0)</f>
        <v>9965</v>
      </c>
      <c r="R202" s="34">
        <f>IF(E202="공격형",(INDEX(몬스터계수[[#Data],[속도]],MATCH(E202, 몬스터계수[[#Data],[타입]],0),1)*속도핸들러_곱계수)*(INT(몬스터밸런스[[#This Row],[Lv]]/속도핸들러_합계수+1)),
IF(E202="방어형",(INDEX(몬스터계수[[#Data],[속도]],MATCH(E202, 몬스터계수[[#Data],[타입]],0),1)*속도핸들러_곱계수)*(INT(몬스터밸런스[[#This Row],[Lv]]/속도핸들러_합계수+1)),
IF(E202="회피형",(INDEX(몬스터계수[[#Data],[속도]],MATCH(E202, 몬스터계수[[#Data],[타입]],0),1)*속도핸들러_곱계수)*(INT(몬스터밸런스[[#This Row],[Lv]]/속도핸들러_합계수+1)),
IF(E202="기본형",(INDEX(몬스터계수[[#Data],[속도]],MATCH(E202, 몬스터계수[[#Data],[타입]],0),1)*속도핸들러_곱계수)*(INT(몬스터밸런스[[#This Row],[Lv]]/속도핸들러_합계수+1)),0))))</f>
        <v>0</v>
      </c>
      <c r="S202">
        <f t="shared" si="10"/>
        <v>2660073</v>
      </c>
      <c r="U202">
        <v>5</v>
      </c>
      <c r="V202">
        <v>200</v>
      </c>
      <c r="W202">
        <f>$Z$1*몬스터밸런스9[[#This Row],[단계]]</f>
        <v>25</v>
      </c>
      <c r="X202" t="s">
        <v>47</v>
      </c>
      <c r="AE202" s="34"/>
      <c r="AF202" s="34"/>
      <c r="AG202" s="34"/>
      <c r="AH202" s="34">
        <f>몬스터밸런스[[#This Row],[CriticalRate]]*0.3</f>
        <v>104.7</v>
      </c>
      <c r="AI202" s="34"/>
      <c r="AJ202" s="34">
        <f>몬스터밸런스[[#This Row],[Accuracy]]*0.2</f>
        <v>2889.8</v>
      </c>
      <c r="AK202" s="34"/>
      <c r="AL202">
        <f>(AE202*HP계수) + (AF202*attack계수) + (AG202*Defense계수) + (AH202*CriticalRate계수) + (AI202*CriticalDamage계수) + (AJ202*Accuracy계수) + (AK202*DodgeRate계수)</f>
        <v>31840.15</v>
      </c>
    </row>
    <row r="203" spans="1:38">
      <c r="A203">
        <v>2000</v>
      </c>
      <c r="B203">
        <v>201</v>
      </c>
      <c r="C203">
        <f>$F$1*몬스터밸런스[[#This Row],[Lv]]+15</f>
        <v>10015</v>
      </c>
      <c r="E203" t="s">
        <v>479</v>
      </c>
      <c r="F203">
        <f>IF(E203="공격형",INDEX(몬스터계수[[#Data],[생명계수]],MATCH(E203,몬스터계수[[#Data],[타입]],0),1)*C203,
IF(E203="방어형",INDEX(몬스터계수[[#Data],[생명계수]],MATCH(E203,몬스터계수[[#Data],[타입]],0),1)*C203,
IF(E203="회피형",INDEX(몬스터계수[[#Data],[생명계수]],MATCH(E203,몬스터계수[[#Data],[타입]],0),1)*C203,
IF(E203="체력형",INDEX(몬스터계수[[#Data],[생명계수]],MATCH(E203,몬스터계수[[#Data],[타입]],0),1)*C203,0))))*IF(몬스터밸런스[[#This Row],[보스]]=TRUE,2,1)</f>
        <v>5007.5</v>
      </c>
      <c r="G203">
        <f>IF(E203="공격형",INDEX(몬스터계수[[#Data],[힘계수]],MATCH(E203, 몬스터계수[[#Data],[타입]],0),1)*C203,
IF(E203="방어형",INDEX(몬스터계수[[#Data],[힘계수]],MATCH(E203, 몬스터계수[[#Data],[타입]],0),1)*C203,
IF(E203="회피형",INDEX(몬스터계수[[#Data],[힘계수]],MATCH(E203, 몬스터계수[[#Data],[타입]],0),1)*C203,
IF(E203="체력형",INDEX(몬스터계수[[#Data],[힘계수]],MATCH(E203, 몬스터계수[[#Data],[타입]],0),1)*C203,0))))</f>
        <v>2503.75</v>
      </c>
      <c r="H203">
        <f>IF(E203="공격형",INDEX(몬스터계수[[#Data],[근력게수]],MATCH(E203,몬스터계수[[#Data],[타입]],0),1)*C203,
IF(E203="방어형",INDEX(몬스터계수[[#Data],[근력게수]],MATCH(E203,몬스터계수[[#Data],[타입]],0),1)*C203,
IF(E203="회피형",INDEX(몬스터계수[[#Data],[근력게수]],MATCH(E203,몬스터계수[[#Data],[타입]],0),1)*C203,
IF(E203="체력형",INDEX(몬스터계수[[#Data],[근력게수]],MATCH(E203,몬스터계수[[#Data],[타입]],0),1)*C203,0))))</f>
        <v>500.75</v>
      </c>
      <c r="I203">
        <f>IF(E203="공격형",INDEX(몬스터계수[[#Data],[숙련도계수]],MATCH(E203,몬스터계수[[#Data],[타입]],0),1)*C203,
IF(E203="방어형",INDEX(몬스터계수[[#Data],[숙련도계수]],MATCH(E203,몬스터계수[[#Data],[타입]],0),1)*C203,
IF(E203="회피형",INDEX(몬스터계수[[#Data],[숙련도계수]],MATCH(E203,몬스터계수[[#Data],[타입]],0),1)*C203,
IF(E203="체력형",INDEX(몬스터계수[[#Data],[숙련도계수]],MATCH(E203,몬스터계수[[#Data],[타입]],0),1)*C203,0))))</f>
        <v>1502.25</v>
      </c>
      <c r="J203">
        <f>IF(E203="공격형",INDEX(몬스터계수[[#Data],[행운계수]],MATCH(E203, 몬스터계수[[#Data],[타입]],0),1)*C203,
IF(E203="방어형",INDEX(몬스터계수[[#Data],[행운계수]],MATCH(E203, 몬스터계수[[#Data],[타입]],0),1)*C203,
IF(E203="회피형",INDEX(몬스터계수[[#Data],[행운계수]],MATCH(E203, 몬스터계수[[#Data],[타입]],0),1)*C203,
IF(E203="체력형",INDEX(몬스터계수[[#Data],[행운계수]],MATCH(E203, 몬스터계수[[#Data],[타입]],0),1)*C203,0))))</f>
        <v>500.75</v>
      </c>
      <c r="K203" s="34">
        <f>ROUND(
(($F203)*참고!$D$5)
+(($G203)*참고!$D$6)
+(($H203)*참고!$D$7)
+(($I203)*참고!$D$8)
+(($J203))*참고!$D$9,0)</f>
        <v>77867</v>
      </c>
      <c r="L203" s="34">
        <f>ROUND(
(($F203)*참고!$E$5)
+(($G203)*참고!$E$6)
+(($H203)*참고!$E$7)
+(($I203)*참고!$E$8)
+(($J203))*참고!$E$9,0)</f>
        <v>44567</v>
      </c>
      <c r="M203" s="34">
        <f>ROUND(
(($F203)*참고!$F$5)
+(($G203)*참고!$F$6)
+(($H203)*참고!$F$7)
+(($I203)*참고!$F$8)
+(($J203))*참고!$F$9,0)</f>
        <v>12519</v>
      </c>
      <c r="N203" s="34">
        <f>ROUND(
(($F203)*참고!$G$5)
+(($G203)*참고!$G$6)
+(($H203)*참고!$G$7)
+(($I203)*참고!$G$8)
+(($J203))*참고!$G$9,0)</f>
        <v>351</v>
      </c>
      <c r="O203" s="34">
        <f>ROUND(
(($F203)*참고!$H$5)
+(($G203)*참고!$H$6)
+(($H203)*참고!$H$7)
+(($I203)*참고!$H$8)
+(($J203))*참고!$H$9,0)</f>
        <v>8262</v>
      </c>
      <c r="P203" s="34">
        <f>ROUND(
(($F203)*참고!$I$5)
+(($G203)*참고!$I$6)
+(($H203)*참고!$I$7)
+(($I203)*참고!$I$8)
+(($J203))*참고!$I$9,0)</f>
        <v>14522</v>
      </c>
      <c r="Q203" s="34">
        <f>ROUND(
(($F203)*참고!$J$5)
+(($G203)*참고!$J$6)
+(($H203)*참고!$J$7)
+(($I203)*참고!$J$8)
+(($J203))*참고!$J$9,0)</f>
        <v>10015</v>
      </c>
      <c r="R203" s="34">
        <f>IF(E203="공격형",(INDEX(몬스터계수[[#Data],[속도]],MATCH(E203, 몬스터계수[[#Data],[타입]],0),1)*속도핸들러_곱계수)*(INT(몬스터밸런스[[#This Row],[Lv]]/속도핸들러_합계수+1)),
IF(E203="방어형",(INDEX(몬스터계수[[#Data],[속도]],MATCH(E203, 몬스터계수[[#Data],[타입]],0),1)*속도핸들러_곱계수)*(INT(몬스터밸런스[[#This Row],[Lv]]/속도핸들러_합계수+1)),
IF(E203="회피형",(INDEX(몬스터계수[[#Data],[속도]],MATCH(E203, 몬스터계수[[#Data],[타입]],0),1)*속도핸들러_곱계수)*(INT(몬스터밸런스[[#This Row],[Lv]]/속도핸들러_합계수+1)),
IF(E203="기본형",(INDEX(몬스터계수[[#Data],[속도]],MATCH(E203, 몬스터계수[[#Data],[타입]],0),1)*속도핸들러_곱계수)*(INT(몬스터밸런스[[#This Row],[Lv]]/속도핸들러_합계수+1)),0))))</f>
        <v>0</v>
      </c>
      <c r="S203">
        <f t="shared" si="10"/>
        <v>2673445</v>
      </c>
      <c r="U203">
        <v>1</v>
      </c>
      <c r="V203">
        <v>201</v>
      </c>
      <c r="W203">
        <f>$Z$1*몬스터밸런스9[[#This Row],[단계]]</f>
        <v>5</v>
      </c>
      <c r="X203" t="s">
        <v>59</v>
      </c>
      <c r="AE203" s="34"/>
      <c r="AF203" s="34"/>
      <c r="AG203" s="34"/>
      <c r="AH203" s="34"/>
      <c r="AI203" s="34"/>
      <c r="AJ203" s="34"/>
      <c r="AK203" s="34">
        <f>몬스터밸런스[[#This Row],[DodgeRate]]*0.2</f>
        <v>2003</v>
      </c>
      <c r="AL203">
        <f>(AE203*HP계수) + (AF228*attack계수) + (AG203*Defense계수) + (AH203*CriticalRate계수) + (AI203*CriticalDamage계수) + (AJ203*Accuracy계수) + (AK203*DodgeRate계수)</f>
        <v>120266.40000000001</v>
      </c>
    </row>
    <row r="204" spans="1:38">
      <c r="A204">
        <v>2010</v>
      </c>
      <c r="B204">
        <v>202</v>
      </c>
      <c r="C204">
        <f>$F$1*몬스터밸런스[[#This Row],[Lv]]+15</f>
        <v>10065</v>
      </c>
      <c r="E204" t="s">
        <v>479</v>
      </c>
      <c r="F204">
        <f>IF(E204="공격형",INDEX(몬스터계수[[#Data],[생명계수]],MATCH(E204,몬스터계수[[#Data],[타입]],0),1)*C204,
IF(E204="방어형",INDEX(몬스터계수[[#Data],[생명계수]],MATCH(E204,몬스터계수[[#Data],[타입]],0),1)*C204,
IF(E204="회피형",INDEX(몬스터계수[[#Data],[생명계수]],MATCH(E204,몬스터계수[[#Data],[타입]],0),1)*C204,
IF(E204="체력형",INDEX(몬스터계수[[#Data],[생명계수]],MATCH(E204,몬스터계수[[#Data],[타입]],0),1)*C204,0))))*IF(몬스터밸런스[[#This Row],[보스]]=TRUE,2,1)</f>
        <v>5032.5</v>
      </c>
      <c r="G204">
        <f>IF(E204="공격형",INDEX(몬스터계수[[#Data],[힘계수]],MATCH(E204, 몬스터계수[[#Data],[타입]],0),1)*C204,
IF(E204="방어형",INDEX(몬스터계수[[#Data],[힘계수]],MATCH(E204, 몬스터계수[[#Data],[타입]],0),1)*C204,
IF(E204="회피형",INDEX(몬스터계수[[#Data],[힘계수]],MATCH(E204, 몬스터계수[[#Data],[타입]],0),1)*C204,
IF(E204="체력형",INDEX(몬스터계수[[#Data],[힘계수]],MATCH(E204, 몬스터계수[[#Data],[타입]],0),1)*C204,0))))</f>
        <v>2516.25</v>
      </c>
      <c r="H204">
        <f>IF(E204="공격형",INDEX(몬스터계수[[#Data],[근력게수]],MATCH(E204,몬스터계수[[#Data],[타입]],0),1)*C204,
IF(E204="방어형",INDEX(몬스터계수[[#Data],[근력게수]],MATCH(E204,몬스터계수[[#Data],[타입]],0),1)*C204,
IF(E204="회피형",INDEX(몬스터계수[[#Data],[근력게수]],MATCH(E204,몬스터계수[[#Data],[타입]],0),1)*C204,
IF(E204="체력형",INDEX(몬스터계수[[#Data],[근력게수]],MATCH(E204,몬스터계수[[#Data],[타입]],0),1)*C204,0))))</f>
        <v>503.25</v>
      </c>
      <c r="I204">
        <f>IF(E204="공격형",INDEX(몬스터계수[[#Data],[숙련도계수]],MATCH(E204,몬스터계수[[#Data],[타입]],0),1)*C204,
IF(E204="방어형",INDEX(몬스터계수[[#Data],[숙련도계수]],MATCH(E204,몬스터계수[[#Data],[타입]],0),1)*C204,
IF(E204="회피형",INDEX(몬스터계수[[#Data],[숙련도계수]],MATCH(E204,몬스터계수[[#Data],[타입]],0),1)*C204,
IF(E204="체력형",INDEX(몬스터계수[[#Data],[숙련도계수]],MATCH(E204,몬스터계수[[#Data],[타입]],0),1)*C204,0))))</f>
        <v>1509.75</v>
      </c>
      <c r="J204">
        <f>IF(E204="공격형",INDEX(몬스터계수[[#Data],[행운계수]],MATCH(E204, 몬스터계수[[#Data],[타입]],0),1)*C204,
IF(E204="방어형",INDEX(몬스터계수[[#Data],[행운계수]],MATCH(E204, 몬스터계수[[#Data],[타입]],0),1)*C204,
IF(E204="회피형",INDEX(몬스터계수[[#Data],[행운계수]],MATCH(E204, 몬스터계수[[#Data],[타입]],0),1)*C204,
IF(E204="체력형",INDEX(몬스터계수[[#Data],[행운계수]],MATCH(E204, 몬스터계수[[#Data],[타입]],0),1)*C204,0))))</f>
        <v>503.25</v>
      </c>
      <c r="K204" s="34">
        <f>ROUND(
(($F204)*참고!$D$5)
+(($G204)*참고!$D$6)
+(($H204)*참고!$D$7)
+(($I204)*참고!$D$8)
+(($J204))*참고!$D$9,0)</f>
        <v>78255</v>
      </c>
      <c r="L204" s="34">
        <f>ROUND(
(($F204)*참고!$E$5)
+(($G204)*참고!$E$6)
+(($H204)*참고!$E$7)
+(($I204)*참고!$E$8)
+(($J204))*참고!$E$9,0)</f>
        <v>44789</v>
      </c>
      <c r="M204" s="34">
        <f>ROUND(
(($F204)*참고!$F$5)
+(($G204)*참고!$F$6)
+(($H204)*참고!$F$7)
+(($I204)*참고!$F$8)
+(($J204))*참고!$F$9,0)</f>
        <v>12581</v>
      </c>
      <c r="N204" s="34">
        <f>ROUND(
(($F204)*참고!$G$5)
+(($G204)*참고!$G$6)
+(($H204)*참고!$G$7)
+(($I204)*참고!$G$8)
+(($J204))*참고!$G$9,0)</f>
        <v>352</v>
      </c>
      <c r="O204" s="34">
        <f>ROUND(
(($F204)*참고!$H$5)
+(($G204)*참고!$H$6)
+(($H204)*참고!$H$7)
+(($I204)*참고!$H$8)
+(($J204))*참고!$H$9,0)</f>
        <v>8304</v>
      </c>
      <c r="P204" s="34">
        <f>ROUND(
(($F204)*참고!$I$5)
+(($G204)*참고!$I$6)
+(($H204)*참고!$I$7)
+(($I204)*참고!$I$8)
+(($J204))*참고!$I$9,0)</f>
        <v>14594</v>
      </c>
      <c r="Q204" s="34">
        <f>ROUND(
(($F204)*참고!$J$5)
+(($G204)*참고!$J$6)
+(($H204)*참고!$J$7)
+(($I204)*참고!$J$8)
+(($J204))*참고!$J$9,0)</f>
        <v>10065</v>
      </c>
      <c r="R204" s="34">
        <f>IF(E204="공격형",(INDEX(몬스터계수[[#Data],[속도]],MATCH(E204, 몬스터계수[[#Data],[타입]],0),1)*속도핸들러_곱계수)*(INT(몬스터밸런스[[#This Row],[Lv]]/속도핸들러_합계수+1)),
IF(E204="방어형",(INDEX(몬스터계수[[#Data],[속도]],MATCH(E204, 몬스터계수[[#Data],[타입]],0),1)*속도핸들러_곱계수)*(INT(몬스터밸런스[[#This Row],[Lv]]/속도핸들러_합계수+1)),
IF(E204="회피형",(INDEX(몬스터계수[[#Data],[속도]],MATCH(E204, 몬스터계수[[#Data],[타입]],0),1)*속도핸들러_곱계수)*(INT(몬스터밸런스[[#This Row],[Lv]]/속도핸들러_합계수+1)),
IF(E204="기본형",(INDEX(몬스터계수[[#Data],[속도]],MATCH(E204, 몬스터계수[[#Data],[타입]],0),1)*속도핸들러_곱계수)*(INT(몬스터밸런스[[#This Row],[Lv]]/속도핸들러_합계수+1)),0))))</f>
        <v>0</v>
      </c>
      <c r="S204">
        <f t="shared" si="10"/>
        <v>2686760.5</v>
      </c>
      <c r="U204">
        <v>1</v>
      </c>
      <c r="V204">
        <v>202</v>
      </c>
      <c r="W204">
        <f>$Z$1*몬스터밸런스9[[#This Row],[단계]]</f>
        <v>5</v>
      </c>
      <c r="X204" t="s">
        <v>59</v>
      </c>
      <c r="AE204" s="34"/>
      <c r="AF204" s="34"/>
      <c r="AG204" s="34"/>
      <c r="AH204" s="34"/>
      <c r="AI204" s="34"/>
      <c r="AJ204" s="34"/>
      <c r="AK204" s="34">
        <f>몬스터밸런스[[#This Row],[DodgeRate]]*0.2</f>
        <v>2013</v>
      </c>
      <c r="AL204">
        <f t="shared" si="9"/>
        <v>40260</v>
      </c>
    </row>
    <row r="205" spans="1:38">
      <c r="A205">
        <v>2020</v>
      </c>
      <c r="B205">
        <v>203</v>
      </c>
      <c r="C205">
        <f>$F$1*몬스터밸런스[[#This Row],[Lv]]+15</f>
        <v>10115</v>
      </c>
      <c r="E205" t="s">
        <v>479</v>
      </c>
      <c r="F205">
        <f>IF(E205="공격형",INDEX(몬스터계수[[#Data],[생명계수]],MATCH(E205,몬스터계수[[#Data],[타입]],0),1)*C205,
IF(E205="방어형",INDEX(몬스터계수[[#Data],[생명계수]],MATCH(E205,몬스터계수[[#Data],[타입]],0),1)*C205,
IF(E205="회피형",INDEX(몬스터계수[[#Data],[생명계수]],MATCH(E205,몬스터계수[[#Data],[타입]],0),1)*C205,
IF(E205="체력형",INDEX(몬스터계수[[#Data],[생명계수]],MATCH(E205,몬스터계수[[#Data],[타입]],0),1)*C205,0))))*IF(몬스터밸런스[[#This Row],[보스]]=TRUE,2,1)</f>
        <v>5057.5</v>
      </c>
      <c r="G205">
        <f>IF(E205="공격형",INDEX(몬스터계수[[#Data],[힘계수]],MATCH(E205, 몬스터계수[[#Data],[타입]],0),1)*C205,
IF(E205="방어형",INDEX(몬스터계수[[#Data],[힘계수]],MATCH(E205, 몬스터계수[[#Data],[타입]],0),1)*C205,
IF(E205="회피형",INDEX(몬스터계수[[#Data],[힘계수]],MATCH(E205, 몬스터계수[[#Data],[타입]],0),1)*C205,
IF(E205="체력형",INDEX(몬스터계수[[#Data],[힘계수]],MATCH(E205, 몬스터계수[[#Data],[타입]],0),1)*C205,0))))</f>
        <v>2528.75</v>
      </c>
      <c r="H205">
        <f>IF(E205="공격형",INDEX(몬스터계수[[#Data],[근력게수]],MATCH(E205,몬스터계수[[#Data],[타입]],0),1)*C205,
IF(E205="방어형",INDEX(몬스터계수[[#Data],[근력게수]],MATCH(E205,몬스터계수[[#Data],[타입]],0),1)*C205,
IF(E205="회피형",INDEX(몬스터계수[[#Data],[근력게수]],MATCH(E205,몬스터계수[[#Data],[타입]],0),1)*C205,
IF(E205="체력형",INDEX(몬스터계수[[#Data],[근력게수]],MATCH(E205,몬스터계수[[#Data],[타입]],0),1)*C205,0))))</f>
        <v>505.75</v>
      </c>
      <c r="I205">
        <f>IF(E205="공격형",INDEX(몬스터계수[[#Data],[숙련도계수]],MATCH(E205,몬스터계수[[#Data],[타입]],0),1)*C205,
IF(E205="방어형",INDEX(몬스터계수[[#Data],[숙련도계수]],MATCH(E205,몬스터계수[[#Data],[타입]],0),1)*C205,
IF(E205="회피형",INDEX(몬스터계수[[#Data],[숙련도계수]],MATCH(E205,몬스터계수[[#Data],[타입]],0),1)*C205,
IF(E205="체력형",INDEX(몬스터계수[[#Data],[숙련도계수]],MATCH(E205,몬스터계수[[#Data],[타입]],0),1)*C205,0))))</f>
        <v>1517.25</v>
      </c>
      <c r="J205">
        <f>IF(E205="공격형",INDEX(몬스터계수[[#Data],[행운계수]],MATCH(E205, 몬스터계수[[#Data],[타입]],0),1)*C205,
IF(E205="방어형",INDEX(몬스터계수[[#Data],[행운계수]],MATCH(E205, 몬스터계수[[#Data],[타입]],0),1)*C205,
IF(E205="회피형",INDEX(몬스터계수[[#Data],[행운계수]],MATCH(E205, 몬스터계수[[#Data],[타입]],0),1)*C205,
IF(E205="체력형",INDEX(몬스터계수[[#Data],[행운계수]],MATCH(E205, 몬스터계수[[#Data],[타입]],0),1)*C205,0))))</f>
        <v>505.75</v>
      </c>
      <c r="K205" s="34">
        <f>ROUND(
(($F205)*참고!$D$5)
+(($G205)*참고!$D$6)
+(($H205)*참고!$D$7)
+(($I205)*참고!$D$8)
+(($J205))*참고!$D$9,0)</f>
        <v>78644</v>
      </c>
      <c r="L205" s="34">
        <f>ROUND(
(($F205)*참고!$E$5)
+(($G205)*참고!$E$6)
+(($H205)*참고!$E$7)
+(($I205)*참고!$E$8)
+(($J205))*참고!$E$9,0)</f>
        <v>45012</v>
      </c>
      <c r="M205" s="34">
        <f>ROUND(
(($F205)*참고!$F$5)
+(($G205)*참고!$F$6)
+(($H205)*참고!$F$7)
+(($I205)*참고!$F$8)
+(($J205))*참고!$F$9,0)</f>
        <v>12644</v>
      </c>
      <c r="N205" s="34">
        <f>ROUND(
(($F205)*참고!$G$5)
+(($G205)*참고!$G$6)
+(($H205)*참고!$G$7)
+(($I205)*참고!$G$8)
+(($J205))*참고!$G$9,0)</f>
        <v>354</v>
      </c>
      <c r="O205" s="34">
        <f>ROUND(
(($F205)*참고!$H$5)
+(($G205)*참고!$H$6)
+(($H205)*참고!$H$7)
+(($I205)*참고!$H$8)
+(($J205))*참고!$H$9,0)</f>
        <v>8345</v>
      </c>
      <c r="P205" s="34">
        <f>ROUND(
(($F205)*참고!$I$5)
+(($G205)*참고!$I$6)
+(($H205)*참고!$I$7)
+(($I205)*참고!$I$8)
+(($J205))*참고!$I$9,0)</f>
        <v>14667</v>
      </c>
      <c r="Q205" s="34">
        <f>ROUND(
(($F205)*참고!$J$5)
+(($G205)*참고!$J$6)
+(($H205)*참고!$J$7)
+(($I205)*참고!$J$8)
+(($J205))*참고!$J$9,0)</f>
        <v>10115</v>
      </c>
      <c r="R205" s="34">
        <f>IF(E205="공격형",(INDEX(몬스터계수[[#Data],[속도]],MATCH(E205, 몬스터계수[[#Data],[타입]],0),1)*속도핸들러_곱계수)*(INT(몬스터밸런스[[#This Row],[Lv]]/속도핸들러_합계수+1)),
IF(E205="방어형",(INDEX(몬스터계수[[#Data],[속도]],MATCH(E205, 몬스터계수[[#Data],[타입]],0),1)*속도핸들러_곱계수)*(INT(몬스터밸런스[[#This Row],[Lv]]/속도핸들러_합계수+1)),
IF(E205="회피형",(INDEX(몬스터계수[[#Data],[속도]],MATCH(E205, 몬스터계수[[#Data],[타입]],0),1)*속도핸들러_곱계수)*(INT(몬스터밸런스[[#This Row],[Lv]]/속도핸들러_합계수+1)),
IF(E205="기본형",(INDEX(몬스터계수[[#Data],[속도]],MATCH(E205, 몬스터계수[[#Data],[타입]],0),1)*속도핸들러_곱계수)*(INT(몬스터밸런스[[#This Row],[Lv]]/속도핸들러_합계수+1)),0))))</f>
        <v>0</v>
      </c>
      <c r="S205">
        <f t="shared" si="10"/>
        <v>2700132.5</v>
      </c>
      <c r="U205">
        <v>1</v>
      </c>
      <c r="V205">
        <v>203</v>
      </c>
      <c r="W205">
        <f>$Z$1*몬스터밸런스9[[#This Row],[단계]]</f>
        <v>5</v>
      </c>
      <c r="X205" t="s">
        <v>59</v>
      </c>
      <c r="AE205" s="34"/>
      <c r="AF205" s="34"/>
      <c r="AG205" s="34"/>
      <c r="AH205" s="34"/>
      <c r="AI205" s="34"/>
      <c r="AJ205" s="34"/>
      <c r="AK205" s="34">
        <f>몬스터밸런스[[#This Row],[DodgeRate]]*0.2</f>
        <v>2023</v>
      </c>
      <c r="AL205">
        <f t="shared" si="9"/>
        <v>40460</v>
      </c>
    </row>
    <row r="206" spans="1:38">
      <c r="A206">
        <v>2030</v>
      </c>
      <c r="B206">
        <v>204</v>
      </c>
      <c r="C206">
        <f>$F$1*몬스터밸런스[[#This Row],[Lv]]+15</f>
        <v>10165</v>
      </c>
      <c r="E206" t="s">
        <v>479</v>
      </c>
      <c r="F206">
        <f>IF(E206="공격형",INDEX(몬스터계수[[#Data],[생명계수]],MATCH(E206,몬스터계수[[#Data],[타입]],0),1)*C206,
IF(E206="방어형",INDEX(몬스터계수[[#Data],[생명계수]],MATCH(E206,몬스터계수[[#Data],[타입]],0),1)*C206,
IF(E206="회피형",INDEX(몬스터계수[[#Data],[생명계수]],MATCH(E206,몬스터계수[[#Data],[타입]],0),1)*C206,
IF(E206="체력형",INDEX(몬스터계수[[#Data],[생명계수]],MATCH(E206,몬스터계수[[#Data],[타입]],0),1)*C206,0))))*IF(몬스터밸런스[[#This Row],[보스]]=TRUE,2,1)</f>
        <v>5082.5</v>
      </c>
      <c r="G206">
        <f>IF(E206="공격형",INDEX(몬스터계수[[#Data],[힘계수]],MATCH(E206, 몬스터계수[[#Data],[타입]],0),1)*C206,
IF(E206="방어형",INDEX(몬스터계수[[#Data],[힘계수]],MATCH(E206, 몬스터계수[[#Data],[타입]],0),1)*C206,
IF(E206="회피형",INDEX(몬스터계수[[#Data],[힘계수]],MATCH(E206, 몬스터계수[[#Data],[타입]],0),1)*C206,
IF(E206="체력형",INDEX(몬스터계수[[#Data],[힘계수]],MATCH(E206, 몬스터계수[[#Data],[타입]],0),1)*C206,0))))</f>
        <v>2541.25</v>
      </c>
      <c r="H206">
        <f>IF(E206="공격형",INDEX(몬스터계수[[#Data],[근력게수]],MATCH(E206,몬스터계수[[#Data],[타입]],0),1)*C206,
IF(E206="방어형",INDEX(몬스터계수[[#Data],[근력게수]],MATCH(E206,몬스터계수[[#Data],[타입]],0),1)*C206,
IF(E206="회피형",INDEX(몬스터계수[[#Data],[근력게수]],MATCH(E206,몬스터계수[[#Data],[타입]],0),1)*C206,
IF(E206="체력형",INDEX(몬스터계수[[#Data],[근력게수]],MATCH(E206,몬스터계수[[#Data],[타입]],0),1)*C206,0))))</f>
        <v>508.25</v>
      </c>
      <c r="I206">
        <f>IF(E206="공격형",INDEX(몬스터계수[[#Data],[숙련도계수]],MATCH(E206,몬스터계수[[#Data],[타입]],0),1)*C206,
IF(E206="방어형",INDEX(몬스터계수[[#Data],[숙련도계수]],MATCH(E206,몬스터계수[[#Data],[타입]],0),1)*C206,
IF(E206="회피형",INDEX(몬스터계수[[#Data],[숙련도계수]],MATCH(E206,몬스터계수[[#Data],[타입]],0),1)*C206,
IF(E206="체력형",INDEX(몬스터계수[[#Data],[숙련도계수]],MATCH(E206,몬스터계수[[#Data],[타입]],0),1)*C206,0))))</f>
        <v>1524.75</v>
      </c>
      <c r="J206">
        <f>IF(E206="공격형",INDEX(몬스터계수[[#Data],[행운계수]],MATCH(E206, 몬스터계수[[#Data],[타입]],0),1)*C206,
IF(E206="방어형",INDEX(몬스터계수[[#Data],[행운계수]],MATCH(E206, 몬스터계수[[#Data],[타입]],0),1)*C206,
IF(E206="회피형",INDEX(몬스터계수[[#Data],[행운계수]],MATCH(E206, 몬스터계수[[#Data],[타입]],0),1)*C206,
IF(E206="체력형",INDEX(몬스터계수[[#Data],[행운계수]],MATCH(E206, 몬스터계수[[#Data],[타입]],0),1)*C206,0))))</f>
        <v>508.25</v>
      </c>
      <c r="K206" s="34">
        <f>ROUND(
(($F206)*참고!$D$5)
+(($G206)*참고!$D$6)
+(($H206)*참고!$D$7)
+(($I206)*참고!$D$8)
+(($J206))*참고!$D$9,0)</f>
        <v>79033</v>
      </c>
      <c r="L206" s="34">
        <f>ROUND(
(($F206)*참고!$E$5)
+(($G206)*참고!$E$6)
+(($H206)*참고!$E$7)
+(($I206)*참고!$E$8)
+(($J206))*참고!$E$9,0)</f>
        <v>45234</v>
      </c>
      <c r="M206" s="34">
        <f>ROUND(
(($F206)*참고!$F$5)
+(($G206)*참고!$F$6)
+(($H206)*참고!$F$7)
+(($I206)*참고!$F$8)
+(($J206))*참고!$F$9,0)</f>
        <v>12706</v>
      </c>
      <c r="N206" s="34">
        <f>ROUND(
(($F206)*참고!$G$5)
+(($G206)*참고!$G$6)
+(($H206)*참고!$G$7)
+(($I206)*참고!$G$8)
+(($J206))*참고!$G$9,0)</f>
        <v>356</v>
      </c>
      <c r="O206" s="34">
        <f>ROUND(
(($F206)*참고!$H$5)
+(($G206)*참고!$H$6)
+(($H206)*참고!$H$7)
+(($I206)*참고!$H$8)
+(($J206))*참고!$H$9,0)</f>
        <v>8386</v>
      </c>
      <c r="P206" s="34">
        <f>ROUND(
(($F206)*참고!$I$5)
+(($G206)*참고!$I$6)
+(($H206)*참고!$I$7)
+(($I206)*참고!$I$8)
+(($J206))*참고!$I$9,0)</f>
        <v>14739</v>
      </c>
      <c r="Q206" s="34">
        <f>ROUND(
(($F206)*참고!$J$5)
+(($G206)*참고!$J$6)
+(($H206)*참고!$J$7)
+(($I206)*참고!$J$8)
+(($J206))*참고!$J$9,0)</f>
        <v>10165</v>
      </c>
      <c r="R206" s="34">
        <f>IF(E206="공격형",(INDEX(몬스터계수[[#Data],[속도]],MATCH(E206, 몬스터계수[[#Data],[타입]],0),1)*속도핸들러_곱계수)*(INT(몬스터밸런스[[#This Row],[Lv]]/속도핸들러_합계수+1)),
IF(E206="방어형",(INDEX(몬스터계수[[#Data],[속도]],MATCH(E206, 몬스터계수[[#Data],[타입]],0),1)*속도핸들러_곱계수)*(INT(몬스터밸런스[[#This Row],[Lv]]/속도핸들러_합계수+1)),
IF(E206="회피형",(INDEX(몬스터계수[[#Data],[속도]],MATCH(E206, 몬스터계수[[#Data],[타입]],0),1)*속도핸들러_곱계수)*(INT(몬스터밸런스[[#This Row],[Lv]]/속도핸들러_합계수+1)),
IF(E206="기본형",(INDEX(몬스터계수[[#Data],[속도]],MATCH(E206, 몬스터계수[[#Data],[타입]],0),1)*속도핸들러_곱계수)*(INT(몬스터밸런스[[#This Row],[Lv]]/속도핸들러_합계수+1)),0))))</f>
        <v>0</v>
      </c>
      <c r="S206">
        <f t="shared" si="10"/>
        <v>2713461.5</v>
      </c>
      <c r="U206">
        <v>1</v>
      </c>
      <c r="V206">
        <v>204</v>
      </c>
      <c r="W206">
        <f>$Z$1*몬스터밸런스9[[#This Row],[단계]]</f>
        <v>5</v>
      </c>
      <c r="X206" t="s">
        <v>59</v>
      </c>
      <c r="AE206" s="34">
        <f>몬스터밸런스[[#This Row],[생명]]</f>
        <v>5082.5</v>
      </c>
      <c r="AF206" s="34"/>
      <c r="AG206" s="34"/>
      <c r="AH206" s="34"/>
      <c r="AI206" s="34"/>
      <c r="AJ206" s="34"/>
      <c r="AK206" s="34">
        <f>몬스터밸런스[[#This Row],[DodgeRate]]*0.2</f>
        <v>2033</v>
      </c>
      <c r="AL206">
        <f t="shared" si="9"/>
        <v>129603.75</v>
      </c>
    </row>
    <row r="207" spans="1:38">
      <c r="A207">
        <v>2040</v>
      </c>
      <c r="B207">
        <v>205</v>
      </c>
      <c r="C207">
        <f>$F$1*몬스터밸런스[[#This Row],[Lv]]+15</f>
        <v>10215</v>
      </c>
      <c r="E207" t="s">
        <v>479</v>
      </c>
      <c r="F207">
        <f>IF(E207="공격형",INDEX(몬스터계수[[#Data],[생명계수]],MATCH(E207,몬스터계수[[#Data],[타입]],0),1)*C207,
IF(E207="방어형",INDEX(몬스터계수[[#Data],[생명계수]],MATCH(E207,몬스터계수[[#Data],[타입]],0),1)*C207,
IF(E207="회피형",INDEX(몬스터계수[[#Data],[생명계수]],MATCH(E207,몬스터계수[[#Data],[타입]],0),1)*C207,
IF(E207="체력형",INDEX(몬스터계수[[#Data],[생명계수]],MATCH(E207,몬스터계수[[#Data],[타입]],0),1)*C207,0))))*IF(몬스터밸런스[[#This Row],[보스]]=TRUE,2,1)</f>
        <v>5107.5</v>
      </c>
      <c r="G207">
        <f>IF(E207="공격형",INDEX(몬스터계수[[#Data],[힘계수]],MATCH(E207, 몬스터계수[[#Data],[타입]],0),1)*C207,
IF(E207="방어형",INDEX(몬스터계수[[#Data],[힘계수]],MATCH(E207, 몬스터계수[[#Data],[타입]],0),1)*C207,
IF(E207="회피형",INDEX(몬스터계수[[#Data],[힘계수]],MATCH(E207, 몬스터계수[[#Data],[타입]],0),1)*C207,
IF(E207="체력형",INDEX(몬스터계수[[#Data],[힘계수]],MATCH(E207, 몬스터계수[[#Data],[타입]],0),1)*C207,0))))</f>
        <v>2553.75</v>
      </c>
      <c r="H207">
        <f>IF(E207="공격형",INDEX(몬스터계수[[#Data],[근력게수]],MATCH(E207,몬스터계수[[#Data],[타입]],0),1)*C207,
IF(E207="방어형",INDEX(몬스터계수[[#Data],[근력게수]],MATCH(E207,몬스터계수[[#Data],[타입]],0),1)*C207,
IF(E207="회피형",INDEX(몬스터계수[[#Data],[근력게수]],MATCH(E207,몬스터계수[[#Data],[타입]],0),1)*C207,
IF(E207="체력형",INDEX(몬스터계수[[#Data],[근력게수]],MATCH(E207,몬스터계수[[#Data],[타입]],0),1)*C207,0))))</f>
        <v>510.75</v>
      </c>
      <c r="I207">
        <f>IF(E207="공격형",INDEX(몬스터계수[[#Data],[숙련도계수]],MATCH(E207,몬스터계수[[#Data],[타입]],0),1)*C207,
IF(E207="방어형",INDEX(몬스터계수[[#Data],[숙련도계수]],MATCH(E207,몬스터계수[[#Data],[타입]],0),1)*C207,
IF(E207="회피형",INDEX(몬스터계수[[#Data],[숙련도계수]],MATCH(E207,몬스터계수[[#Data],[타입]],0),1)*C207,
IF(E207="체력형",INDEX(몬스터계수[[#Data],[숙련도계수]],MATCH(E207,몬스터계수[[#Data],[타입]],0),1)*C207,0))))</f>
        <v>1532.25</v>
      </c>
      <c r="J207">
        <f>IF(E207="공격형",INDEX(몬스터계수[[#Data],[행운계수]],MATCH(E207, 몬스터계수[[#Data],[타입]],0),1)*C207,
IF(E207="방어형",INDEX(몬스터계수[[#Data],[행운계수]],MATCH(E207, 몬스터계수[[#Data],[타입]],0),1)*C207,
IF(E207="회피형",INDEX(몬스터계수[[#Data],[행운계수]],MATCH(E207, 몬스터계수[[#Data],[타입]],0),1)*C207,
IF(E207="체력형",INDEX(몬스터계수[[#Data],[행운계수]],MATCH(E207, 몬스터계수[[#Data],[타입]],0),1)*C207,0))))</f>
        <v>510.75</v>
      </c>
      <c r="K207" s="34">
        <f>ROUND(
(($F207)*참고!$D$5)
+(($G207)*참고!$D$6)
+(($H207)*참고!$D$7)
+(($I207)*참고!$D$8)
+(($J207))*참고!$D$9,0)</f>
        <v>79422</v>
      </c>
      <c r="L207" s="34">
        <f>ROUND(
(($F207)*참고!$E$5)
+(($G207)*참고!$E$6)
+(($H207)*참고!$E$7)
+(($I207)*참고!$E$8)
+(($J207))*참고!$E$9,0)</f>
        <v>45457</v>
      </c>
      <c r="M207" s="34">
        <f>ROUND(
(($F207)*참고!$F$5)
+(($G207)*참고!$F$6)
+(($H207)*참고!$F$7)
+(($I207)*참고!$F$8)
+(($J207))*참고!$F$9,0)</f>
        <v>12769</v>
      </c>
      <c r="N207" s="34">
        <f>ROUND(
(($F207)*참고!$G$5)
+(($G207)*참고!$G$6)
+(($H207)*참고!$G$7)
+(($I207)*참고!$G$8)
+(($J207))*참고!$G$9,0)</f>
        <v>358</v>
      </c>
      <c r="O207" s="34">
        <f>ROUND(
(($F207)*참고!$H$5)
+(($G207)*참고!$H$6)
+(($H207)*참고!$H$7)
+(($I207)*참고!$H$8)
+(($J207))*참고!$H$9,0)</f>
        <v>8427</v>
      </c>
      <c r="P207" s="34">
        <f>ROUND(
(($F207)*참고!$I$5)
+(($G207)*참고!$I$6)
+(($H207)*참고!$I$7)
+(($I207)*참고!$I$8)
+(($J207))*참고!$I$9,0)</f>
        <v>14812</v>
      </c>
      <c r="Q207" s="34">
        <f>ROUND(
(($F207)*참고!$J$5)
+(($G207)*참고!$J$6)
+(($H207)*참고!$J$7)
+(($I207)*참고!$J$8)
+(($J207))*참고!$J$9,0)</f>
        <v>10215</v>
      </c>
      <c r="R207" s="34">
        <f>IF(E207="공격형",(INDEX(몬스터계수[[#Data],[속도]],MATCH(E207, 몬스터계수[[#Data],[타입]],0),1)*속도핸들러_곱계수)*(INT(몬스터밸런스[[#This Row],[Lv]]/속도핸들러_합계수+1)),
IF(E207="방어형",(INDEX(몬스터계수[[#Data],[속도]],MATCH(E207, 몬스터계수[[#Data],[타입]],0),1)*속도핸들러_곱계수)*(INT(몬스터밸런스[[#This Row],[Lv]]/속도핸들러_합계수+1)),
IF(E207="회피형",(INDEX(몬스터계수[[#Data],[속도]],MATCH(E207, 몬스터계수[[#Data],[타입]],0),1)*속도핸들러_곱계수)*(INT(몬스터밸런스[[#This Row],[Lv]]/속도핸들러_합계수+1)),
IF(E207="기본형",(INDEX(몬스터계수[[#Data],[속도]],MATCH(E207, 몬스터계수[[#Data],[타입]],0),1)*속도핸들러_곱계수)*(INT(몬스터밸런스[[#This Row],[Lv]]/속도핸들러_합계수+1)),0))))</f>
        <v>0</v>
      </c>
      <c r="S207">
        <f t="shared" si="10"/>
        <v>2726833.5</v>
      </c>
      <c r="U207">
        <v>1</v>
      </c>
      <c r="V207">
        <v>205</v>
      </c>
      <c r="W207">
        <f>$Z$1*몬스터밸런스9[[#This Row],[단계]]</f>
        <v>5</v>
      </c>
      <c r="X207" t="s">
        <v>59</v>
      </c>
      <c r="AE207" s="34">
        <f>몬스터밸런스[[#This Row],[생명]]</f>
        <v>5107.5</v>
      </c>
      <c r="AF207" s="34"/>
      <c r="AG207" s="34"/>
      <c r="AH207" s="34"/>
      <c r="AI207" s="34"/>
      <c r="AJ207" s="34"/>
      <c r="AK207" s="34">
        <f>몬스터밸런스[[#This Row],[DodgeRate]]*0.2</f>
        <v>2043</v>
      </c>
      <c r="AL207">
        <f t="shared" si="9"/>
        <v>130241.25</v>
      </c>
    </row>
    <row r="208" spans="1:38">
      <c r="A208">
        <v>2050</v>
      </c>
      <c r="B208">
        <v>206</v>
      </c>
      <c r="C208">
        <f>$F$1*몬스터밸런스[[#This Row],[Lv]]+15</f>
        <v>10265</v>
      </c>
      <c r="E208" t="s">
        <v>479</v>
      </c>
      <c r="F208">
        <f>IF(E208="공격형",INDEX(몬스터계수[[#Data],[생명계수]],MATCH(E208,몬스터계수[[#Data],[타입]],0),1)*C208,
IF(E208="방어형",INDEX(몬스터계수[[#Data],[생명계수]],MATCH(E208,몬스터계수[[#Data],[타입]],0),1)*C208,
IF(E208="회피형",INDEX(몬스터계수[[#Data],[생명계수]],MATCH(E208,몬스터계수[[#Data],[타입]],0),1)*C208,
IF(E208="체력형",INDEX(몬스터계수[[#Data],[생명계수]],MATCH(E208,몬스터계수[[#Data],[타입]],0),1)*C208,0))))*IF(몬스터밸런스[[#This Row],[보스]]=TRUE,2,1)</f>
        <v>5132.5</v>
      </c>
      <c r="G208">
        <f>IF(E208="공격형",INDEX(몬스터계수[[#Data],[힘계수]],MATCH(E208, 몬스터계수[[#Data],[타입]],0),1)*C208,
IF(E208="방어형",INDEX(몬스터계수[[#Data],[힘계수]],MATCH(E208, 몬스터계수[[#Data],[타입]],0),1)*C208,
IF(E208="회피형",INDEX(몬스터계수[[#Data],[힘계수]],MATCH(E208, 몬스터계수[[#Data],[타입]],0),1)*C208,
IF(E208="체력형",INDEX(몬스터계수[[#Data],[힘계수]],MATCH(E208, 몬스터계수[[#Data],[타입]],0),1)*C208,0))))</f>
        <v>2566.25</v>
      </c>
      <c r="H208">
        <f>IF(E208="공격형",INDEX(몬스터계수[[#Data],[근력게수]],MATCH(E208,몬스터계수[[#Data],[타입]],0),1)*C208,
IF(E208="방어형",INDEX(몬스터계수[[#Data],[근력게수]],MATCH(E208,몬스터계수[[#Data],[타입]],0),1)*C208,
IF(E208="회피형",INDEX(몬스터계수[[#Data],[근력게수]],MATCH(E208,몬스터계수[[#Data],[타입]],0),1)*C208,
IF(E208="체력형",INDEX(몬스터계수[[#Data],[근력게수]],MATCH(E208,몬스터계수[[#Data],[타입]],0),1)*C208,0))))</f>
        <v>513.25</v>
      </c>
      <c r="I208">
        <f>IF(E208="공격형",INDEX(몬스터계수[[#Data],[숙련도계수]],MATCH(E208,몬스터계수[[#Data],[타입]],0),1)*C208,
IF(E208="방어형",INDEX(몬스터계수[[#Data],[숙련도계수]],MATCH(E208,몬스터계수[[#Data],[타입]],0),1)*C208,
IF(E208="회피형",INDEX(몬스터계수[[#Data],[숙련도계수]],MATCH(E208,몬스터계수[[#Data],[타입]],0),1)*C208,
IF(E208="체력형",INDEX(몬스터계수[[#Data],[숙련도계수]],MATCH(E208,몬스터계수[[#Data],[타입]],0),1)*C208,0))))</f>
        <v>1539.75</v>
      </c>
      <c r="J208">
        <f>IF(E208="공격형",INDEX(몬스터계수[[#Data],[행운계수]],MATCH(E208, 몬스터계수[[#Data],[타입]],0),1)*C208,
IF(E208="방어형",INDEX(몬스터계수[[#Data],[행운계수]],MATCH(E208, 몬스터계수[[#Data],[타입]],0),1)*C208,
IF(E208="회피형",INDEX(몬스터계수[[#Data],[행운계수]],MATCH(E208, 몬스터계수[[#Data],[타입]],0),1)*C208,
IF(E208="체력형",INDEX(몬스터계수[[#Data],[행운계수]],MATCH(E208, 몬스터계수[[#Data],[타입]],0),1)*C208,0))))</f>
        <v>513.25</v>
      </c>
      <c r="K208" s="34">
        <f>ROUND(
(($F208)*참고!$D$5)
+(($G208)*참고!$D$6)
+(($H208)*참고!$D$7)
+(($I208)*참고!$D$8)
+(($J208))*참고!$D$9,0)</f>
        <v>79810</v>
      </c>
      <c r="L208" s="34">
        <f>ROUND(
(($F208)*참고!$E$5)
+(($G208)*참고!$E$6)
+(($H208)*참고!$E$7)
+(($I208)*참고!$E$8)
+(($J208))*참고!$E$9,0)</f>
        <v>45679</v>
      </c>
      <c r="M208" s="34">
        <f>ROUND(
(($F208)*참고!$F$5)
+(($G208)*참고!$F$6)
+(($H208)*참고!$F$7)
+(($I208)*참고!$F$8)
+(($J208))*참고!$F$9,0)</f>
        <v>12831</v>
      </c>
      <c r="N208" s="34">
        <f>ROUND(
(($F208)*참고!$G$5)
+(($G208)*참고!$G$6)
+(($H208)*참고!$G$7)
+(($I208)*참고!$G$8)
+(($J208))*참고!$G$9,0)</f>
        <v>359</v>
      </c>
      <c r="O208" s="34">
        <f>ROUND(
(($F208)*참고!$H$5)
+(($G208)*참고!$H$6)
+(($H208)*참고!$H$7)
+(($I208)*참고!$H$8)
+(($J208))*참고!$H$9,0)</f>
        <v>8469</v>
      </c>
      <c r="P208" s="34">
        <f>ROUND(
(($F208)*참고!$I$5)
+(($G208)*참고!$I$6)
+(($H208)*참고!$I$7)
+(($I208)*참고!$I$8)
+(($J208))*참고!$I$9,0)</f>
        <v>14884</v>
      </c>
      <c r="Q208" s="34">
        <f>ROUND(
(($F208)*참고!$J$5)
+(($G208)*참고!$J$6)
+(($H208)*참고!$J$7)
+(($I208)*참고!$J$8)
+(($J208))*참고!$J$9,0)</f>
        <v>10265</v>
      </c>
      <c r="R208" s="34">
        <f>IF(E208="공격형",(INDEX(몬스터계수[[#Data],[속도]],MATCH(E208, 몬스터계수[[#Data],[타입]],0),1)*속도핸들러_곱계수)*(INT(몬스터밸런스[[#This Row],[Lv]]/속도핸들러_합계수+1)),
IF(E208="방어형",(INDEX(몬스터계수[[#Data],[속도]],MATCH(E208, 몬스터계수[[#Data],[타입]],0),1)*속도핸들러_곱계수)*(INT(몬스터밸런스[[#This Row],[Lv]]/속도핸들러_합계수+1)),
IF(E208="회피형",(INDEX(몬스터계수[[#Data],[속도]],MATCH(E208, 몬스터계수[[#Data],[타입]],0),1)*속도핸들러_곱계수)*(INT(몬스터밸런스[[#This Row],[Lv]]/속도핸들러_합계수+1)),
IF(E208="기본형",(INDEX(몬스터계수[[#Data],[속도]],MATCH(E208, 몬스터계수[[#Data],[타입]],0),1)*속도핸들러_곱계수)*(INT(몬스터밸런스[[#This Row],[Lv]]/속도핸들러_합계수+1)),0))))</f>
        <v>0</v>
      </c>
      <c r="S208">
        <f t="shared" si="10"/>
        <v>2740149</v>
      </c>
      <c r="U208">
        <v>2</v>
      </c>
      <c r="V208">
        <v>206</v>
      </c>
      <c r="W208">
        <f>$Z$1*몬스터밸런스9[[#This Row],[단계]]</f>
        <v>10</v>
      </c>
      <c r="X208" t="s">
        <v>59</v>
      </c>
      <c r="AE208" s="34"/>
      <c r="AF208" s="34"/>
      <c r="AG208" s="34"/>
      <c r="AH208" s="34"/>
      <c r="AI208" s="34"/>
      <c r="AJ208" s="34"/>
      <c r="AK208" s="34">
        <f>몬스터밸런스[[#This Row],[DodgeRate]]*0.2</f>
        <v>2053</v>
      </c>
      <c r="AL208">
        <f t="shared" si="9"/>
        <v>41060</v>
      </c>
    </row>
    <row r="209" spans="1:38">
      <c r="A209">
        <v>2060</v>
      </c>
      <c r="B209">
        <v>207</v>
      </c>
      <c r="C209">
        <f>$F$1*몬스터밸런스[[#This Row],[Lv]]+15</f>
        <v>10315</v>
      </c>
      <c r="E209" t="s">
        <v>479</v>
      </c>
      <c r="F209">
        <f>IF(E209="공격형",INDEX(몬스터계수[[#Data],[생명계수]],MATCH(E209,몬스터계수[[#Data],[타입]],0),1)*C209,
IF(E209="방어형",INDEX(몬스터계수[[#Data],[생명계수]],MATCH(E209,몬스터계수[[#Data],[타입]],0),1)*C209,
IF(E209="회피형",INDEX(몬스터계수[[#Data],[생명계수]],MATCH(E209,몬스터계수[[#Data],[타입]],0),1)*C209,
IF(E209="체력형",INDEX(몬스터계수[[#Data],[생명계수]],MATCH(E209,몬스터계수[[#Data],[타입]],0),1)*C209,0))))*IF(몬스터밸런스[[#This Row],[보스]]=TRUE,2,1)</f>
        <v>5157.5</v>
      </c>
      <c r="G209">
        <f>IF(E209="공격형",INDEX(몬스터계수[[#Data],[힘계수]],MATCH(E209, 몬스터계수[[#Data],[타입]],0),1)*C209,
IF(E209="방어형",INDEX(몬스터계수[[#Data],[힘계수]],MATCH(E209, 몬스터계수[[#Data],[타입]],0),1)*C209,
IF(E209="회피형",INDEX(몬스터계수[[#Data],[힘계수]],MATCH(E209, 몬스터계수[[#Data],[타입]],0),1)*C209,
IF(E209="체력형",INDEX(몬스터계수[[#Data],[힘계수]],MATCH(E209, 몬스터계수[[#Data],[타입]],0),1)*C209,0))))</f>
        <v>2578.75</v>
      </c>
      <c r="H209">
        <f>IF(E209="공격형",INDEX(몬스터계수[[#Data],[근력게수]],MATCH(E209,몬스터계수[[#Data],[타입]],0),1)*C209,
IF(E209="방어형",INDEX(몬스터계수[[#Data],[근력게수]],MATCH(E209,몬스터계수[[#Data],[타입]],0),1)*C209,
IF(E209="회피형",INDEX(몬스터계수[[#Data],[근력게수]],MATCH(E209,몬스터계수[[#Data],[타입]],0),1)*C209,
IF(E209="체력형",INDEX(몬스터계수[[#Data],[근력게수]],MATCH(E209,몬스터계수[[#Data],[타입]],0),1)*C209,0))))</f>
        <v>515.75</v>
      </c>
      <c r="I209">
        <f>IF(E209="공격형",INDEX(몬스터계수[[#Data],[숙련도계수]],MATCH(E209,몬스터계수[[#Data],[타입]],0),1)*C209,
IF(E209="방어형",INDEX(몬스터계수[[#Data],[숙련도계수]],MATCH(E209,몬스터계수[[#Data],[타입]],0),1)*C209,
IF(E209="회피형",INDEX(몬스터계수[[#Data],[숙련도계수]],MATCH(E209,몬스터계수[[#Data],[타입]],0),1)*C209,
IF(E209="체력형",INDEX(몬스터계수[[#Data],[숙련도계수]],MATCH(E209,몬스터계수[[#Data],[타입]],0),1)*C209,0))))</f>
        <v>1547.25</v>
      </c>
      <c r="J209">
        <f>IF(E209="공격형",INDEX(몬스터계수[[#Data],[행운계수]],MATCH(E209, 몬스터계수[[#Data],[타입]],0),1)*C209,
IF(E209="방어형",INDEX(몬스터계수[[#Data],[행운계수]],MATCH(E209, 몬스터계수[[#Data],[타입]],0),1)*C209,
IF(E209="회피형",INDEX(몬스터계수[[#Data],[행운계수]],MATCH(E209, 몬스터계수[[#Data],[타입]],0),1)*C209,
IF(E209="체력형",INDEX(몬스터계수[[#Data],[행운계수]],MATCH(E209, 몬스터계수[[#Data],[타입]],0),1)*C209,0))))</f>
        <v>515.75</v>
      </c>
      <c r="K209" s="34">
        <f>ROUND(
(($F209)*참고!$D$5)
+(($G209)*참고!$D$6)
+(($H209)*참고!$D$7)
+(($I209)*참고!$D$8)
+(($J209))*참고!$D$9,0)</f>
        <v>80199</v>
      </c>
      <c r="L209" s="34">
        <f>ROUND(
(($F209)*참고!$E$5)
+(($G209)*참고!$E$6)
+(($H209)*참고!$E$7)
+(($I209)*참고!$E$8)
+(($J209))*참고!$E$9,0)</f>
        <v>45902</v>
      </c>
      <c r="M209" s="34">
        <f>ROUND(
(($F209)*참고!$F$5)
+(($G209)*참고!$F$6)
+(($H209)*참고!$F$7)
+(($I209)*참고!$F$8)
+(($J209))*참고!$F$9,0)</f>
        <v>12894</v>
      </c>
      <c r="N209" s="34">
        <f>ROUND(
(($F209)*참고!$G$5)
+(($G209)*참고!$G$6)
+(($H209)*참고!$G$7)
+(($I209)*참고!$G$8)
+(($J209))*참고!$G$9,0)</f>
        <v>361</v>
      </c>
      <c r="O209" s="34">
        <f>ROUND(
(($F209)*참고!$H$5)
+(($G209)*참고!$H$6)
+(($H209)*참고!$H$7)
+(($I209)*참고!$H$8)
+(($J209))*참고!$H$9,0)</f>
        <v>8510</v>
      </c>
      <c r="P209" s="34">
        <f>ROUND(
(($F209)*참고!$I$5)
+(($G209)*참고!$I$6)
+(($H209)*참고!$I$7)
+(($I209)*참고!$I$8)
+(($J209))*참고!$I$9,0)</f>
        <v>14957</v>
      </c>
      <c r="Q209" s="34">
        <f>ROUND(
(($F209)*참고!$J$5)
+(($G209)*참고!$J$6)
+(($H209)*참고!$J$7)
+(($I209)*참고!$J$8)
+(($J209))*참고!$J$9,0)</f>
        <v>10315</v>
      </c>
      <c r="R209" s="34">
        <f>IF(E209="공격형",(INDEX(몬스터계수[[#Data],[속도]],MATCH(E209, 몬스터계수[[#Data],[타입]],0),1)*속도핸들러_곱계수)*(INT(몬스터밸런스[[#This Row],[Lv]]/속도핸들러_합계수+1)),
IF(E209="방어형",(INDEX(몬스터계수[[#Data],[속도]],MATCH(E209, 몬스터계수[[#Data],[타입]],0),1)*속도핸들러_곱계수)*(INT(몬스터밸런스[[#This Row],[Lv]]/속도핸들러_합계수+1)),
IF(E209="회피형",(INDEX(몬스터계수[[#Data],[속도]],MATCH(E209, 몬스터계수[[#Data],[타입]],0),1)*속도핸들러_곱계수)*(INT(몬스터밸런스[[#This Row],[Lv]]/속도핸들러_합계수+1)),
IF(E209="기본형",(INDEX(몬스터계수[[#Data],[속도]],MATCH(E209, 몬스터계수[[#Data],[타입]],0),1)*속도핸들러_곱계수)*(INT(몬스터밸런스[[#This Row],[Lv]]/속도핸들러_합계수+1)),0))))</f>
        <v>0</v>
      </c>
      <c r="S209">
        <f t="shared" si="10"/>
        <v>2753521</v>
      </c>
      <c r="U209">
        <v>2</v>
      </c>
      <c r="V209">
        <v>207</v>
      </c>
      <c r="W209">
        <f>$Z$1*몬스터밸런스9[[#This Row],[단계]]</f>
        <v>10</v>
      </c>
      <c r="X209" t="s">
        <v>59</v>
      </c>
      <c r="AE209" s="34"/>
      <c r="AF209" s="34"/>
      <c r="AG209" s="34"/>
      <c r="AH209" s="34"/>
      <c r="AI209" s="34"/>
      <c r="AJ209" s="34"/>
      <c r="AK209" s="34">
        <f>몬스터밸런스[[#This Row],[DodgeRate]]*0.2</f>
        <v>2063</v>
      </c>
      <c r="AL209">
        <f t="shared" si="9"/>
        <v>41260</v>
      </c>
    </row>
    <row r="210" spans="1:38">
      <c r="A210">
        <v>2070</v>
      </c>
      <c r="B210">
        <v>208</v>
      </c>
      <c r="C210">
        <f>$F$1*몬스터밸런스[[#This Row],[Lv]]+15</f>
        <v>10365</v>
      </c>
      <c r="E210" t="s">
        <v>479</v>
      </c>
      <c r="F210">
        <f>IF(E210="공격형",INDEX(몬스터계수[[#Data],[생명계수]],MATCH(E210,몬스터계수[[#Data],[타입]],0),1)*C210,
IF(E210="방어형",INDEX(몬스터계수[[#Data],[생명계수]],MATCH(E210,몬스터계수[[#Data],[타입]],0),1)*C210,
IF(E210="회피형",INDEX(몬스터계수[[#Data],[생명계수]],MATCH(E210,몬스터계수[[#Data],[타입]],0),1)*C210,
IF(E210="체력형",INDEX(몬스터계수[[#Data],[생명계수]],MATCH(E210,몬스터계수[[#Data],[타입]],0),1)*C210,0))))*IF(몬스터밸런스[[#This Row],[보스]]=TRUE,2,1)</f>
        <v>5182.5</v>
      </c>
      <c r="G210">
        <f>IF(E210="공격형",INDEX(몬스터계수[[#Data],[힘계수]],MATCH(E210, 몬스터계수[[#Data],[타입]],0),1)*C210,
IF(E210="방어형",INDEX(몬스터계수[[#Data],[힘계수]],MATCH(E210, 몬스터계수[[#Data],[타입]],0),1)*C210,
IF(E210="회피형",INDEX(몬스터계수[[#Data],[힘계수]],MATCH(E210, 몬스터계수[[#Data],[타입]],0),1)*C210,
IF(E210="체력형",INDEX(몬스터계수[[#Data],[힘계수]],MATCH(E210, 몬스터계수[[#Data],[타입]],0),1)*C210,0))))</f>
        <v>2591.25</v>
      </c>
      <c r="H210">
        <f>IF(E210="공격형",INDEX(몬스터계수[[#Data],[근력게수]],MATCH(E210,몬스터계수[[#Data],[타입]],0),1)*C210,
IF(E210="방어형",INDEX(몬스터계수[[#Data],[근력게수]],MATCH(E210,몬스터계수[[#Data],[타입]],0),1)*C210,
IF(E210="회피형",INDEX(몬스터계수[[#Data],[근력게수]],MATCH(E210,몬스터계수[[#Data],[타입]],0),1)*C210,
IF(E210="체력형",INDEX(몬스터계수[[#Data],[근력게수]],MATCH(E210,몬스터계수[[#Data],[타입]],0),1)*C210,0))))</f>
        <v>518.25</v>
      </c>
      <c r="I210">
        <f>IF(E210="공격형",INDEX(몬스터계수[[#Data],[숙련도계수]],MATCH(E210,몬스터계수[[#Data],[타입]],0),1)*C210,
IF(E210="방어형",INDEX(몬스터계수[[#Data],[숙련도계수]],MATCH(E210,몬스터계수[[#Data],[타입]],0),1)*C210,
IF(E210="회피형",INDEX(몬스터계수[[#Data],[숙련도계수]],MATCH(E210,몬스터계수[[#Data],[타입]],0),1)*C210,
IF(E210="체력형",INDEX(몬스터계수[[#Data],[숙련도계수]],MATCH(E210,몬스터계수[[#Data],[타입]],0),1)*C210,0))))</f>
        <v>1554.75</v>
      </c>
      <c r="J210">
        <f>IF(E210="공격형",INDEX(몬스터계수[[#Data],[행운계수]],MATCH(E210, 몬스터계수[[#Data],[타입]],0),1)*C210,
IF(E210="방어형",INDEX(몬스터계수[[#Data],[행운계수]],MATCH(E210, 몬스터계수[[#Data],[타입]],0),1)*C210,
IF(E210="회피형",INDEX(몬스터계수[[#Data],[행운계수]],MATCH(E210, 몬스터계수[[#Data],[타입]],0),1)*C210,
IF(E210="체력형",INDEX(몬스터계수[[#Data],[행운계수]],MATCH(E210, 몬스터계수[[#Data],[타입]],0),1)*C210,0))))</f>
        <v>518.25</v>
      </c>
      <c r="K210" s="34">
        <f>ROUND(
(($F210)*참고!$D$5)
+(($G210)*참고!$D$6)
+(($H210)*참고!$D$7)
+(($I210)*참고!$D$8)
+(($J210))*참고!$D$9,0)</f>
        <v>80588</v>
      </c>
      <c r="L210" s="34">
        <f>ROUND(
(($F210)*참고!$E$5)
+(($G210)*참고!$E$6)
+(($H210)*참고!$E$7)
+(($I210)*참고!$E$8)
+(($J210))*참고!$E$9,0)</f>
        <v>46124</v>
      </c>
      <c r="M210" s="34">
        <f>ROUND(
(($F210)*참고!$F$5)
+(($G210)*참고!$F$6)
+(($H210)*참고!$F$7)
+(($I210)*참고!$F$8)
+(($J210))*참고!$F$9,0)</f>
        <v>12956</v>
      </c>
      <c r="N210" s="34">
        <f>ROUND(
(($F210)*참고!$G$5)
+(($G210)*참고!$G$6)
+(($H210)*참고!$G$7)
+(($I210)*참고!$G$8)
+(($J210))*참고!$G$9,0)</f>
        <v>363</v>
      </c>
      <c r="O210" s="34">
        <f>ROUND(
(($F210)*참고!$H$5)
+(($G210)*참고!$H$6)
+(($H210)*참고!$H$7)
+(($I210)*참고!$H$8)
+(($J210))*참고!$H$9,0)</f>
        <v>8551</v>
      </c>
      <c r="P210" s="34">
        <f>ROUND(
(($F210)*참고!$I$5)
+(($G210)*참고!$I$6)
+(($H210)*참고!$I$7)
+(($I210)*참고!$I$8)
+(($J210))*참고!$I$9,0)</f>
        <v>15029</v>
      </c>
      <c r="Q210" s="34">
        <f>ROUND(
(($F210)*참고!$J$5)
+(($G210)*참고!$J$6)
+(($H210)*참고!$J$7)
+(($I210)*참고!$J$8)
+(($J210))*참고!$J$9,0)</f>
        <v>10365</v>
      </c>
      <c r="R210" s="34">
        <f>IF(E210="공격형",(INDEX(몬스터계수[[#Data],[속도]],MATCH(E210, 몬스터계수[[#Data],[타입]],0),1)*속도핸들러_곱계수)*(INT(몬스터밸런스[[#This Row],[Lv]]/속도핸들러_합계수+1)),
IF(E210="방어형",(INDEX(몬스터계수[[#Data],[속도]],MATCH(E210, 몬스터계수[[#Data],[타입]],0),1)*속도핸들러_곱계수)*(INT(몬스터밸런스[[#This Row],[Lv]]/속도핸들러_합계수+1)),
IF(E210="회피형",(INDEX(몬스터계수[[#Data],[속도]],MATCH(E210, 몬스터계수[[#Data],[타입]],0),1)*속도핸들러_곱계수)*(INT(몬스터밸런스[[#This Row],[Lv]]/속도핸들러_합계수+1)),
IF(E210="기본형",(INDEX(몬스터계수[[#Data],[속도]],MATCH(E210, 몬스터계수[[#Data],[타입]],0),1)*속도핸들러_곱계수)*(INT(몬스터밸런스[[#This Row],[Lv]]/속도핸들러_합계수+1)),0))))</f>
        <v>0</v>
      </c>
      <c r="S210">
        <f t="shared" si="10"/>
        <v>2766850</v>
      </c>
      <c r="U210">
        <v>2</v>
      </c>
      <c r="V210">
        <v>208</v>
      </c>
      <c r="W210">
        <f>$Z$1*몬스터밸런스9[[#This Row],[단계]]</f>
        <v>10</v>
      </c>
      <c r="X210" t="s">
        <v>59</v>
      </c>
      <c r="AE210" s="34"/>
      <c r="AF210" s="34"/>
      <c r="AG210" s="34"/>
      <c r="AH210" s="34"/>
      <c r="AI210" s="34"/>
      <c r="AJ210" s="34"/>
      <c r="AK210" s="34">
        <f>몬스터밸런스[[#This Row],[DodgeRate]]*0.2</f>
        <v>2073</v>
      </c>
      <c r="AL210">
        <f t="shared" si="9"/>
        <v>41460</v>
      </c>
    </row>
    <row r="211" spans="1:38">
      <c r="A211">
        <v>2080</v>
      </c>
      <c r="B211">
        <v>209</v>
      </c>
      <c r="C211">
        <f>$F$1*몬스터밸런스[[#This Row],[Lv]]+15</f>
        <v>10415</v>
      </c>
      <c r="E211" t="s">
        <v>479</v>
      </c>
      <c r="F211">
        <f>IF(E211="공격형",INDEX(몬스터계수[[#Data],[생명계수]],MATCH(E211,몬스터계수[[#Data],[타입]],0),1)*C211,
IF(E211="방어형",INDEX(몬스터계수[[#Data],[생명계수]],MATCH(E211,몬스터계수[[#Data],[타입]],0),1)*C211,
IF(E211="회피형",INDEX(몬스터계수[[#Data],[생명계수]],MATCH(E211,몬스터계수[[#Data],[타입]],0),1)*C211,
IF(E211="체력형",INDEX(몬스터계수[[#Data],[생명계수]],MATCH(E211,몬스터계수[[#Data],[타입]],0),1)*C211,0))))*IF(몬스터밸런스[[#This Row],[보스]]=TRUE,2,1)</f>
        <v>5207.5</v>
      </c>
      <c r="G211">
        <f>IF(E211="공격형",INDEX(몬스터계수[[#Data],[힘계수]],MATCH(E211, 몬스터계수[[#Data],[타입]],0),1)*C211,
IF(E211="방어형",INDEX(몬스터계수[[#Data],[힘계수]],MATCH(E211, 몬스터계수[[#Data],[타입]],0),1)*C211,
IF(E211="회피형",INDEX(몬스터계수[[#Data],[힘계수]],MATCH(E211, 몬스터계수[[#Data],[타입]],0),1)*C211,
IF(E211="체력형",INDEX(몬스터계수[[#Data],[힘계수]],MATCH(E211, 몬스터계수[[#Data],[타입]],0),1)*C211,0))))</f>
        <v>2603.75</v>
      </c>
      <c r="H211">
        <f>IF(E211="공격형",INDEX(몬스터계수[[#Data],[근력게수]],MATCH(E211,몬스터계수[[#Data],[타입]],0),1)*C211,
IF(E211="방어형",INDEX(몬스터계수[[#Data],[근력게수]],MATCH(E211,몬스터계수[[#Data],[타입]],0),1)*C211,
IF(E211="회피형",INDEX(몬스터계수[[#Data],[근력게수]],MATCH(E211,몬스터계수[[#Data],[타입]],0),1)*C211,
IF(E211="체력형",INDEX(몬스터계수[[#Data],[근력게수]],MATCH(E211,몬스터계수[[#Data],[타입]],0),1)*C211,0))))</f>
        <v>520.75</v>
      </c>
      <c r="I211">
        <f>IF(E211="공격형",INDEX(몬스터계수[[#Data],[숙련도계수]],MATCH(E211,몬스터계수[[#Data],[타입]],0),1)*C211,
IF(E211="방어형",INDEX(몬스터계수[[#Data],[숙련도계수]],MATCH(E211,몬스터계수[[#Data],[타입]],0),1)*C211,
IF(E211="회피형",INDEX(몬스터계수[[#Data],[숙련도계수]],MATCH(E211,몬스터계수[[#Data],[타입]],0),1)*C211,
IF(E211="체력형",INDEX(몬스터계수[[#Data],[숙련도계수]],MATCH(E211,몬스터계수[[#Data],[타입]],0),1)*C211,0))))</f>
        <v>1562.25</v>
      </c>
      <c r="J211">
        <f>IF(E211="공격형",INDEX(몬스터계수[[#Data],[행운계수]],MATCH(E211, 몬스터계수[[#Data],[타입]],0),1)*C211,
IF(E211="방어형",INDEX(몬스터계수[[#Data],[행운계수]],MATCH(E211, 몬스터계수[[#Data],[타입]],0),1)*C211,
IF(E211="회피형",INDEX(몬스터계수[[#Data],[행운계수]],MATCH(E211, 몬스터계수[[#Data],[타입]],0),1)*C211,
IF(E211="체력형",INDEX(몬스터계수[[#Data],[행운계수]],MATCH(E211, 몬스터계수[[#Data],[타입]],0),1)*C211,0))))</f>
        <v>520.75</v>
      </c>
      <c r="K211" s="34">
        <f>ROUND(
(($F211)*참고!$D$5)
+(($G211)*참고!$D$6)
+(($H211)*참고!$D$7)
+(($I211)*참고!$D$8)
+(($J211))*참고!$D$9,0)</f>
        <v>80977</v>
      </c>
      <c r="L211" s="34">
        <f>ROUND(
(($F211)*참고!$E$5)
+(($G211)*참고!$E$6)
+(($H211)*참고!$E$7)
+(($I211)*참고!$E$8)
+(($J211))*참고!$E$9,0)</f>
        <v>46347</v>
      </c>
      <c r="M211" s="34">
        <f>ROUND(
(($F211)*참고!$F$5)
+(($G211)*참고!$F$6)
+(($H211)*참고!$F$7)
+(($I211)*참고!$F$8)
+(($J211))*참고!$F$9,0)</f>
        <v>13019</v>
      </c>
      <c r="N211" s="34">
        <f>ROUND(
(($F211)*참고!$G$5)
+(($G211)*참고!$G$6)
+(($H211)*참고!$G$7)
+(($I211)*참고!$G$8)
+(($J211))*참고!$G$9,0)</f>
        <v>365</v>
      </c>
      <c r="O211" s="34">
        <f>ROUND(
(($F211)*참고!$H$5)
+(($G211)*참고!$H$6)
+(($H211)*참고!$H$7)
+(($I211)*참고!$H$8)
+(($J211))*참고!$H$9,0)</f>
        <v>8592</v>
      </c>
      <c r="P211" s="34">
        <f>ROUND(
(($F211)*참고!$I$5)
+(($G211)*참고!$I$6)
+(($H211)*참고!$I$7)
+(($I211)*참고!$I$8)
+(($J211))*참고!$I$9,0)</f>
        <v>15102</v>
      </c>
      <c r="Q211" s="34">
        <f>ROUND(
(($F211)*참고!$J$5)
+(($G211)*참고!$J$6)
+(($H211)*참고!$J$7)
+(($I211)*참고!$J$8)
+(($J211))*참고!$J$9,0)</f>
        <v>10415</v>
      </c>
      <c r="R211" s="34">
        <f>IF(E211="공격형",(INDEX(몬스터계수[[#Data],[속도]],MATCH(E211, 몬스터계수[[#Data],[타입]],0),1)*속도핸들러_곱계수)*(INT(몬스터밸런스[[#This Row],[Lv]]/속도핸들러_합계수+1)),
IF(E211="방어형",(INDEX(몬스터계수[[#Data],[속도]],MATCH(E211, 몬스터계수[[#Data],[타입]],0),1)*속도핸들러_곱계수)*(INT(몬스터밸런스[[#This Row],[Lv]]/속도핸들러_합계수+1)),
IF(E211="회피형",(INDEX(몬스터계수[[#Data],[속도]],MATCH(E211, 몬스터계수[[#Data],[타입]],0),1)*속도핸들러_곱계수)*(INT(몬스터밸런스[[#This Row],[Lv]]/속도핸들러_합계수+1)),
IF(E211="기본형",(INDEX(몬스터계수[[#Data],[속도]],MATCH(E211, 몬스터계수[[#Data],[타입]],0),1)*속도핸들러_곱계수)*(INT(몬스터밸런스[[#This Row],[Lv]]/속도핸들러_합계수+1)),0))))</f>
        <v>0</v>
      </c>
      <c r="S211">
        <f t="shared" si="10"/>
        <v>2780222</v>
      </c>
      <c r="U211">
        <v>2</v>
      </c>
      <c r="V211">
        <v>209</v>
      </c>
      <c r="W211">
        <f>$Z$1*몬스터밸런스9[[#This Row],[단계]]</f>
        <v>10</v>
      </c>
      <c r="X211" t="s">
        <v>59</v>
      </c>
      <c r="AE211" s="34"/>
      <c r="AF211" s="34"/>
      <c r="AG211" s="34"/>
      <c r="AH211" s="34"/>
      <c r="AI211" s="34"/>
      <c r="AJ211" s="34"/>
      <c r="AK211" s="34">
        <f>몬스터밸런스[[#This Row],[DodgeRate]]*0.2</f>
        <v>2083</v>
      </c>
      <c r="AL211">
        <f t="shared" si="9"/>
        <v>41660</v>
      </c>
    </row>
    <row r="212" spans="1:38">
      <c r="A212">
        <v>2090</v>
      </c>
      <c r="B212">
        <v>210</v>
      </c>
      <c r="C212">
        <f>$F$1*몬스터밸런스[[#This Row],[Lv]]+15</f>
        <v>10465</v>
      </c>
      <c r="E212" t="s">
        <v>479</v>
      </c>
      <c r="F212">
        <f>IF(E212="공격형",INDEX(몬스터계수[[#Data],[생명계수]],MATCH(E212,몬스터계수[[#Data],[타입]],0),1)*C212,
IF(E212="방어형",INDEX(몬스터계수[[#Data],[생명계수]],MATCH(E212,몬스터계수[[#Data],[타입]],0),1)*C212,
IF(E212="회피형",INDEX(몬스터계수[[#Data],[생명계수]],MATCH(E212,몬스터계수[[#Data],[타입]],0),1)*C212,
IF(E212="체력형",INDEX(몬스터계수[[#Data],[생명계수]],MATCH(E212,몬스터계수[[#Data],[타입]],0),1)*C212,0))))*IF(몬스터밸런스[[#This Row],[보스]]=TRUE,2,1)</f>
        <v>5232.5</v>
      </c>
      <c r="G212">
        <f>IF(E212="공격형",INDEX(몬스터계수[[#Data],[힘계수]],MATCH(E212, 몬스터계수[[#Data],[타입]],0),1)*C212,
IF(E212="방어형",INDEX(몬스터계수[[#Data],[힘계수]],MATCH(E212, 몬스터계수[[#Data],[타입]],0),1)*C212,
IF(E212="회피형",INDEX(몬스터계수[[#Data],[힘계수]],MATCH(E212, 몬스터계수[[#Data],[타입]],0),1)*C212,
IF(E212="체력형",INDEX(몬스터계수[[#Data],[힘계수]],MATCH(E212, 몬스터계수[[#Data],[타입]],0),1)*C212,0))))</f>
        <v>2616.25</v>
      </c>
      <c r="H212">
        <f>IF(E212="공격형",INDEX(몬스터계수[[#Data],[근력게수]],MATCH(E212,몬스터계수[[#Data],[타입]],0),1)*C212,
IF(E212="방어형",INDEX(몬스터계수[[#Data],[근력게수]],MATCH(E212,몬스터계수[[#Data],[타입]],0),1)*C212,
IF(E212="회피형",INDEX(몬스터계수[[#Data],[근력게수]],MATCH(E212,몬스터계수[[#Data],[타입]],0),1)*C212,
IF(E212="체력형",INDEX(몬스터계수[[#Data],[근력게수]],MATCH(E212,몬스터계수[[#Data],[타입]],0),1)*C212,0))))</f>
        <v>523.25</v>
      </c>
      <c r="I212">
        <f>IF(E212="공격형",INDEX(몬스터계수[[#Data],[숙련도계수]],MATCH(E212,몬스터계수[[#Data],[타입]],0),1)*C212,
IF(E212="방어형",INDEX(몬스터계수[[#Data],[숙련도계수]],MATCH(E212,몬스터계수[[#Data],[타입]],0),1)*C212,
IF(E212="회피형",INDEX(몬스터계수[[#Data],[숙련도계수]],MATCH(E212,몬스터계수[[#Data],[타입]],0),1)*C212,
IF(E212="체력형",INDEX(몬스터계수[[#Data],[숙련도계수]],MATCH(E212,몬스터계수[[#Data],[타입]],0),1)*C212,0))))</f>
        <v>1569.75</v>
      </c>
      <c r="J212">
        <f>IF(E212="공격형",INDEX(몬스터계수[[#Data],[행운계수]],MATCH(E212, 몬스터계수[[#Data],[타입]],0),1)*C212,
IF(E212="방어형",INDEX(몬스터계수[[#Data],[행운계수]],MATCH(E212, 몬스터계수[[#Data],[타입]],0),1)*C212,
IF(E212="회피형",INDEX(몬스터계수[[#Data],[행운계수]],MATCH(E212, 몬스터계수[[#Data],[타입]],0),1)*C212,
IF(E212="체력형",INDEX(몬스터계수[[#Data],[행운계수]],MATCH(E212, 몬스터계수[[#Data],[타입]],0),1)*C212,0))))</f>
        <v>523.25</v>
      </c>
      <c r="K212" s="34">
        <f>ROUND(
(($F212)*참고!$D$5)
+(($G212)*참고!$D$6)
+(($H212)*참고!$D$7)
+(($I212)*참고!$D$8)
+(($J212))*참고!$D$9,0)</f>
        <v>81365</v>
      </c>
      <c r="L212" s="34">
        <f>ROUND(
(($F212)*참고!$E$5)
+(($G212)*참고!$E$6)
+(($H212)*참고!$E$7)
+(($I212)*참고!$E$8)
+(($J212))*참고!$E$9,0)</f>
        <v>46569</v>
      </c>
      <c r="M212" s="34">
        <f>ROUND(
(($F212)*참고!$F$5)
+(($G212)*참고!$F$6)
+(($H212)*참고!$F$7)
+(($I212)*참고!$F$8)
+(($J212))*참고!$F$9,0)</f>
        <v>13081</v>
      </c>
      <c r="N212" s="34">
        <f>ROUND(
(($F212)*참고!$G$5)
+(($G212)*참고!$G$6)
+(($H212)*참고!$G$7)
+(($I212)*참고!$G$8)
+(($J212))*참고!$G$9,0)</f>
        <v>366</v>
      </c>
      <c r="O212" s="34">
        <f>ROUND(
(($F212)*참고!$H$5)
+(($G212)*참고!$H$6)
+(($H212)*참고!$H$7)
+(($I212)*참고!$H$8)
+(($J212))*참고!$H$9,0)</f>
        <v>8634</v>
      </c>
      <c r="P212" s="34">
        <f>ROUND(
(($F212)*참고!$I$5)
+(($G212)*참고!$I$6)
+(($H212)*참고!$I$7)
+(($I212)*참고!$I$8)
+(($J212))*참고!$I$9,0)</f>
        <v>15174</v>
      </c>
      <c r="Q212" s="34">
        <f>ROUND(
(($F212)*참고!$J$5)
+(($G212)*참고!$J$6)
+(($H212)*참고!$J$7)
+(($I212)*참고!$J$8)
+(($J212))*참고!$J$9,0)</f>
        <v>10465</v>
      </c>
      <c r="R212" s="34">
        <f>IF(E212="공격형",(INDEX(몬스터계수[[#Data],[속도]],MATCH(E212, 몬스터계수[[#Data],[타입]],0),1)*속도핸들러_곱계수)*(INT(몬스터밸런스[[#This Row],[Lv]]/속도핸들러_합계수+1)),
IF(E212="방어형",(INDEX(몬스터계수[[#Data],[속도]],MATCH(E212, 몬스터계수[[#Data],[타입]],0),1)*속도핸들러_곱계수)*(INT(몬스터밸런스[[#This Row],[Lv]]/속도핸들러_합계수+1)),
IF(E212="회피형",(INDEX(몬스터계수[[#Data],[속도]],MATCH(E212, 몬스터계수[[#Data],[타입]],0),1)*속도핸들러_곱계수)*(INT(몬스터밸런스[[#This Row],[Lv]]/속도핸들러_합계수+1)),
IF(E212="기본형",(INDEX(몬스터계수[[#Data],[속도]],MATCH(E212, 몬스터계수[[#Data],[타입]],0),1)*속도핸들러_곱계수)*(INT(몬스터밸런스[[#This Row],[Lv]]/속도핸들러_합계수+1)),0))))</f>
        <v>0</v>
      </c>
      <c r="S212">
        <f t="shared" si="10"/>
        <v>2793537.5</v>
      </c>
      <c r="U212">
        <v>2</v>
      </c>
      <c r="V212">
        <v>210</v>
      </c>
      <c r="W212">
        <f>$Z$1*몬스터밸런스9[[#This Row],[단계]]</f>
        <v>10</v>
      </c>
      <c r="X212" t="s">
        <v>59</v>
      </c>
      <c r="AE212" s="34"/>
      <c r="AF212" s="34"/>
      <c r="AG212" s="34"/>
      <c r="AH212" s="34"/>
      <c r="AI212" s="34"/>
      <c r="AJ212" s="34"/>
      <c r="AK212" s="34">
        <f>몬스터밸런스[[#This Row],[DodgeRate]]*0.2</f>
        <v>2093</v>
      </c>
      <c r="AL212">
        <f t="shared" si="9"/>
        <v>41860</v>
      </c>
    </row>
    <row r="213" spans="1:38">
      <c r="A213">
        <v>2100</v>
      </c>
      <c r="B213">
        <v>211</v>
      </c>
      <c r="C213">
        <f>$F$1*몬스터밸런스[[#This Row],[Lv]]+15</f>
        <v>10515</v>
      </c>
      <c r="E213" t="s">
        <v>479</v>
      </c>
      <c r="F213">
        <f>IF(E213="공격형",INDEX(몬스터계수[[#Data],[생명계수]],MATCH(E213,몬스터계수[[#Data],[타입]],0),1)*C213,
IF(E213="방어형",INDEX(몬스터계수[[#Data],[생명계수]],MATCH(E213,몬스터계수[[#Data],[타입]],0),1)*C213,
IF(E213="회피형",INDEX(몬스터계수[[#Data],[생명계수]],MATCH(E213,몬스터계수[[#Data],[타입]],0),1)*C213,
IF(E213="체력형",INDEX(몬스터계수[[#Data],[생명계수]],MATCH(E213,몬스터계수[[#Data],[타입]],0),1)*C213,0))))*IF(몬스터밸런스[[#This Row],[보스]]=TRUE,2,1)</f>
        <v>5257.5</v>
      </c>
      <c r="G213">
        <f>IF(E213="공격형",INDEX(몬스터계수[[#Data],[힘계수]],MATCH(E213, 몬스터계수[[#Data],[타입]],0),1)*C213,
IF(E213="방어형",INDEX(몬스터계수[[#Data],[힘계수]],MATCH(E213, 몬스터계수[[#Data],[타입]],0),1)*C213,
IF(E213="회피형",INDEX(몬스터계수[[#Data],[힘계수]],MATCH(E213, 몬스터계수[[#Data],[타입]],0),1)*C213,
IF(E213="체력형",INDEX(몬스터계수[[#Data],[힘계수]],MATCH(E213, 몬스터계수[[#Data],[타입]],0),1)*C213,0))))</f>
        <v>2628.75</v>
      </c>
      <c r="H213">
        <f>IF(E213="공격형",INDEX(몬스터계수[[#Data],[근력게수]],MATCH(E213,몬스터계수[[#Data],[타입]],0),1)*C213,
IF(E213="방어형",INDEX(몬스터계수[[#Data],[근력게수]],MATCH(E213,몬스터계수[[#Data],[타입]],0),1)*C213,
IF(E213="회피형",INDEX(몬스터계수[[#Data],[근력게수]],MATCH(E213,몬스터계수[[#Data],[타입]],0),1)*C213,
IF(E213="체력형",INDEX(몬스터계수[[#Data],[근력게수]],MATCH(E213,몬스터계수[[#Data],[타입]],0),1)*C213,0))))</f>
        <v>525.75</v>
      </c>
      <c r="I213">
        <f>IF(E213="공격형",INDEX(몬스터계수[[#Data],[숙련도계수]],MATCH(E213,몬스터계수[[#Data],[타입]],0),1)*C213,
IF(E213="방어형",INDEX(몬스터계수[[#Data],[숙련도계수]],MATCH(E213,몬스터계수[[#Data],[타입]],0),1)*C213,
IF(E213="회피형",INDEX(몬스터계수[[#Data],[숙련도계수]],MATCH(E213,몬스터계수[[#Data],[타입]],0),1)*C213,
IF(E213="체력형",INDEX(몬스터계수[[#Data],[숙련도계수]],MATCH(E213,몬스터계수[[#Data],[타입]],0),1)*C213,0))))</f>
        <v>1577.25</v>
      </c>
      <c r="J213">
        <f>IF(E213="공격형",INDEX(몬스터계수[[#Data],[행운계수]],MATCH(E213, 몬스터계수[[#Data],[타입]],0),1)*C213,
IF(E213="방어형",INDEX(몬스터계수[[#Data],[행운계수]],MATCH(E213, 몬스터계수[[#Data],[타입]],0),1)*C213,
IF(E213="회피형",INDEX(몬스터계수[[#Data],[행운계수]],MATCH(E213, 몬스터계수[[#Data],[타입]],0),1)*C213,
IF(E213="체력형",INDEX(몬스터계수[[#Data],[행운계수]],MATCH(E213, 몬스터계수[[#Data],[타입]],0),1)*C213,0))))</f>
        <v>525.75</v>
      </c>
      <c r="K213" s="34">
        <f>ROUND(
(($F213)*참고!$D$5)
+(($G213)*참고!$D$6)
+(($H213)*참고!$D$7)
+(($I213)*참고!$D$8)
+(($J213))*참고!$D$9,0)</f>
        <v>81754</v>
      </c>
      <c r="L213" s="34">
        <f>ROUND(
(($F213)*참고!$E$5)
+(($G213)*참고!$E$6)
+(($H213)*참고!$E$7)
+(($I213)*참고!$E$8)
+(($J213))*참고!$E$9,0)</f>
        <v>46792</v>
      </c>
      <c r="M213" s="34">
        <f>ROUND(
(($F213)*참고!$F$5)
+(($G213)*참고!$F$6)
+(($H213)*참고!$F$7)
+(($I213)*참고!$F$8)
+(($J213))*참고!$F$9,0)</f>
        <v>13144</v>
      </c>
      <c r="N213" s="34">
        <f>ROUND(
(($F213)*참고!$G$5)
+(($G213)*참고!$G$6)
+(($H213)*참고!$G$7)
+(($I213)*참고!$G$8)
+(($J213))*참고!$G$9,0)</f>
        <v>368</v>
      </c>
      <c r="O213" s="34">
        <f>ROUND(
(($F213)*참고!$H$5)
+(($G213)*참고!$H$6)
+(($H213)*참고!$H$7)
+(($I213)*참고!$H$8)
+(($J213))*참고!$H$9,0)</f>
        <v>8675</v>
      </c>
      <c r="P213" s="34">
        <f>ROUND(
(($F213)*참고!$I$5)
+(($G213)*참고!$I$6)
+(($H213)*참고!$I$7)
+(($I213)*참고!$I$8)
+(($J213))*참고!$I$9,0)</f>
        <v>15247</v>
      </c>
      <c r="Q213" s="34">
        <f>ROUND(
(($F213)*참고!$J$5)
+(($G213)*참고!$J$6)
+(($H213)*참고!$J$7)
+(($I213)*참고!$J$8)
+(($J213))*참고!$J$9,0)</f>
        <v>10515</v>
      </c>
      <c r="R213" s="34">
        <f>IF(E213="공격형",(INDEX(몬스터계수[[#Data],[속도]],MATCH(E213, 몬스터계수[[#Data],[타입]],0),1)*속도핸들러_곱계수)*(INT(몬스터밸런스[[#This Row],[Lv]]/속도핸들러_합계수+1)),
IF(E213="방어형",(INDEX(몬스터계수[[#Data],[속도]],MATCH(E213, 몬스터계수[[#Data],[타입]],0),1)*속도핸들러_곱계수)*(INT(몬스터밸런스[[#This Row],[Lv]]/속도핸들러_합계수+1)),
IF(E213="회피형",(INDEX(몬스터계수[[#Data],[속도]],MATCH(E213, 몬스터계수[[#Data],[타입]],0),1)*속도핸들러_곱계수)*(INT(몬스터밸런스[[#This Row],[Lv]]/속도핸들러_합계수+1)),
IF(E213="기본형",(INDEX(몬스터계수[[#Data],[속도]],MATCH(E213, 몬스터계수[[#Data],[타입]],0),1)*속도핸들러_곱계수)*(INT(몬스터밸런스[[#This Row],[Lv]]/속도핸들러_합계수+1)),0))))</f>
        <v>0</v>
      </c>
      <c r="S213">
        <f t="shared" si="10"/>
        <v>2806909.5</v>
      </c>
      <c r="U213">
        <v>3</v>
      </c>
      <c r="V213">
        <v>211</v>
      </c>
      <c r="W213">
        <f>$Z$1*몬스터밸런스9[[#This Row],[단계]]</f>
        <v>15</v>
      </c>
      <c r="X213" t="s">
        <v>59</v>
      </c>
      <c r="AE213" s="34"/>
      <c r="AF213" s="34"/>
      <c r="AG213" s="34"/>
      <c r="AH213" s="34"/>
      <c r="AI213" s="34"/>
      <c r="AJ213" s="34"/>
      <c r="AK213" s="34">
        <f>몬스터밸런스[[#This Row],[DodgeRate]]*0.2</f>
        <v>2103</v>
      </c>
      <c r="AL213">
        <f t="shared" ref="AL213:AL238" si="11">(AE213*HP계수) + (AF213*attack계수) + (AG213*Defense계수) + (AH213*CriticalRate계수) + (AI213*CriticalDamage계수) + (AJ213*Accuracy계수) + (AK213*DodgeRate계수)</f>
        <v>42060</v>
      </c>
    </row>
    <row r="214" spans="1:38">
      <c r="A214">
        <v>2110</v>
      </c>
      <c r="B214">
        <v>212</v>
      </c>
      <c r="C214">
        <f>$F$1*몬스터밸런스[[#This Row],[Lv]]+15</f>
        <v>10565</v>
      </c>
      <c r="E214" t="s">
        <v>479</v>
      </c>
      <c r="F214">
        <f>IF(E214="공격형",INDEX(몬스터계수[[#Data],[생명계수]],MATCH(E214,몬스터계수[[#Data],[타입]],0),1)*C214,
IF(E214="방어형",INDEX(몬스터계수[[#Data],[생명계수]],MATCH(E214,몬스터계수[[#Data],[타입]],0),1)*C214,
IF(E214="회피형",INDEX(몬스터계수[[#Data],[생명계수]],MATCH(E214,몬스터계수[[#Data],[타입]],0),1)*C214,
IF(E214="체력형",INDEX(몬스터계수[[#Data],[생명계수]],MATCH(E214,몬스터계수[[#Data],[타입]],0),1)*C214,0))))*IF(몬스터밸런스[[#This Row],[보스]]=TRUE,2,1)</f>
        <v>5282.5</v>
      </c>
      <c r="G214">
        <f>IF(E214="공격형",INDEX(몬스터계수[[#Data],[힘계수]],MATCH(E214, 몬스터계수[[#Data],[타입]],0),1)*C214,
IF(E214="방어형",INDEX(몬스터계수[[#Data],[힘계수]],MATCH(E214, 몬스터계수[[#Data],[타입]],0),1)*C214,
IF(E214="회피형",INDEX(몬스터계수[[#Data],[힘계수]],MATCH(E214, 몬스터계수[[#Data],[타입]],0),1)*C214,
IF(E214="체력형",INDEX(몬스터계수[[#Data],[힘계수]],MATCH(E214, 몬스터계수[[#Data],[타입]],0),1)*C214,0))))</f>
        <v>2641.25</v>
      </c>
      <c r="H214">
        <f>IF(E214="공격형",INDEX(몬스터계수[[#Data],[근력게수]],MATCH(E214,몬스터계수[[#Data],[타입]],0),1)*C214,
IF(E214="방어형",INDEX(몬스터계수[[#Data],[근력게수]],MATCH(E214,몬스터계수[[#Data],[타입]],0),1)*C214,
IF(E214="회피형",INDEX(몬스터계수[[#Data],[근력게수]],MATCH(E214,몬스터계수[[#Data],[타입]],0),1)*C214,
IF(E214="체력형",INDEX(몬스터계수[[#Data],[근력게수]],MATCH(E214,몬스터계수[[#Data],[타입]],0),1)*C214,0))))</f>
        <v>528.25</v>
      </c>
      <c r="I214">
        <f>IF(E214="공격형",INDEX(몬스터계수[[#Data],[숙련도계수]],MATCH(E214,몬스터계수[[#Data],[타입]],0),1)*C214,
IF(E214="방어형",INDEX(몬스터계수[[#Data],[숙련도계수]],MATCH(E214,몬스터계수[[#Data],[타입]],0),1)*C214,
IF(E214="회피형",INDEX(몬스터계수[[#Data],[숙련도계수]],MATCH(E214,몬스터계수[[#Data],[타입]],0),1)*C214,
IF(E214="체력형",INDEX(몬스터계수[[#Data],[숙련도계수]],MATCH(E214,몬스터계수[[#Data],[타입]],0),1)*C214,0))))</f>
        <v>1584.75</v>
      </c>
      <c r="J214">
        <f>IF(E214="공격형",INDEX(몬스터계수[[#Data],[행운계수]],MATCH(E214, 몬스터계수[[#Data],[타입]],0),1)*C214,
IF(E214="방어형",INDEX(몬스터계수[[#Data],[행운계수]],MATCH(E214, 몬스터계수[[#Data],[타입]],0),1)*C214,
IF(E214="회피형",INDEX(몬스터계수[[#Data],[행운계수]],MATCH(E214, 몬스터계수[[#Data],[타입]],0),1)*C214,
IF(E214="체력형",INDEX(몬스터계수[[#Data],[행운계수]],MATCH(E214, 몬스터계수[[#Data],[타입]],0),1)*C214,0))))</f>
        <v>528.25</v>
      </c>
      <c r="K214" s="34">
        <f>ROUND(
(($F214)*참고!$D$5)
+(($G214)*참고!$D$6)
+(($H214)*참고!$D$7)
+(($I214)*참고!$D$8)
+(($J214))*참고!$D$9,0)</f>
        <v>82143</v>
      </c>
      <c r="L214" s="34">
        <f>ROUND(
(($F214)*참고!$E$5)
+(($G214)*참고!$E$6)
+(($H214)*참고!$E$7)
+(($I214)*참고!$E$8)
+(($J214))*참고!$E$9,0)</f>
        <v>47014</v>
      </c>
      <c r="M214" s="34">
        <f>ROUND(
(($F214)*참고!$F$5)
+(($G214)*참고!$F$6)
+(($H214)*참고!$F$7)
+(($I214)*참고!$F$8)
+(($J214))*참고!$F$9,0)</f>
        <v>13206</v>
      </c>
      <c r="N214" s="34">
        <f>ROUND(
(($F214)*참고!$G$5)
+(($G214)*참고!$G$6)
+(($H214)*참고!$G$7)
+(($I214)*참고!$G$8)
+(($J214))*참고!$G$9,0)</f>
        <v>370</v>
      </c>
      <c r="O214" s="34">
        <f>ROUND(
(($F214)*참고!$H$5)
+(($G214)*참고!$H$6)
+(($H214)*참고!$H$7)
+(($I214)*참고!$H$8)
+(($J214))*참고!$H$9,0)</f>
        <v>8716</v>
      </c>
      <c r="P214" s="34">
        <f>ROUND(
(($F214)*참고!$I$5)
+(($G214)*참고!$I$6)
+(($H214)*참고!$I$7)
+(($I214)*참고!$I$8)
+(($J214))*참고!$I$9,0)</f>
        <v>15319</v>
      </c>
      <c r="Q214" s="34">
        <f>ROUND(
(($F214)*참고!$J$5)
+(($G214)*참고!$J$6)
+(($H214)*참고!$J$7)
+(($I214)*참고!$J$8)
+(($J214))*참고!$J$9,0)</f>
        <v>10565</v>
      </c>
      <c r="R214" s="34">
        <f>IF(E214="공격형",(INDEX(몬스터계수[[#Data],[속도]],MATCH(E214, 몬스터계수[[#Data],[타입]],0),1)*속도핸들러_곱계수)*(INT(몬스터밸런스[[#This Row],[Lv]]/속도핸들러_합계수+1)),
IF(E214="방어형",(INDEX(몬스터계수[[#Data],[속도]],MATCH(E214, 몬스터계수[[#Data],[타입]],0),1)*속도핸들러_곱계수)*(INT(몬스터밸런스[[#This Row],[Lv]]/속도핸들러_합계수+1)),
IF(E214="회피형",(INDEX(몬스터계수[[#Data],[속도]],MATCH(E214, 몬스터계수[[#Data],[타입]],0),1)*속도핸들러_곱계수)*(INT(몬스터밸런스[[#This Row],[Lv]]/속도핸들러_합계수+1)),
IF(E214="기본형",(INDEX(몬스터계수[[#Data],[속도]],MATCH(E214, 몬스터계수[[#Data],[타입]],0),1)*속도핸들러_곱계수)*(INT(몬스터밸런스[[#This Row],[Lv]]/속도핸들러_합계수+1)),0))))</f>
        <v>0</v>
      </c>
      <c r="S214">
        <f t="shared" si="10"/>
        <v>2820238.5</v>
      </c>
      <c r="U214">
        <v>3</v>
      </c>
      <c r="V214">
        <v>212</v>
      </c>
      <c r="W214">
        <f>$Z$1*몬스터밸런스9[[#This Row],[단계]]</f>
        <v>15</v>
      </c>
      <c r="X214" t="s">
        <v>59</v>
      </c>
      <c r="AE214" s="34"/>
      <c r="AF214" s="34"/>
      <c r="AG214" s="34"/>
      <c r="AH214" s="34"/>
      <c r="AI214" s="34"/>
      <c r="AJ214" s="34"/>
      <c r="AK214" s="34">
        <f>몬스터밸런스[[#This Row],[DodgeRate]]*0.2</f>
        <v>2113</v>
      </c>
      <c r="AL214">
        <f t="shared" si="11"/>
        <v>42260</v>
      </c>
    </row>
    <row r="215" spans="1:38">
      <c r="A215">
        <v>2120</v>
      </c>
      <c r="B215">
        <v>213</v>
      </c>
      <c r="C215">
        <f>$F$1*몬스터밸런스[[#This Row],[Lv]]+15</f>
        <v>10615</v>
      </c>
      <c r="E215" t="s">
        <v>479</v>
      </c>
      <c r="F215">
        <f>IF(E215="공격형",INDEX(몬스터계수[[#Data],[생명계수]],MATCH(E215,몬스터계수[[#Data],[타입]],0),1)*C215,
IF(E215="방어형",INDEX(몬스터계수[[#Data],[생명계수]],MATCH(E215,몬스터계수[[#Data],[타입]],0),1)*C215,
IF(E215="회피형",INDEX(몬스터계수[[#Data],[생명계수]],MATCH(E215,몬스터계수[[#Data],[타입]],0),1)*C215,
IF(E215="체력형",INDEX(몬스터계수[[#Data],[생명계수]],MATCH(E215,몬스터계수[[#Data],[타입]],0),1)*C215,0))))*IF(몬스터밸런스[[#This Row],[보스]]=TRUE,2,1)</f>
        <v>5307.5</v>
      </c>
      <c r="G215">
        <f>IF(E215="공격형",INDEX(몬스터계수[[#Data],[힘계수]],MATCH(E215, 몬스터계수[[#Data],[타입]],0),1)*C215,
IF(E215="방어형",INDEX(몬스터계수[[#Data],[힘계수]],MATCH(E215, 몬스터계수[[#Data],[타입]],0),1)*C215,
IF(E215="회피형",INDEX(몬스터계수[[#Data],[힘계수]],MATCH(E215, 몬스터계수[[#Data],[타입]],0),1)*C215,
IF(E215="체력형",INDEX(몬스터계수[[#Data],[힘계수]],MATCH(E215, 몬스터계수[[#Data],[타입]],0),1)*C215,0))))</f>
        <v>2653.75</v>
      </c>
      <c r="H215">
        <f>IF(E215="공격형",INDEX(몬스터계수[[#Data],[근력게수]],MATCH(E215,몬스터계수[[#Data],[타입]],0),1)*C215,
IF(E215="방어형",INDEX(몬스터계수[[#Data],[근력게수]],MATCH(E215,몬스터계수[[#Data],[타입]],0),1)*C215,
IF(E215="회피형",INDEX(몬스터계수[[#Data],[근력게수]],MATCH(E215,몬스터계수[[#Data],[타입]],0),1)*C215,
IF(E215="체력형",INDEX(몬스터계수[[#Data],[근력게수]],MATCH(E215,몬스터계수[[#Data],[타입]],0),1)*C215,0))))</f>
        <v>530.75</v>
      </c>
      <c r="I215">
        <f>IF(E215="공격형",INDEX(몬스터계수[[#Data],[숙련도계수]],MATCH(E215,몬스터계수[[#Data],[타입]],0),1)*C215,
IF(E215="방어형",INDEX(몬스터계수[[#Data],[숙련도계수]],MATCH(E215,몬스터계수[[#Data],[타입]],0),1)*C215,
IF(E215="회피형",INDEX(몬스터계수[[#Data],[숙련도계수]],MATCH(E215,몬스터계수[[#Data],[타입]],0),1)*C215,
IF(E215="체력형",INDEX(몬스터계수[[#Data],[숙련도계수]],MATCH(E215,몬스터계수[[#Data],[타입]],0),1)*C215,0))))</f>
        <v>1592.25</v>
      </c>
      <c r="J215">
        <f>IF(E215="공격형",INDEX(몬스터계수[[#Data],[행운계수]],MATCH(E215, 몬스터계수[[#Data],[타입]],0),1)*C215,
IF(E215="방어형",INDEX(몬스터계수[[#Data],[행운계수]],MATCH(E215, 몬스터계수[[#Data],[타입]],0),1)*C215,
IF(E215="회피형",INDEX(몬스터계수[[#Data],[행운계수]],MATCH(E215, 몬스터계수[[#Data],[타입]],0),1)*C215,
IF(E215="체력형",INDEX(몬스터계수[[#Data],[행운계수]],MATCH(E215, 몬스터계수[[#Data],[타입]],0),1)*C215,0))))</f>
        <v>530.75</v>
      </c>
      <c r="K215" s="34">
        <f>ROUND(
(($F215)*참고!$D$5)
+(($G215)*참고!$D$6)
+(($H215)*참고!$D$7)
+(($I215)*참고!$D$8)
+(($J215))*참고!$D$9,0)</f>
        <v>82532</v>
      </c>
      <c r="L215" s="34">
        <f>ROUND(
(($F215)*참고!$E$5)
+(($G215)*참고!$E$6)
+(($H215)*참고!$E$7)
+(($I215)*참고!$E$8)
+(($J215))*참고!$E$9,0)</f>
        <v>47237</v>
      </c>
      <c r="M215" s="34">
        <f>ROUND(
(($F215)*참고!$F$5)
+(($G215)*참고!$F$6)
+(($H215)*참고!$F$7)
+(($I215)*참고!$F$8)
+(($J215))*참고!$F$9,0)</f>
        <v>13269</v>
      </c>
      <c r="N215" s="34">
        <f>ROUND(
(($F215)*참고!$G$5)
+(($G215)*참고!$G$6)
+(($H215)*참고!$G$7)
+(($I215)*참고!$G$8)
+(($J215))*참고!$G$9,0)</f>
        <v>372</v>
      </c>
      <c r="O215" s="34">
        <f>ROUND(
(($F215)*참고!$H$5)
+(($G215)*참고!$H$6)
+(($H215)*참고!$H$7)
+(($I215)*참고!$H$8)
+(($J215))*참고!$H$9,0)</f>
        <v>8757</v>
      </c>
      <c r="P215" s="34">
        <f>ROUND(
(($F215)*참고!$I$5)
+(($G215)*참고!$I$6)
+(($H215)*참고!$I$7)
+(($I215)*참고!$I$8)
+(($J215))*참고!$I$9,0)</f>
        <v>15392</v>
      </c>
      <c r="Q215" s="34">
        <f>ROUND(
(($F215)*참고!$J$5)
+(($G215)*참고!$J$6)
+(($H215)*참고!$J$7)
+(($I215)*참고!$J$8)
+(($J215))*참고!$J$9,0)</f>
        <v>10615</v>
      </c>
      <c r="R215" s="34">
        <f>IF(E215="공격형",(INDEX(몬스터계수[[#Data],[속도]],MATCH(E215, 몬스터계수[[#Data],[타입]],0),1)*속도핸들러_곱계수)*(INT(몬스터밸런스[[#This Row],[Lv]]/속도핸들러_합계수+1)),
IF(E215="방어형",(INDEX(몬스터계수[[#Data],[속도]],MATCH(E215, 몬스터계수[[#Data],[타입]],0),1)*속도핸들러_곱계수)*(INT(몬스터밸런스[[#This Row],[Lv]]/속도핸들러_합계수+1)),
IF(E215="회피형",(INDEX(몬스터계수[[#Data],[속도]],MATCH(E215, 몬스터계수[[#Data],[타입]],0),1)*속도핸들러_곱계수)*(INT(몬스터밸런스[[#This Row],[Lv]]/속도핸들러_합계수+1)),
IF(E215="기본형",(INDEX(몬스터계수[[#Data],[속도]],MATCH(E215, 몬스터계수[[#Data],[타입]],0),1)*속도핸들러_곱계수)*(INT(몬스터밸런스[[#This Row],[Lv]]/속도핸들러_합계수+1)),0))))</f>
        <v>0</v>
      </c>
      <c r="S215">
        <f t="shared" si="10"/>
        <v>2833610.5</v>
      </c>
      <c r="U215">
        <v>3</v>
      </c>
      <c r="V215">
        <v>213</v>
      </c>
      <c r="W215">
        <f>$Z$1*몬스터밸런스9[[#This Row],[단계]]</f>
        <v>15</v>
      </c>
      <c r="X215" t="s">
        <v>59</v>
      </c>
      <c r="AE215" s="34"/>
      <c r="AF215" s="34"/>
      <c r="AG215" s="34"/>
      <c r="AH215" s="34"/>
      <c r="AI215" s="34"/>
      <c r="AJ215" s="34"/>
      <c r="AK215" s="34">
        <f>몬스터밸런스[[#This Row],[DodgeRate]]*0.2</f>
        <v>2123</v>
      </c>
      <c r="AL215">
        <f t="shared" si="11"/>
        <v>42460</v>
      </c>
    </row>
    <row r="216" spans="1:38">
      <c r="A216">
        <v>2130</v>
      </c>
      <c r="B216">
        <v>214</v>
      </c>
      <c r="C216">
        <f>$F$1*몬스터밸런스[[#This Row],[Lv]]+15</f>
        <v>10665</v>
      </c>
      <c r="E216" t="s">
        <v>479</v>
      </c>
      <c r="F216">
        <f>IF(E216="공격형",INDEX(몬스터계수[[#Data],[생명계수]],MATCH(E216,몬스터계수[[#Data],[타입]],0),1)*C216,
IF(E216="방어형",INDEX(몬스터계수[[#Data],[생명계수]],MATCH(E216,몬스터계수[[#Data],[타입]],0),1)*C216,
IF(E216="회피형",INDEX(몬스터계수[[#Data],[생명계수]],MATCH(E216,몬스터계수[[#Data],[타입]],0),1)*C216,
IF(E216="체력형",INDEX(몬스터계수[[#Data],[생명계수]],MATCH(E216,몬스터계수[[#Data],[타입]],0),1)*C216,0))))*IF(몬스터밸런스[[#This Row],[보스]]=TRUE,2,1)</f>
        <v>5332.5</v>
      </c>
      <c r="G216">
        <f>IF(E216="공격형",INDEX(몬스터계수[[#Data],[힘계수]],MATCH(E216, 몬스터계수[[#Data],[타입]],0),1)*C216,
IF(E216="방어형",INDEX(몬스터계수[[#Data],[힘계수]],MATCH(E216, 몬스터계수[[#Data],[타입]],0),1)*C216,
IF(E216="회피형",INDEX(몬스터계수[[#Data],[힘계수]],MATCH(E216, 몬스터계수[[#Data],[타입]],0),1)*C216,
IF(E216="체력형",INDEX(몬스터계수[[#Data],[힘계수]],MATCH(E216, 몬스터계수[[#Data],[타입]],0),1)*C216,0))))</f>
        <v>2666.25</v>
      </c>
      <c r="H216">
        <f>IF(E216="공격형",INDEX(몬스터계수[[#Data],[근력게수]],MATCH(E216,몬스터계수[[#Data],[타입]],0),1)*C216,
IF(E216="방어형",INDEX(몬스터계수[[#Data],[근력게수]],MATCH(E216,몬스터계수[[#Data],[타입]],0),1)*C216,
IF(E216="회피형",INDEX(몬스터계수[[#Data],[근력게수]],MATCH(E216,몬스터계수[[#Data],[타입]],0),1)*C216,
IF(E216="체력형",INDEX(몬스터계수[[#Data],[근력게수]],MATCH(E216,몬스터계수[[#Data],[타입]],0),1)*C216,0))))</f>
        <v>533.25</v>
      </c>
      <c r="I216">
        <f>IF(E216="공격형",INDEX(몬스터계수[[#Data],[숙련도계수]],MATCH(E216,몬스터계수[[#Data],[타입]],0),1)*C216,
IF(E216="방어형",INDEX(몬스터계수[[#Data],[숙련도계수]],MATCH(E216,몬스터계수[[#Data],[타입]],0),1)*C216,
IF(E216="회피형",INDEX(몬스터계수[[#Data],[숙련도계수]],MATCH(E216,몬스터계수[[#Data],[타입]],0),1)*C216,
IF(E216="체력형",INDEX(몬스터계수[[#Data],[숙련도계수]],MATCH(E216,몬스터계수[[#Data],[타입]],0),1)*C216,0))))</f>
        <v>1599.75</v>
      </c>
      <c r="J216">
        <f>IF(E216="공격형",INDEX(몬스터계수[[#Data],[행운계수]],MATCH(E216, 몬스터계수[[#Data],[타입]],0),1)*C216,
IF(E216="방어형",INDEX(몬스터계수[[#Data],[행운계수]],MATCH(E216, 몬스터계수[[#Data],[타입]],0),1)*C216,
IF(E216="회피형",INDEX(몬스터계수[[#Data],[행운계수]],MATCH(E216, 몬스터계수[[#Data],[타입]],0),1)*C216,
IF(E216="체력형",INDEX(몬스터계수[[#Data],[행운계수]],MATCH(E216, 몬스터계수[[#Data],[타입]],0),1)*C216,0))))</f>
        <v>533.25</v>
      </c>
      <c r="K216" s="34">
        <f>ROUND(
(($F216)*참고!$D$5)
+(($G216)*참고!$D$6)
+(($H216)*참고!$D$7)
+(($I216)*참고!$D$8)
+(($J216))*참고!$D$9,0)</f>
        <v>82920</v>
      </c>
      <c r="L216" s="34">
        <f>ROUND(
(($F216)*참고!$E$5)
+(($G216)*참고!$E$6)
+(($H216)*참고!$E$7)
+(($I216)*참고!$E$8)
+(($J216))*참고!$E$9,0)</f>
        <v>47459</v>
      </c>
      <c r="M216" s="34">
        <f>ROUND(
(($F216)*참고!$F$5)
+(($G216)*참고!$F$6)
+(($H216)*참고!$F$7)
+(($I216)*참고!$F$8)
+(($J216))*참고!$F$9,0)</f>
        <v>13331</v>
      </c>
      <c r="N216" s="34">
        <f>ROUND(
(($F216)*참고!$G$5)
+(($G216)*참고!$G$6)
+(($H216)*참고!$G$7)
+(($I216)*참고!$G$8)
+(($J216))*참고!$G$9,0)</f>
        <v>373</v>
      </c>
      <c r="O216" s="34">
        <f>ROUND(
(($F216)*참고!$H$5)
+(($G216)*참고!$H$6)
+(($H216)*참고!$H$7)
+(($I216)*참고!$H$8)
+(($J216))*참고!$H$9,0)</f>
        <v>8799</v>
      </c>
      <c r="P216" s="34">
        <f>ROUND(
(($F216)*참고!$I$5)
+(($G216)*참고!$I$6)
+(($H216)*참고!$I$7)
+(($I216)*참고!$I$8)
+(($J216))*참고!$I$9,0)</f>
        <v>15464</v>
      </c>
      <c r="Q216" s="34">
        <f>ROUND(
(($F216)*참고!$J$5)
+(($G216)*참고!$J$6)
+(($H216)*참고!$J$7)
+(($I216)*참고!$J$8)
+(($J216))*참고!$J$9,0)</f>
        <v>10665</v>
      </c>
      <c r="R216" s="34">
        <f>IF(E216="공격형",(INDEX(몬스터계수[[#Data],[속도]],MATCH(E216, 몬스터계수[[#Data],[타입]],0),1)*속도핸들러_곱계수)*(INT(몬스터밸런스[[#This Row],[Lv]]/속도핸들러_합계수+1)),
IF(E216="방어형",(INDEX(몬스터계수[[#Data],[속도]],MATCH(E216, 몬스터계수[[#Data],[타입]],0),1)*속도핸들러_곱계수)*(INT(몬스터밸런스[[#This Row],[Lv]]/속도핸들러_합계수+1)),
IF(E216="회피형",(INDEX(몬스터계수[[#Data],[속도]],MATCH(E216, 몬스터계수[[#Data],[타입]],0),1)*속도핸들러_곱계수)*(INT(몬스터밸런스[[#This Row],[Lv]]/속도핸들러_합계수+1)),
IF(E216="기본형",(INDEX(몬스터계수[[#Data],[속도]],MATCH(E216, 몬스터계수[[#Data],[타입]],0),1)*속도핸들러_곱계수)*(INT(몬스터밸런스[[#This Row],[Lv]]/속도핸들러_합계수+1)),0))))</f>
        <v>0</v>
      </c>
      <c r="S216">
        <f t="shared" si="10"/>
        <v>2846926</v>
      </c>
      <c r="U216">
        <v>3</v>
      </c>
      <c r="V216">
        <v>214</v>
      </c>
      <c r="W216">
        <f>$Z$1*몬스터밸런스9[[#This Row],[단계]]</f>
        <v>15</v>
      </c>
      <c r="X216" t="s">
        <v>59</v>
      </c>
      <c r="AE216" s="34"/>
      <c r="AF216" s="34"/>
      <c r="AG216" s="34"/>
      <c r="AH216" s="34"/>
      <c r="AI216" s="34"/>
      <c r="AJ216" s="34">
        <f>몬스터밸런스[[#This Row],[Accuracy]]*0.2</f>
        <v>3092.8</v>
      </c>
      <c r="AK216" s="34">
        <f>몬스터밸런스[[#This Row],[DodgeRate]]*0.2</f>
        <v>2133</v>
      </c>
      <c r="AL216">
        <f t="shared" si="11"/>
        <v>76680.800000000003</v>
      </c>
    </row>
    <row r="217" spans="1:38">
      <c r="A217">
        <v>2140</v>
      </c>
      <c r="B217">
        <v>215</v>
      </c>
      <c r="C217">
        <f>$F$1*몬스터밸런스[[#This Row],[Lv]]+15</f>
        <v>10715</v>
      </c>
      <c r="E217" t="s">
        <v>479</v>
      </c>
      <c r="F217">
        <f>IF(E217="공격형",INDEX(몬스터계수[[#Data],[생명계수]],MATCH(E217,몬스터계수[[#Data],[타입]],0),1)*C217,
IF(E217="방어형",INDEX(몬스터계수[[#Data],[생명계수]],MATCH(E217,몬스터계수[[#Data],[타입]],0),1)*C217,
IF(E217="회피형",INDEX(몬스터계수[[#Data],[생명계수]],MATCH(E217,몬스터계수[[#Data],[타입]],0),1)*C217,
IF(E217="체력형",INDEX(몬스터계수[[#Data],[생명계수]],MATCH(E217,몬스터계수[[#Data],[타입]],0),1)*C217,0))))*IF(몬스터밸런스[[#This Row],[보스]]=TRUE,2,1)</f>
        <v>5357.5</v>
      </c>
      <c r="G217">
        <f>IF(E217="공격형",INDEX(몬스터계수[[#Data],[힘계수]],MATCH(E217, 몬스터계수[[#Data],[타입]],0),1)*C217,
IF(E217="방어형",INDEX(몬스터계수[[#Data],[힘계수]],MATCH(E217, 몬스터계수[[#Data],[타입]],0),1)*C217,
IF(E217="회피형",INDEX(몬스터계수[[#Data],[힘계수]],MATCH(E217, 몬스터계수[[#Data],[타입]],0),1)*C217,
IF(E217="체력형",INDEX(몬스터계수[[#Data],[힘계수]],MATCH(E217, 몬스터계수[[#Data],[타입]],0),1)*C217,0))))</f>
        <v>2678.75</v>
      </c>
      <c r="H217">
        <f>IF(E217="공격형",INDEX(몬스터계수[[#Data],[근력게수]],MATCH(E217,몬스터계수[[#Data],[타입]],0),1)*C217,
IF(E217="방어형",INDEX(몬스터계수[[#Data],[근력게수]],MATCH(E217,몬스터계수[[#Data],[타입]],0),1)*C217,
IF(E217="회피형",INDEX(몬스터계수[[#Data],[근력게수]],MATCH(E217,몬스터계수[[#Data],[타입]],0),1)*C217,
IF(E217="체력형",INDEX(몬스터계수[[#Data],[근력게수]],MATCH(E217,몬스터계수[[#Data],[타입]],0),1)*C217,0))))</f>
        <v>535.75</v>
      </c>
      <c r="I217">
        <f>IF(E217="공격형",INDEX(몬스터계수[[#Data],[숙련도계수]],MATCH(E217,몬스터계수[[#Data],[타입]],0),1)*C217,
IF(E217="방어형",INDEX(몬스터계수[[#Data],[숙련도계수]],MATCH(E217,몬스터계수[[#Data],[타입]],0),1)*C217,
IF(E217="회피형",INDEX(몬스터계수[[#Data],[숙련도계수]],MATCH(E217,몬스터계수[[#Data],[타입]],0),1)*C217,
IF(E217="체력형",INDEX(몬스터계수[[#Data],[숙련도계수]],MATCH(E217,몬스터계수[[#Data],[타입]],0),1)*C217,0))))</f>
        <v>1607.25</v>
      </c>
      <c r="J217">
        <f>IF(E217="공격형",INDEX(몬스터계수[[#Data],[행운계수]],MATCH(E217, 몬스터계수[[#Data],[타입]],0),1)*C217,
IF(E217="방어형",INDEX(몬스터계수[[#Data],[행운계수]],MATCH(E217, 몬스터계수[[#Data],[타입]],0),1)*C217,
IF(E217="회피형",INDEX(몬스터계수[[#Data],[행운계수]],MATCH(E217, 몬스터계수[[#Data],[타입]],0),1)*C217,
IF(E217="체력형",INDEX(몬스터계수[[#Data],[행운계수]],MATCH(E217, 몬스터계수[[#Data],[타입]],0),1)*C217,0))))</f>
        <v>535.75</v>
      </c>
      <c r="K217" s="34">
        <f>ROUND(
(($F217)*참고!$D$5)
+(($G217)*참고!$D$6)
+(($H217)*참고!$D$7)
+(($I217)*참고!$D$8)
+(($J217))*참고!$D$9,0)</f>
        <v>83309</v>
      </c>
      <c r="L217" s="34">
        <f>ROUND(
(($F217)*참고!$E$5)
+(($G217)*참고!$E$6)
+(($H217)*참고!$E$7)
+(($I217)*참고!$E$8)
+(($J217))*참고!$E$9,0)</f>
        <v>47682</v>
      </c>
      <c r="M217" s="34">
        <f>ROUND(
(($F217)*참고!$F$5)
+(($G217)*참고!$F$6)
+(($H217)*참고!$F$7)
+(($I217)*참고!$F$8)
+(($J217))*참고!$F$9,0)</f>
        <v>13394</v>
      </c>
      <c r="N217" s="34">
        <f>ROUND(
(($F217)*참고!$G$5)
+(($G217)*참고!$G$6)
+(($H217)*참고!$G$7)
+(($I217)*참고!$G$8)
+(($J217))*참고!$G$9,0)</f>
        <v>375</v>
      </c>
      <c r="O217" s="34">
        <f>ROUND(
(($F217)*참고!$H$5)
+(($G217)*참고!$H$6)
+(($H217)*참고!$H$7)
+(($I217)*참고!$H$8)
+(($J217))*참고!$H$9,0)</f>
        <v>8840</v>
      </c>
      <c r="P217" s="34">
        <f>ROUND(
(($F217)*참고!$I$5)
+(($G217)*참고!$I$6)
+(($H217)*참고!$I$7)
+(($I217)*참고!$I$8)
+(($J217))*참고!$I$9,0)</f>
        <v>15537</v>
      </c>
      <c r="Q217" s="34">
        <f>ROUND(
(($F217)*참고!$J$5)
+(($G217)*참고!$J$6)
+(($H217)*참고!$J$7)
+(($I217)*참고!$J$8)
+(($J217))*참고!$J$9,0)</f>
        <v>10715</v>
      </c>
      <c r="R217" s="34">
        <f>IF(E217="공격형",(INDEX(몬스터계수[[#Data],[속도]],MATCH(E217, 몬스터계수[[#Data],[타입]],0),1)*속도핸들러_곱계수)*(INT(몬스터밸런스[[#This Row],[Lv]]/속도핸들러_합계수+1)),
IF(E217="방어형",(INDEX(몬스터계수[[#Data],[속도]],MATCH(E217, 몬스터계수[[#Data],[타입]],0),1)*속도핸들러_곱계수)*(INT(몬스터밸런스[[#This Row],[Lv]]/속도핸들러_합계수+1)),
IF(E217="회피형",(INDEX(몬스터계수[[#Data],[속도]],MATCH(E217, 몬스터계수[[#Data],[타입]],0),1)*속도핸들러_곱계수)*(INT(몬스터밸런스[[#This Row],[Lv]]/속도핸들러_합계수+1)),
IF(E217="기본형",(INDEX(몬스터계수[[#Data],[속도]],MATCH(E217, 몬스터계수[[#Data],[타입]],0),1)*속도핸들러_곱계수)*(INT(몬스터밸런스[[#This Row],[Lv]]/속도핸들러_합계수+1)),0))))</f>
        <v>0</v>
      </c>
      <c r="S217">
        <f t="shared" si="10"/>
        <v>2860298</v>
      </c>
      <c r="U217">
        <v>3</v>
      </c>
      <c r="V217">
        <v>215</v>
      </c>
      <c r="W217">
        <f>$Z$1*몬스터밸런스9[[#This Row],[단계]]</f>
        <v>15</v>
      </c>
      <c r="X217" t="s">
        <v>59</v>
      </c>
      <c r="AE217" s="34"/>
      <c r="AF217" s="34"/>
      <c r="AG217" s="34"/>
      <c r="AH217" s="34"/>
      <c r="AI217" s="34"/>
      <c r="AJ217" s="34">
        <f>몬스터밸런스[[#This Row],[Accuracy]]*0.2</f>
        <v>3107.4</v>
      </c>
      <c r="AK217" s="34">
        <f>몬스터밸런스[[#This Row],[DodgeRate]]*0.2</f>
        <v>2143</v>
      </c>
      <c r="AL217">
        <f t="shared" si="11"/>
        <v>77041.399999999994</v>
      </c>
    </row>
    <row r="218" spans="1:38">
      <c r="A218">
        <v>2150</v>
      </c>
      <c r="B218">
        <v>216</v>
      </c>
      <c r="C218">
        <f>$F$1*몬스터밸런스[[#This Row],[Lv]]+15</f>
        <v>10765</v>
      </c>
      <c r="E218" t="s">
        <v>479</v>
      </c>
      <c r="F218">
        <f>IF(E218="공격형",INDEX(몬스터계수[[#Data],[생명계수]],MATCH(E218,몬스터계수[[#Data],[타입]],0),1)*C218,
IF(E218="방어형",INDEX(몬스터계수[[#Data],[생명계수]],MATCH(E218,몬스터계수[[#Data],[타입]],0),1)*C218,
IF(E218="회피형",INDEX(몬스터계수[[#Data],[생명계수]],MATCH(E218,몬스터계수[[#Data],[타입]],0),1)*C218,
IF(E218="체력형",INDEX(몬스터계수[[#Data],[생명계수]],MATCH(E218,몬스터계수[[#Data],[타입]],0),1)*C218,0))))*IF(몬스터밸런스[[#This Row],[보스]]=TRUE,2,1)</f>
        <v>5382.5</v>
      </c>
      <c r="G218">
        <f>IF(E218="공격형",INDEX(몬스터계수[[#Data],[힘계수]],MATCH(E218, 몬스터계수[[#Data],[타입]],0),1)*C218,
IF(E218="방어형",INDEX(몬스터계수[[#Data],[힘계수]],MATCH(E218, 몬스터계수[[#Data],[타입]],0),1)*C218,
IF(E218="회피형",INDEX(몬스터계수[[#Data],[힘계수]],MATCH(E218, 몬스터계수[[#Data],[타입]],0),1)*C218,
IF(E218="체력형",INDEX(몬스터계수[[#Data],[힘계수]],MATCH(E218, 몬스터계수[[#Data],[타입]],0),1)*C218,0))))</f>
        <v>2691.25</v>
      </c>
      <c r="H218">
        <f>IF(E218="공격형",INDEX(몬스터계수[[#Data],[근력게수]],MATCH(E218,몬스터계수[[#Data],[타입]],0),1)*C218,
IF(E218="방어형",INDEX(몬스터계수[[#Data],[근력게수]],MATCH(E218,몬스터계수[[#Data],[타입]],0),1)*C218,
IF(E218="회피형",INDEX(몬스터계수[[#Data],[근력게수]],MATCH(E218,몬스터계수[[#Data],[타입]],0),1)*C218,
IF(E218="체력형",INDEX(몬스터계수[[#Data],[근력게수]],MATCH(E218,몬스터계수[[#Data],[타입]],0),1)*C218,0))))</f>
        <v>538.25</v>
      </c>
      <c r="I218">
        <f>IF(E218="공격형",INDEX(몬스터계수[[#Data],[숙련도계수]],MATCH(E218,몬스터계수[[#Data],[타입]],0),1)*C218,
IF(E218="방어형",INDEX(몬스터계수[[#Data],[숙련도계수]],MATCH(E218,몬스터계수[[#Data],[타입]],0),1)*C218,
IF(E218="회피형",INDEX(몬스터계수[[#Data],[숙련도계수]],MATCH(E218,몬스터계수[[#Data],[타입]],0),1)*C218,
IF(E218="체력형",INDEX(몬스터계수[[#Data],[숙련도계수]],MATCH(E218,몬스터계수[[#Data],[타입]],0),1)*C218,0))))</f>
        <v>1614.75</v>
      </c>
      <c r="J218">
        <f>IF(E218="공격형",INDEX(몬스터계수[[#Data],[행운계수]],MATCH(E218, 몬스터계수[[#Data],[타입]],0),1)*C218,
IF(E218="방어형",INDEX(몬스터계수[[#Data],[행운계수]],MATCH(E218, 몬스터계수[[#Data],[타입]],0),1)*C218,
IF(E218="회피형",INDEX(몬스터계수[[#Data],[행운계수]],MATCH(E218, 몬스터계수[[#Data],[타입]],0),1)*C218,
IF(E218="체력형",INDEX(몬스터계수[[#Data],[행운계수]],MATCH(E218, 몬스터계수[[#Data],[타입]],0),1)*C218,0))))</f>
        <v>538.25</v>
      </c>
      <c r="K218" s="34">
        <f>ROUND(
(($F218)*참고!$D$5)
+(($G218)*참고!$D$6)
+(($H218)*참고!$D$7)
+(($I218)*참고!$D$8)
+(($J218))*참고!$D$9,0)</f>
        <v>83698</v>
      </c>
      <c r="L218" s="34">
        <f>ROUND(
(($F218)*참고!$E$5)
+(($G218)*참고!$E$6)
+(($H218)*참고!$E$7)
+(($I218)*참고!$E$8)
+(($J218))*참고!$E$9,0)</f>
        <v>47904</v>
      </c>
      <c r="M218" s="34">
        <f>ROUND(
(($F218)*참고!$F$5)
+(($G218)*참고!$F$6)
+(($H218)*참고!$F$7)
+(($I218)*참고!$F$8)
+(($J218))*참고!$F$9,0)</f>
        <v>13456</v>
      </c>
      <c r="N218" s="34">
        <f>ROUND(
(($F218)*참고!$G$5)
+(($G218)*참고!$G$6)
+(($H218)*참고!$G$7)
+(($I218)*참고!$G$8)
+(($J218))*참고!$G$9,0)</f>
        <v>377</v>
      </c>
      <c r="O218" s="34">
        <f>ROUND(
(($F218)*참고!$H$5)
+(($G218)*참고!$H$6)
+(($H218)*참고!$H$7)
+(($I218)*참고!$H$8)
+(($J218))*참고!$H$9,0)</f>
        <v>8881</v>
      </c>
      <c r="P218" s="34">
        <f>ROUND(
(($F218)*참고!$I$5)
+(($G218)*참고!$I$6)
+(($H218)*참고!$I$7)
+(($I218)*참고!$I$8)
+(($J218))*참고!$I$9,0)</f>
        <v>15609</v>
      </c>
      <c r="Q218" s="34">
        <f>ROUND(
(($F218)*참고!$J$5)
+(($G218)*참고!$J$6)
+(($H218)*참고!$J$7)
+(($I218)*참고!$J$8)
+(($J218))*참고!$J$9,0)</f>
        <v>10765</v>
      </c>
      <c r="R218" s="34">
        <f>IF(E218="공격형",(INDEX(몬스터계수[[#Data],[속도]],MATCH(E218, 몬스터계수[[#Data],[타입]],0),1)*속도핸들러_곱계수)*(INT(몬스터밸런스[[#This Row],[Lv]]/속도핸들러_합계수+1)),
IF(E218="방어형",(INDEX(몬스터계수[[#Data],[속도]],MATCH(E218, 몬스터계수[[#Data],[타입]],0),1)*속도핸들러_곱계수)*(INT(몬스터밸런스[[#This Row],[Lv]]/속도핸들러_합계수+1)),
IF(E218="회피형",(INDEX(몬스터계수[[#Data],[속도]],MATCH(E218, 몬스터계수[[#Data],[타입]],0),1)*속도핸들러_곱계수)*(INT(몬스터밸런스[[#This Row],[Lv]]/속도핸들러_합계수+1)),
IF(E218="기본형",(INDEX(몬스터계수[[#Data],[속도]],MATCH(E218, 몬스터계수[[#Data],[타입]],0),1)*속도핸들러_곱계수)*(INT(몬스터밸런스[[#This Row],[Lv]]/속도핸들러_합계수+1)),0))))</f>
        <v>0</v>
      </c>
      <c r="S218">
        <f t="shared" si="10"/>
        <v>2873627</v>
      </c>
      <c r="U218">
        <v>4</v>
      </c>
      <c r="V218">
        <v>216</v>
      </c>
      <c r="W218">
        <f>$Z$1*몬스터밸런스9[[#This Row],[단계]]</f>
        <v>20</v>
      </c>
      <c r="X218" t="s">
        <v>59</v>
      </c>
      <c r="AE218" s="34"/>
      <c r="AF218" s="34"/>
      <c r="AG218" s="34"/>
      <c r="AH218" s="34"/>
      <c r="AI218" s="34"/>
      <c r="AJ218" s="34"/>
      <c r="AK218" s="34">
        <f>몬스터밸런스[[#This Row],[DodgeRate]]*0.2</f>
        <v>2153</v>
      </c>
      <c r="AL218">
        <f t="shared" si="11"/>
        <v>43060</v>
      </c>
    </row>
    <row r="219" spans="1:38">
      <c r="A219">
        <v>2160</v>
      </c>
      <c r="B219">
        <v>217</v>
      </c>
      <c r="C219">
        <f>$F$1*몬스터밸런스[[#This Row],[Lv]]+15</f>
        <v>10815</v>
      </c>
      <c r="E219" t="s">
        <v>479</v>
      </c>
      <c r="F219">
        <f>IF(E219="공격형",INDEX(몬스터계수[[#Data],[생명계수]],MATCH(E219,몬스터계수[[#Data],[타입]],0),1)*C219,
IF(E219="방어형",INDEX(몬스터계수[[#Data],[생명계수]],MATCH(E219,몬스터계수[[#Data],[타입]],0),1)*C219,
IF(E219="회피형",INDEX(몬스터계수[[#Data],[생명계수]],MATCH(E219,몬스터계수[[#Data],[타입]],0),1)*C219,
IF(E219="체력형",INDEX(몬스터계수[[#Data],[생명계수]],MATCH(E219,몬스터계수[[#Data],[타입]],0),1)*C219,0))))*IF(몬스터밸런스[[#This Row],[보스]]=TRUE,2,1)</f>
        <v>5407.5</v>
      </c>
      <c r="G219">
        <f>IF(E219="공격형",INDEX(몬스터계수[[#Data],[힘계수]],MATCH(E219, 몬스터계수[[#Data],[타입]],0),1)*C219,
IF(E219="방어형",INDEX(몬스터계수[[#Data],[힘계수]],MATCH(E219, 몬스터계수[[#Data],[타입]],0),1)*C219,
IF(E219="회피형",INDEX(몬스터계수[[#Data],[힘계수]],MATCH(E219, 몬스터계수[[#Data],[타입]],0),1)*C219,
IF(E219="체력형",INDEX(몬스터계수[[#Data],[힘계수]],MATCH(E219, 몬스터계수[[#Data],[타입]],0),1)*C219,0))))</f>
        <v>2703.75</v>
      </c>
      <c r="H219">
        <f>IF(E219="공격형",INDEX(몬스터계수[[#Data],[근력게수]],MATCH(E219,몬스터계수[[#Data],[타입]],0),1)*C219,
IF(E219="방어형",INDEX(몬스터계수[[#Data],[근력게수]],MATCH(E219,몬스터계수[[#Data],[타입]],0),1)*C219,
IF(E219="회피형",INDEX(몬스터계수[[#Data],[근력게수]],MATCH(E219,몬스터계수[[#Data],[타입]],0),1)*C219,
IF(E219="체력형",INDEX(몬스터계수[[#Data],[근력게수]],MATCH(E219,몬스터계수[[#Data],[타입]],0),1)*C219,0))))</f>
        <v>540.75</v>
      </c>
      <c r="I219">
        <f>IF(E219="공격형",INDEX(몬스터계수[[#Data],[숙련도계수]],MATCH(E219,몬스터계수[[#Data],[타입]],0),1)*C219,
IF(E219="방어형",INDEX(몬스터계수[[#Data],[숙련도계수]],MATCH(E219,몬스터계수[[#Data],[타입]],0),1)*C219,
IF(E219="회피형",INDEX(몬스터계수[[#Data],[숙련도계수]],MATCH(E219,몬스터계수[[#Data],[타입]],0),1)*C219,
IF(E219="체력형",INDEX(몬스터계수[[#Data],[숙련도계수]],MATCH(E219,몬스터계수[[#Data],[타입]],0),1)*C219,0))))</f>
        <v>1622.25</v>
      </c>
      <c r="J219">
        <f>IF(E219="공격형",INDEX(몬스터계수[[#Data],[행운계수]],MATCH(E219, 몬스터계수[[#Data],[타입]],0),1)*C219,
IF(E219="방어형",INDEX(몬스터계수[[#Data],[행운계수]],MATCH(E219, 몬스터계수[[#Data],[타입]],0),1)*C219,
IF(E219="회피형",INDEX(몬스터계수[[#Data],[행운계수]],MATCH(E219, 몬스터계수[[#Data],[타입]],0),1)*C219,
IF(E219="체력형",INDEX(몬스터계수[[#Data],[행운계수]],MATCH(E219, 몬스터계수[[#Data],[타입]],0),1)*C219,0))))</f>
        <v>540.75</v>
      </c>
      <c r="K219" s="34">
        <f>ROUND(
(($F219)*참고!$D$5)
+(($G219)*참고!$D$6)
+(($H219)*참고!$D$7)
+(($I219)*참고!$D$8)
+(($J219))*참고!$D$9,0)</f>
        <v>84087</v>
      </c>
      <c r="L219" s="34">
        <f>ROUND(
(($F219)*참고!$E$5)
+(($G219)*참고!$E$6)
+(($H219)*참고!$E$7)
+(($I219)*참고!$E$8)
+(($J219))*참고!$E$9,0)</f>
        <v>48127</v>
      </c>
      <c r="M219" s="34">
        <f>ROUND(
(($F219)*참고!$F$5)
+(($G219)*참고!$F$6)
+(($H219)*참고!$F$7)
+(($I219)*참고!$F$8)
+(($J219))*참고!$F$9,0)</f>
        <v>13519</v>
      </c>
      <c r="N219" s="34">
        <f>ROUND(
(($F219)*참고!$G$5)
+(($G219)*참고!$G$6)
+(($H219)*참고!$G$7)
+(($I219)*참고!$G$8)
+(($J219))*참고!$G$9,0)</f>
        <v>379</v>
      </c>
      <c r="O219" s="34">
        <f>ROUND(
(($F219)*참고!$H$5)
+(($G219)*참고!$H$6)
+(($H219)*참고!$H$7)
+(($I219)*참고!$H$8)
+(($J219))*참고!$H$9,0)</f>
        <v>8922</v>
      </c>
      <c r="P219" s="34">
        <f>ROUND(
(($F219)*참고!$I$5)
+(($G219)*참고!$I$6)
+(($H219)*참고!$I$7)
+(($I219)*참고!$I$8)
+(($J219))*참고!$I$9,0)</f>
        <v>15682</v>
      </c>
      <c r="Q219" s="34">
        <f>ROUND(
(($F219)*참고!$J$5)
+(($G219)*참고!$J$6)
+(($H219)*참고!$J$7)
+(($I219)*참고!$J$8)
+(($J219))*참고!$J$9,0)</f>
        <v>10815</v>
      </c>
      <c r="R219" s="34">
        <f>IF(E219="공격형",(INDEX(몬스터계수[[#Data],[속도]],MATCH(E219, 몬스터계수[[#Data],[타입]],0),1)*속도핸들러_곱계수)*(INT(몬스터밸런스[[#This Row],[Lv]]/속도핸들러_합계수+1)),
IF(E219="방어형",(INDEX(몬스터계수[[#Data],[속도]],MATCH(E219, 몬스터계수[[#Data],[타입]],0),1)*속도핸들러_곱계수)*(INT(몬스터밸런스[[#This Row],[Lv]]/속도핸들러_합계수+1)),
IF(E219="회피형",(INDEX(몬스터계수[[#Data],[속도]],MATCH(E219, 몬스터계수[[#Data],[타입]],0),1)*속도핸들러_곱계수)*(INT(몬스터밸런스[[#This Row],[Lv]]/속도핸들러_합계수+1)),
IF(E219="기본형",(INDEX(몬스터계수[[#Data],[속도]],MATCH(E219, 몬스터계수[[#Data],[타입]],0),1)*속도핸들러_곱계수)*(INT(몬스터밸런스[[#This Row],[Lv]]/속도핸들러_합계수+1)),0))))</f>
        <v>0</v>
      </c>
      <c r="S219">
        <f t="shared" si="10"/>
        <v>2886999</v>
      </c>
      <c r="U219">
        <v>4</v>
      </c>
      <c r="V219">
        <v>217</v>
      </c>
      <c r="W219">
        <f>$Z$1*몬스터밸런스9[[#This Row],[단계]]</f>
        <v>20</v>
      </c>
      <c r="X219" t="s">
        <v>59</v>
      </c>
      <c r="AE219" s="34"/>
      <c r="AF219" s="34"/>
      <c r="AG219" s="34"/>
      <c r="AH219" s="34"/>
      <c r="AI219" s="34"/>
      <c r="AJ219" s="34"/>
      <c r="AK219" s="34">
        <f>몬스터밸런스[[#This Row],[DodgeRate]]*0.2</f>
        <v>2163</v>
      </c>
      <c r="AL219">
        <f t="shared" si="11"/>
        <v>43260</v>
      </c>
    </row>
    <row r="220" spans="1:38">
      <c r="A220">
        <v>2170</v>
      </c>
      <c r="B220">
        <v>218</v>
      </c>
      <c r="C220">
        <f>$F$1*몬스터밸런스[[#This Row],[Lv]]+15</f>
        <v>10865</v>
      </c>
      <c r="E220" t="s">
        <v>479</v>
      </c>
      <c r="F220">
        <f>IF(E220="공격형",INDEX(몬스터계수[[#Data],[생명계수]],MATCH(E220,몬스터계수[[#Data],[타입]],0),1)*C220,
IF(E220="방어형",INDEX(몬스터계수[[#Data],[생명계수]],MATCH(E220,몬스터계수[[#Data],[타입]],0),1)*C220,
IF(E220="회피형",INDEX(몬스터계수[[#Data],[생명계수]],MATCH(E220,몬스터계수[[#Data],[타입]],0),1)*C220,
IF(E220="체력형",INDEX(몬스터계수[[#Data],[생명계수]],MATCH(E220,몬스터계수[[#Data],[타입]],0),1)*C220,0))))*IF(몬스터밸런스[[#This Row],[보스]]=TRUE,2,1)</f>
        <v>5432.5</v>
      </c>
      <c r="G220">
        <f>IF(E220="공격형",INDEX(몬스터계수[[#Data],[힘계수]],MATCH(E220, 몬스터계수[[#Data],[타입]],0),1)*C220,
IF(E220="방어형",INDEX(몬스터계수[[#Data],[힘계수]],MATCH(E220, 몬스터계수[[#Data],[타입]],0),1)*C220,
IF(E220="회피형",INDEX(몬스터계수[[#Data],[힘계수]],MATCH(E220, 몬스터계수[[#Data],[타입]],0),1)*C220,
IF(E220="체력형",INDEX(몬스터계수[[#Data],[힘계수]],MATCH(E220, 몬스터계수[[#Data],[타입]],0),1)*C220,0))))</f>
        <v>2716.25</v>
      </c>
      <c r="H220">
        <f>IF(E220="공격형",INDEX(몬스터계수[[#Data],[근력게수]],MATCH(E220,몬스터계수[[#Data],[타입]],0),1)*C220,
IF(E220="방어형",INDEX(몬스터계수[[#Data],[근력게수]],MATCH(E220,몬스터계수[[#Data],[타입]],0),1)*C220,
IF(E220="회피형",INDEX(몬스터계수[[#Data],[근력게수]],MATCH(E220,몬스터계수[[#Data],[타입]],0),1)*C220,
IF(E220="체력형",INDEX(몬스터계수[[#Data],[근력게수]],MATCH(E220,몬스터계수[[#Data],[타입]],0),1)*C220,0))))</f>
        <v>543.25</v>
      </c>
      <c r="I220">
        <f>IF(E220="공격형",INDEX(몬스터계수[[#Data],[숙련도계수]],MATCH(E220,몬스터계수[[#Data],[타입]],0),1)*C220,
IF(E220="방어형",INDEX(몬스터계수[[#Data],[숙련도계수]],MATCH(E220,몬스터계수[[#Data],[타입]],0),1)*C220,
IF(E220="회피형",INDEX(몬스터계수[[#Data],[숙련도계수]],MATCH(E220,몬스터계수[[#Data],[타입]],0),1)*C220,
IF(E220="체력형",INDEX(몬스터계수[[#Data],[숙련도계수]],MATCH(E220,몬스터계수[[#Data],[타입]],0),1)*C220,0))))</f>
        <v>1629.75</v>
      </c>
      <c r="J220">
        <f>IF(E220="공격형",INDEX(몬스터계수[[#Data],[행운계수]],MATCH(E220, 몬스터계수[[#Data],[타입]],0),1)*C220,
IF(E220="방어형",INDEX(몬스터계수[[#Data],[행운계수]],MATCH(E220, 몬스터계수[[#Data],[타입]],0),1)*C220,
IF(E220="회피형",INDEX(몬스터계수[[#Data],[행운계수]],MATCH(E220, 몬스터계수[[#Data],[타입]],0),1)*C220,
IF(E220="체력형",INDEX(몬스터계수[[#Data],[행운계수]],MATCH(E220, 몬스터계수[[#Data],[타입]],0),1)*C220,0))))</f>
        <v>543.25</v>
      </c>
      <c r="K220" s="34">
        <f>ROUND(
(($F220)*참고!$D$5)
+(($G220)*참고!$D$6)
+(($H220)*참고!$D$7)
+(($I220)*참고!$D$8)
+(($J220))*참고!$D$9,0)</f>
        <v>84475</v>
      </c>
      <c r="L220" s="34">
        <f>ROUND(
(($F220)*참고!$E$5)
+(($G220)*참고!$E$6)
+(($H220)*참고!$E$7)
+(($I220)*참고!$E$8)
+(($J220))*참고!$E$9,0)</f>
        <v>48349</v>
      </c>
      <c r="M220" s="34">
        <f>ROUND(
(($F220)*참고!$F$5)
+(($G220)*참고!$F$6)
+(($H220)*참고!$F$7)
+(($I220)*참고!$F$8)
+(($J220))*참고!$F$9,0)</f>
        <v>13581</v>
      </c>
      <c r="N220" s="34">
        <f>ROUND(
(($F220)*참고!$G$5)
+(($G220)*참고!$G$6)
+(($H220)*참고!$G$7)
+(($I220)*참고!$G$8)
+(($J220))*참고!$G$9,0)</f>
        <v>380</v>
      </c>
      <c r="O220" s="34">
        <f>ROUND(
(($F220)*참고!$H$5)
+(($G220)*참고!$H$6)
+(($H220)*참고!$H$7)
+(($I220)*참고!$H$8)
+(($J220))*참고!$H$9,0)</f>
        <v>8964</v>
      </c>
      <c r="P220" s="34">
        <f>ROUND(
(($F220)*참고!$I$5)
+(($G220)*참고!$I$6)
+(($H220)*참고!$I$7)
+(($I220)*참고!$I$8)
+(($J220))*참고!$I$9,0)</f>
        <v>15754</v>
      </c>
      <c r="Q220" s="34">
        <f>ROUND(
(($F220)*참고!$J$5)
+(($G220)*참고!$J$6)
+(($H220)*참고!$J$7)
+(($I220)*참고!$J$8)
+(($J220))*참고!$J$9,0)</f>
        <v>10865</v>
      </c>
      <c r="R220" s="34">
        <f>IF(E220="공격형",(INDEX(몬스터계수[[#Data],[속도]],MATCH(E220, 몬스터계수[[#Data],[타입]],0),1)*속도핸들러_곱계수)*(INT(몬스터밸런스[[#This Row],[Lv]]/속도핸들러_합계수+1)),
IF(E220="방어형",(INDEX(몬스터계수[[#Data],[속도]],MATCH(E220, 몬스터계수[[#Data],[타입]],0),1)*속도핸들러_곱계수)*(INT(몬스터밸런스[[#This Row],[Lv]]/속도핸들러_합계수+1)),
IF(E220="회피형",(INDEX(몬스터계수[[#Data],[속도]],MATCH(E220, 몬스터계수[[#Data],[타입]],0),1)*속도핸들러_곱계수)*(INT(몬스터밸런스[[#This Row],[Lv]]/속도핸들러_합계수+1)),
IF(E220="기본형",(INDEX(몬스터계수[[#Data],[속도]],MATCH(E220, 몬스터계수[[#Data],[타입]],0),1)*속도핸들러_곱계수)*(INT(몬스터밸런스[[#This Row],[Lv]]/속도핸들러_합계수+1)),0))))</f>
        <v>0</v>
      </c>
      <c r="S220">
        <f t="shared" si="10"/>
        <v>2900314.5</v>
      </c>
      <c r="U220">
        <v>4</v>
      </c>
      <c r="V220">
        <v>218</v>
      </c>
      <c r="W220">
        <f>$Z$1*몬스터밸런스9[[#This Row],[단계]]</f>
        <v>20</v>
      </c>
      <c r="X220" t="s">
        <v>59</v>
      </c>
      <c r="AE220" s="34"/>
      <c r="AF220" s="34"/>
      <c r="AG220" s="34"/>
      <c r="AH220" s="34"/>
      <c r="AI220" s="34"/>
      <c r="AJ220" s="34"/>
      <c r="AK220" s="34">
        <f>몬스터밸런스[[#This Row],[DodgeRate]]*0.2</f>
        <v>2173</v>
      </c>
      <c r="AL220">
        <f t="shared" si="11"/>
        <v>43460</v>
      </c>
    </row>
    <row r="221" spans="1:38">
      <c r="A221">
        <v>2180</v>
      </c>
      <c r="B221">
        <v>219</v>
      </c>
      <c r="C221">
        <f>$F$1*몬스터밸런스[[#This Row],[Lv]]+15</f>
        <v>10915</v>
      </c>
      <c r="E221" t="s">
        <v>479</v>
      </c>
      <c r="F221">
        <f>IF(E221="공격형",INDEX(몬스터계수[[#Data],[생명계수]],MATCH(E221,몬스터계수[[#Data],[타입]],0),1)*C221,
IF(E221="방어형",INDEX(몬스터계수[[#Data],[생명계수]],MATCH(E221,몬스터계수[[#Data],[타입]],0),1)*C221,
IF(E221="회피형",INDEX(몬스터계수[[#Data],[생명계수]],MATCH(E221,몬스터계수[[#Data],[타입]],0),1)*C221,
IF(E221="체력형",INDEX(몬스터계수[[#Data],[생명계수]],MATCH(E221,몬스터계수[[#Data],[타입]],0),1)*C221,0))))*IF(몬스터밸런스[[#This Row],[보스]]=TRUE,2,1)</f>
        <v>5457.5</v>
      </c>
      <c r="G221">
        <f>IF(E221="공격형",INDEX(몬스터계수[[#Data],[힘계수]],MATCH(E221, 몬스터계수[[#Data],[타입]],0),1)*C221,
IF(E221="방어형",INDEX(몬스터계수[[#Data],[힘계수]],MATCH(E221, 몬스터계수[[#Data],[타입]],0),1)*C221,
IF(E221="회피형",INDEX(몬스터계수[[#Data],[힘계수]],MATCH(E221, 몬스터계수[[#Data],[타입]],0),1)*C221,
IF(E221="체력형",INDEX(몬스터계수[[#Data],[힘계수]],MATCH(E221, 몬스터계수[[#Data],[타입]],0),1)*C221,0))))</f>
        <v>2728.75</v>
      </c>
      <c r="H221">
        <f>IF(E221="공격형",INDEX(몬스터계수[[#Data],[근력게수]],MATCH(E221,몬스터계수[[#Data],[타입]],0),1)*C221,
IF(E221="방어형",INDEX(몬스터계수[[#Data],[근력게수]],MATCH(E221,몬스터계수[[#Data],[타입]],0),1)*C221,
IF(E221="회피형",INDEX(몬스터계수[[#Data],[근력게수]],MATCH(E221,몬스터계수[[#Data],[타입]],0),1)*C221,
IF(E221="체력형",INDEX(몬스터계수[[#Data],[근력게수]],MATCH(E221,몬스터계수[[#Data],[타입]],0),1)*C221,0))))</f>
        <v>545.75</v>
      </c>
      <c r="I221">
        <f>IF(E221="공격형",INDEX(몬스터계수[[#Data],[숙련도계수]],MATCH(E221,몬스터계수[[#Data],[타입]],0),1)*C221,
IF(E221="방어형",INDEX(몬스터계수[[#Data],[숙련도계수]],MATCH(E221,몬스터계수[[#Data],[타입]],0),1)*C221,
IF(E221="회피형",INDEX(몬스터계수[[#Data],[숙련도계수]],MATCH(E221,몬스터계수[[#Data],[타입]],0),1)*C221,
IF(E221="체력형",INDEX(몬스터계수[[#Data],[숙련도계수]],MATCH(E221,몬스터계수[[#Data],[타입]],0),1)*C221,0))))</f>
        <v>1637.25</v>
      </c>
      <c r="J221">
        <f>IF(E221="공격형",INDEX(몬스터계수[[#Data],[행운계수]],MATCH(E221, 몬스터계수[[#Data],[타입]],0),1)*C221,
IF(E221="방어형",INDEX(몬스터계수[[#Data],[행운계수]],MATCH(E221, 몬스터계수[[#Data],[타입]],0),1)*C221,
IF(E221="회피형",INDEX(몬스터계수[[#Data],[행운계수]],MATCH(E221, 몬스터계수[[#Data],[타입]],0),1)*C221,
IF(E221="체력형",INDEX(몬스터계수[[#Data],[행운계수]],MATCH(E221, 몬스터계수[[#Data],[타입]],0),1)*C221,0))))</f>
        <v>545.75</v>
      </c>
      <c r="K221" s="34">
        <f>ROUND(
(($F221)*참고!$D$5)
+(($G221)*참고!$D$6)
+(($H221)*참고!$D$7)
+(($I221)*참고!$D$8)
+(($J221))*참고!$D$9,0)</f>
        <v>84864</v>
      </c>
      <c r="L221" s="34">
        <f>ROUND(
(($F221)*참고!$E$5)
+(($G221)*참고!$E$6)
+(($H221)*참고!$E$7)
+(($I221)*참고!$E$8)
+(($J221))*참고!$E$9,0)</f>
        <v>48572</v>
      </c>
      <c r="M221" s="34">
        <f>ROUND(
(($F221)*참고!$F$5)
+(($G221)*참고!$F$6)
+(($H221)*참고!$F$7)
+(($I221)*참고!$F$8)
+(($J221))*참고!$F$9,0)</f>
        <v>13644</v>
      </c>
      <c r="N221" s="34">
        <f>ROUND(
(($F221)*참고!$G$5)
+(($G221)*참고!$G$6)
+(($H221)*참고!$G$7)
+(($I221)*참고!$G$8)
+(($J221))*참고!$G$9,0)</f>
        <v>382</v>
      </c>
      <c r="O221" s="34">
        <f>ROUND(
(($F221)*참고!$H$5)
+(($G221)*참고!$H$6)
+(($H221)*참고!$H$7)
+(($I221)*참고!$H$8)
+(($J221))*참고!$H$9,0)</f>
        <v>9005</v>
      </c>
      <c r="P221" s="34">
        <f>ROUND(
(($F221)*참고!$I$5)
+(($G221)*참고!$I$6)
+(($H221)*참고!$I$7)
+(($I221)*참고!$I$8)
+(($J221))*참고!$I$9,0)</f>
        <v>15827</v>
      </c>
      <c r="Q221" s="34">
        <f>ROUND(
(($F221)*참고!$J$5)
+(($G221)*참고!$J$6)
+(($H221)*참고!$J$7)
+(($I221)*참고!$J$8)
+(($J221))*참고!$J$9,0)</f>
        <v>10915</v>
      </c>
      <c r="R221" s="34">
        <f>IF(E221="공격형",(INDEX(몬스터계수[[#Data],[속도]],MATCH(E221, 몬스터계수[[#Data],[타입]],0),1)*속도핸들러_곱계수)*(INT(몬스터밸런스[[#This Row],[Lv]]/속도핸들러_합계수+1)),
IF(E221="방어형",(INDEX(몬스터계수[[#Data],[속도]],MATCH(E221, 몬스터계수[[#Data],[타입]],0),1)*속도핸들러_곱계수)*(INT(몬스터밸런스[[#This Row],[Lv]]/속도핸들러_합계수+1)),
IF(E221="회피형",(INDEX(몬스터계수[[#Data],[속도]],MATCH(E221, 몬스터계수[[#Data],[타입]],0),1)*속도핸들러_곱계수)*(INT(몬스터밸런스[[#This Row],[Lv]]/속도핸들러_합계수+1)),
IF(E221="기본형",(INDEX(몬스터계수[[#Data],[속도]],MATCH(E221, 몬스터계수[[#Data],[타입]],0),1)*속도핸들러_곱계수)*(INT(몬스터밸런스[[#This Row],[Lv]]/속도핸들러_합계수+1)),0))))</f>
        <v>0</v>
      </c>
      <c r="S221">
        <f t="shared" si="10"/>
        <v>2913686.5</v>
      </c>
      <c r="U221">
        <v>4</v>
      </c>
      <c r="V221">
        <v>219</v>
      </c>
      <c r="W221">
        <f>$Z$1*몬스터밸런스9[[#This Row],[단계]]</f>
        <v>20</v>
      </c>
      <c r="X221" t="s">
        <v>59</v>
      </c>
      <c r="AE221" s="34">
        <f>몬스터밸런스[[#This Row],[생명]]</f>
        <v>5457.5</v>
      </c>
      <c r="AF221" s="34"/>
      <c r="AG221" s="34"/>
      <c r="AH221" s="34"/>
      <c r="AI221" s="34"/>
      <c r="AJ221" s="34"/>
      <c r="AK221" s="34">
        <f>몬스터밸런스[[#This Row],[DodgeRate]]*0.2</f>
        <v>2183</v>
      </c>
      <c r="AL221">
        <f t="shared" si="11"/>
        <v>139166.25</v>
      </c>
    </row>
    <row r="222" spans="1:38">
      <c r="A222">
        <v>2190</v>
      </c>
      <c r="B222">
        <v>220</v>
      </c>
      <c r="C222">
        <f>$F$1*몬스터밸런스[[#This Row],[Lv]]+15</f>
        <v>10965</v>
      </c>
      <c r="E222" t="s">
        <v>479</v>
      </c>
      <c r="F222">
        <f>IF(E222="공격형",INDEX(몬스터계수[[#Data],[생명계수]],MATCH(E222,몬스터계수[[#Data],[타입]],0),1)*C222,
IF(E222="방어형",INDEX(몬스터계수[[#Data],[생명계수]],MATCH(E222,몬스터계수[[#Data],[타입]],0),1)*C222,
IF(E222="회피형",INDEX(몬스터계수[[#Data],[생명계수]],MATCH(E222,몬스터계수[[#Data],[타입]],0),1)*C222,
IF(E222="체력형",INDEX(몬스터계수[[#Data],[생명계수]],MATCH(E222,몬스터계수[[#Data],[타입]],0),1)*C222,0))))*IF(몬스터밸런스[[#This Row],[보스]]=TRUE,2,1)</f>
        <v>5482.5</v>
      </c>
      <c r="G222">
        <f>IF(E222="공격형",INDEX(몬스터계수[[#Data],[힘계수]],MATCH(E222, 몬스터계수[[#Data],[타입]],0),1)*C222,
IF(E222="방어형",INDEX(몬스터계수[[#Data],[힘계수]],MATCH(E222, 몬스터계수[[#Data],[타입]],0),1)*C222,
IF(E222="회피형",INDEX(몬스터계수[[#Data],[힘계수]],MATCH(E222, 몬스터계수[[#Data],[타입]],0),1)*C222,
IF(E222="체력형",INDEX(몬스터계수[[#Data],[힘계수]],MATCH(E222, 몬스터계수[[#Data],[타입]],0),1)*C222,0))))</f>
        <v>2741.25</v>
      </c>
      <c r="H222">
        <f>IF(E222="공격형",INDEX(몬스터계수[[#Data],[근력게수]],MATCH(E222,몬스터계수[[#Data],[타입]],0),1)*C222,
IF(E222="방어형",INDEX(몬스터계수[[#Data],[근력게수]],MATCH(E222,몬스터계수[[#Data],[타입]],0),1)*C222,
IF(E222="회피형",INDEX(몬스터계수[[#Data],[근력게수]],MATCH(E222,몬스터계수[[#Data],[타입]],0),1)*C222,
IF(E222="체력형",INDEX(몬스터계수[[#Data],[근력게수]],MATCH(E222,몬스터계수[[#Data],[타입]],0),1)*C222,0))))</f>
        <v>548.25</v>
      </c>
      <c r="I222">
        <f>IF(E222="공격형",INDEX(몬스터계수[[#Data],[숙련도계수]],MATCH(E222,몬스터계수[[#Data],[타입]],0),1)*C222,
IF(E222="방어형",INDEX(몬스터계수[[#Data],[숙련도계수]],MATCH(E222,몬스터계수[[#Data],[타입]],0),1)*C222,
IF(E222="회피형",INDEX(몬스터계수[[#Data],[숙련도계수]],MATCH(E222,몬스터계수[[#Data],[타입]],0),1)*C222,
IF(E222="체력형",INDEX(몬스터계수[[#Data],[숙련도계수]],MATCH(E222,몬스터계수[[#Data],[타입]],0),1)*C222,0))))</f>
        <v>1644.75</v>
      </c>
      <c r="J222">
        <f>IF(E222="공격형",INDEX(몬스터계수[[#Data],[행운계수]],MATCH(E222, 몬스터계수[[#Data],[타입]],0),1)*C222,
IF(E222="방어형",INDEX(몬스터계수[[#Data],[행운계수]],MATCH(E222, 몬스터계수[[#Data],[타입]],0),1)*C222,
IF(E222="회피형",INDEX(몬스터계수[[#Data],[행운계수]],MATCH(E222, 몬스터계수[[#Data],[타입]],0),1)*C222,
IF(E222="체력형",INDEX(몬스터계수[[#Data],[행운계수]],MATCH(E222, 몬스터계수[[#Data],[타입]],0),1)*C222,0))))</f>
        <v>548.25</v>
      </c>
      <c r="K222" s="34">
        <f>ROUND(
(($F222)*참고!$D$5)
+(($G222)*참고!$D$6)
+(($H222)*참고!$D$7)
+(($I222)*참고!$D$8)
+(($J222))*참고!$D$9,0)</f>
        <v>85253</v>
      </c>
      <c r="L222" s="34">
        <f>ROUND(
(($F222)*참고!$E$5)
+(($G222)*참고!$E$6)
+(($H222)*참고!$E$7)
+(($I222)*참고!$E$8)
+(($J222))*참고!$E$9,0)</f>
        <v>48794</v>
      </c>
      <c r="M222" s="34">
        <f>ROUND(
(($F222)*참고!$F$5)
+(($G222)*참고!$F$6)
+(($H222)*참고!$F$7)
+(($I222)*참고!$F$8)
+(($J222))*참고!$F$9,0)</f>
        <v>13706</v>
      </c>
      <c r="N222" s="34">
        <f>ROUND(
(($F222)*참고!$G$5)
+(($G222)*참고!$G$6)
+(($H222)*참고!$G$7)
+(($I222)*참고!$G$8)
+(($J222))*참고!$G$9,0)</f>
        <v>384</v>
      </c>
      <c r="O222" s="34">
        <f>ROUND(
(($F222)*참고!$H$5)
+(($G222)*참고!$H$6)
+(($H222)*참고!$H$7)
+(($I222)*참고!$H$8)
+(($J222))*참고!$H$9,0)</f>
        <v>9046</v>
      </c>
      <c r="P222" s="34">
        <f>ROUND(
(($F222)*참고!$I$5)
+(($G222)*참고!$I$6)
+(($H222)*참고!$I$7)
+(($I222)*참고!$I$8)
+(($J222))*참고!$I$9,0)</f>
        <v>15899</v>
      </c>
      <c r="Q222" s="34">
        <f>ROUND(
(($F222)*참고!$J$5)
+(($G222)*참고!$J$6)
+(($H222)*참고!$J$7)
+(($I222)*참고!$J$8)
+(($J222))*참고!$J$9,0)</f>
        <v>10965</v>
      </c>
      <c r="R222" s="34">
        <f>IF(E222="공격형",(INDEX(몬스터계수[[#Data],[속도]],MATCH(E222, 몬스터계수[[#Data],[타입]],0),1)*속도핸들러_곱계수)*(INT(몬스터밸런스[[#This Row],[Lv]]/속도핸들러_합계수+1)),
IF(E222="방어형",(INDEX(몬스터계수[[#Data],[속도]],MATCH(E222, 몬스터계수[[#Data],[타입]],0),1)*속도핸들러_곱계수)*(INT(몬스터밸런스[[#This Row],[Lv]]/속도핸들러_합계수+1)),
IF(E222="회피형",(INDEX(몬스터계수[[#Data],[속도]],MATCH(E222, 몬스터계수[[#Data],[타입]],0),1)*속도핸들러_곱계수)*(INT(몬스터밸런스[[#This Row],[Lv]]/속도핸들러_합계수+1)),
IF(E222="기본형",(INDEX(몬스터계수[[#Data],[속도]],MATCH(E222, 몬스터계수[[#Data],[타입]],0),1)*속도핸들러_곱계수)*(INT(몬스터밸런스[[#This Row],[Lv]]/속도핸들러_합계수+1)),0))))</f>
        <v>0</v>
      </c>
      <c r="S222">
        <f t="shared" si="10"/>
        <v>2927015.5</v>
      </c>
      <c r="U222">
        <v>4</v>
      </c>
      <c r="V222">
        <v>220</v>
      </c>
      <c r="W222">
        <f>$Z$1*몬스터밸런스9[[#This Row],[단계]]</f>
        <v>20</v>
      </c>
      <c r="X222" t="s">
        <v>59</v>
      </c>
      <c r="AE222" s="34">
        <f>몬스터밸런스[[#This Row],[생명]]</f>
        <v>5482.5</v>
      </c>
      <c r="AF222" s="34"/>
      <c r="AG222" s="34"/>
      <c r="AH222" s="34"/>
      <c r="AI222" s="34"/>
      <c r="AJ222" s="34"/>
      <c r="AK222" s="34">
        <f>몬스터밸런스[[#This Row],[DodgeRate]]*0.2</f>
        <v>2193</v>
      </c>
      <c r="AL222">
        <f t="shared" si="11"/>
        <v>139803.75</v>
      </c>
    </row>
    <row r="223" spans="1:38">
      <c r="A223">
        <v>2200</v>
      </c>
      <c r="B223">
        <v>221</v>
      </c>
      <c r="C223">
        <f>$F$1*몬스터밸런스[[#This Row],[Lv]]+15</f>
        <v>11015</v>
      </c>
      <c r="E223" t="s">
        <v>479</v>
      </c>
      <c r="F223">
        <f>IF(E223="공격형",INDEX(몬스터계수[[#Data],[생명계수]],MATCH(E223,몬스터계수[[#Data],[타입]],0),1)*C223,
IF(E223="방어형",INDEX(몬스터계수[[#Data],[생명계수]],MATCH(E223,몬스터계수[[#Data],[타입]],0),1)*C223,
IF(E223="회피형",INDEX(몬스터계수[[#Data],[생명계수]],MATCH(E223,몬스터계수[[#Data],[타입]],0),1)*C223,
IF(E223="체력형",INDEX(몬스터계수[[#Data],[생명계수]],MATCH(E223,몬스터계수[[#Data],[타입]],0),1)*C223,0))))*IF(몬스터밸런스[[#This Row],[보스]]=TRUE,2,1)</f>
        <v>5507.5</v>
      </c>
      <c r="G223">
        <f>IF(E223="공격형",INDEX(몬스터계수[[#Data],[힘계수]],MATCH(E223, 몬스터계수[[#Data],[타입]],0),1)*C223,
IF(E223="방어형",INDEX(몬스터계수[[#Data],[힘계수]],MATCH(E223, 몬스터계수[[#Data],[타입]],0),1)*C223,
IF(E223="회피형",INDEX(몬스터계수[[#Data],[힘계수]],MATCH(E223, 몬스터계수[[#Data],[타입]],0),1)*C223,
IF(E223="체력형",INDEX(몬스터계수[[#Data],[힘계수]],MATCH(E223, 몬스터계수[[#Data],[타입]],0),1)*C223,0))))</f>
        <v>2753.75</v>
      </c>
      <c r="H223">
        <f>IF(E223="공격형",INDEX(몬스터계수[[#Data],[근력게수]],MATCH(E223,몬스터계수[[#Data],[타입]],0),1)*C223,
IF(E223="방어형",INDEX(몬스터계수[[#Data],[근력게수]],MATCH(E223,몬스터계수[[#Data],[타입]],0),1)*C223,
IF(E223="회피형",INDEX(몬스터계수[[#Data],[근력게수]],MATCH(E223,몬스터계수[[#Data],[타입]],0),1)*C223,
IF(E223="체력형",INDEX(몬스터계수[[#Data],[근력게수]],MATCH(E223,몬스터계수[[#Data],[타입]],0),1)*C223,0))))</f>
        <v>550.75</v>
      </c>
      <c r="I223">
        <f>IF(E223="공격형",INDEX(몬스터계수[[#Data],[숙련도계수]],MATCH(E223,몬스터계수[[#Data],[타입]],0),1)*C223,
IF(E223="방어형",INDEX(몬스터계수[[#Data],[숙련도계수]],MATCH(E223,몬스터계수[[#Data],[타입]],0),1)*C223,
IF(E223="회피형",INDEX(몬스터계수[[#Data],[숙련도계수]],MATCH(E223,몬스터계수[[#Data],[타입]],0),1)*C223,
IF(E223="체력형",INDEX(몬스터계수[[#Data],[숙련도계수]],MATCH(E223,몬스터계수[[#Data],[타입]],0),1)*C223,0))))</f>
        <v>1652.25</v>
      </c>
      <c r="J223">
        <f>IF(E223="공격형",INDEX(몬스터계수[[#Data],[행운계수]],MATCH(E223, 몬스터계수[[#Data],[타입]],0),1)*C223,
IF(E223="방어형",INDEX(몬스터계수[[#Data],[행운계수]],MATCH(E223, 몬스터계수[[#Data],[타입]],0),1)*C223,
IF(E223="회피형",INDEX(몬스터계수[[#Data],[행운계수]],MATCH(E223, 몬스터계수[[#Data],[타입]],0),1)*C223,
IF(E223="체력형",INDEX(몬스터계수[[#Data],[행운계수]],MATCH(E223, 몬스터계수[[#Data],[타입]],0),1)*C223,0))))</f>
        <v>550.75</v>
      </c>
      <c r="K223" s="34">
        <f>ROUND(
(($F223)*참고!$D$5)
+(($G223)*참고!$D$6)
+(($H223)*참고!$D$7)
+(($I223)*참고!$D$8)
+(($J223))*참고!$D$9,0)</f>
        <v>85642</v>
      </c>
      <c r="L223" s="34">
        <f>ROUND(
(($F223)*참고!$E$5)
+(($G223)*참고!$E$6)
+(($H223)*참고!$E$7)
+(($I223)*참고!$E$8)
+(($J223))*참고!$E$9,0)</f>
        <v>49017</v>
      </c>
      <c r="M223" s="34">
        <f>ROUND(
(($F223)*참고!$F$5)
+(($G223)*참고!$F$6)
+(($H223)*참고!$F$7)
+(($I223)*참고!$F$8)
+(($J223))*참고!$F$9,0)</f>
        <v>13769</v>
      </c>
      <c r="N223" s="34">
        <f>ROUND(
(($F223)*참고!$G$5)
+(($G223)*참고!$G$6)
+(($H223)*참고!$G$7)
+(($I223)*참고!$G$8)
+(($J223))*참고!$G$9,0)</f>
        <v>386</v>
      </c>
      <c r="O223" s="34">
        <f>ROUND(
(($F223)*참고!$H$5)
+(($G223)*참고!$H$6)
+(($H223)*참고!$H$7)
+(($I223)*참고!$H$8)
+(($J223))*참고!$H$9,0)</f>
        <v>9087</v>
      </c>
      <c r="P223" s="34">
        <f>ROUND(
(($F223)*참고!$I$5)
+(($G223)*참고!$I$6)
+(($H223)*참고!$I$7)
+(($I223)*참고!$I$8)
+(($J223))*참고!$I$9,0)</f>
        <v>15972</v>
      </c>
      <c r="Q223" s="34">
        <f>ROUND(
(($F223)*참고!$J$5)
+(($G223)*참고!$J$6)
+(($H223)*참고!$J$7)
+(($I223)*참고!$J$8)
+(($J223))*참고!$J$9,0)</f>
        <v>11015</v>
      </c>
      <c r="R223" s="34">
        <f>IF(E223="공격형",(INDEX(몬스터계수[[#Data],[속도]],MATCH(E223, 몬스터계수[[#Data],[타입]],0),1)*속도핸들러_곱계수)*(INT(몬스터밸런스[[#This Row],[Lv]]/속도핸들러_합계수+1)),
IF(E223="방어형",(INDEX(몬스터계수[[#Data],[속도]],MATCH(E223, 몬스터계수[[#Data],[타입]],0),1)*속도핸들러_곱계수)*(INT(몬스터밸런스[[#This Row],[Lv]]/속도핸들러_합계수+1)),
IF(E223="회피형",(INDEX(몬스터계수[[#Data],[속도]],MATCH(E223, 몬스터계수[[#Data],[타입]],0),1)*속도핸들러_곱계수)*(INT(몬스터밸런스[[#This Row],[Lv]]/속도핸들러_합계수+1)),
IF(E223="기본형",(INDEX(몬스터계수[[#Data],[속도]],MATCH(E223, 몬스터계수[[#Data],[타입]],0),1)*속도핸들러_곱계수)*(INT(몬스터밸런스[[#This Row],[Lv]]/속도핸들러_합계수+1)),0))))</f>
        <v>0</v>
      </c>
      <c r="S223">
        <f t="shared" si="10"/>
        <v>2940387.5</v>
      </c>
      <c r="U223">
        <v>5</v>
      </c>
      <c r="V223">
        <v>221</v>
      </c>
      <c r="W223">
        <f>$Z$1*몬스터밸런스9[[#This Row],[단계]]</f>
        <v>25</v>
      </c>
      <c r="X223" t="s">
        <v>59</v>
      </c>
      <c r="AE223" s="34"/>
      <c r="AF223" s="34"/>
      <c r="AG223" s="34"/>
      <c r="AH223" s="34"/>
      <c r="AI223" s="34"/>
      <c r="AJ223" s="34"/>
      <c r="AK223" s="34">
        <f>몬스터밸런스[[#This Row],[DodgeRate]]*0.2</f>
        <v>2203</v>
      </c>
      <c r="AL223">
        <f t="shared" si="11"/>
        <v>44060</v>
      </c>
    </row>
    <row r="224" spans="1:38">
      <c r="A224">
        <v>2210</v>
      </c>
      <c r="B224">
        <v>222</v>
      </c>
      <c r="C224">
        <f>$F$1*몬스터밸런스[[#This Row],[Lv]]+15</f>
        <v>11065</v>
      </c>
      <c r="E224" t="s">
        <v>479</v>
      </c>
      <c r="F224">
        <f>IF(E224="공격형",INDEX(몬스터계수[[#Data],[생명계수]],MATCH(E224,몬스터계수[[#Data],[타입]],0),1)*C224,
IF(E224="방어형",INDEX(몬스터계수[[#Data],[생명계수]],MATCH(E224,몬스터계수[[#Data],[타입]],0),1)*C224,
IF(E224="회피형",INDEX(몬스터계수[[#Data],[생명계수]],MATCH(E224,몬스터계수[[#Data],[타입]],0),1)*C224,
IF(E224="체력형",INDEX(몬스터계수[[#Data],[생명계수]],MATCH(E224,몬스터계수[[#Data],[타입]],0),1)*C224,0))))*IF(몬스터밸런스[[#This Row],[보스]]=TRUE,2,1)</f>
        <v>5532.5</v>
      </c>
      <c r="G224">
        <f>IF(E224="공격형",INDEX(몬스터계수[[#Data],[힘계수]],MATCH(E224, 몬스터계수[[#Data],[타입]],0),1)*C224,
IF(E224="방어형",INDEX(몬스터계수[[#Data],[힘계수]],MATCH(E224, 몬스터계수[[#Data],[타입]],0),1)*C224,
IF(E224="회피형",INDEX(몬스터계수[[#Data],[힘계수]],MATCH(E224, 몬스터계수[[#Data],[타입]],0),1)*C224,
IF(E224="체력형",INDEX(몬스터계수[[#Data],[힘계수]],MATCH(E224, 몬스터계수[[#Data],[타입]],0),1)*C224,0))))</f>
        <v>2766.25</v>
      </c>
      <c r="H224">
        <f>IF(E224="공격형",INDEX(몬스터계수[[#Data],[근력게수]],MATCH(E224,몬스터계수[[#Data],[타입]],0),1)*C224,
IF(E224="방어형",INDEX(몬스터계수[[#Data],[근력게수]],MATCH(E224,몬스터계수[[#Data],[타입]],0),1)*C224,
IF(E224="회피형",INDEX(몬스터계수[[#Data],[근력게수]],MATCH(E224,몬스터계수[[#Data],[타입]],0),1)*C224,
IF(E224="체력형",INDEX(몬스터계수[[#Data],[근력게수]],MATCH(E224,몬스터계수[[#Data],[타입]],0),1)*C224,0))))</f>
        <v>553.25</v>
      </c>
      <c r="I224">
        <f>IF(E224="공격형",INDEX(몬스터계수[[#Data],[숙련도계수]],MATCH(E224,몬스터계수[[#Data],[타입]],0),1)*C224,
IF(E224="방어형",INDEX(몬스터계수[[#Data],[숙련도계수]],MATCH(E224,몬스터계수[[#Data],[타입]],0),1)*C224,
IF(E224="회피형",INDEX(몬스터계수[[#Data],[숙련도계수]],MATCH(E224,몬스터계수[[#Data],[타입]],0),1)*C224,
IF(E224="체력형",INDEX(몬스터계수[[#Data],[숙련도계수]],MATCH(E224,몬스터계수[[#Data],[타입]],0),1)*C224,0))))</f>
        <v>1659.75</v>
      </c>
      <c r="J224">
        <f>IF(E224="공격형",INDEX(몬스터계수[[#Data],[행운계수]],MATCH(E224, 몬스터계수[[#Data],[타입]],0),1)*C224,
IF(E224="방어형",INDEX(몬스터계수[[#Data],[행운계수]],MATCH(E224, 몬스터계수[[#Data],[타입]],0),1)*C224,
IF(E224="회피형",INDEX(몬스터계수[[#Data],[행운계수]],MATCH(E224, 몬스터계수[[#Data],[타입]],0),1)*C224,
IF(E224="체력형",INDEX(몬스터계수[[#Data],[행운계수]],MATCH(E224, 몬스터계수[[#Data],[타입]],0),1)*C224,0))))</f>
        <v>553.25</v>
      </c>
      <c r="K224" s="34">
        <f>ROUND(
(($F224)*참고!$D$5)
+(($G224)*참고!$D$6)
+(($H224)*참고!$D$7)
+(($I224)*참고!$D$8)
+(($J224))*참고!$D$9,0)</f>
        <v>86030</v>
      </c>
      <c r="L224" s="34">
        <f>ROUND(
(($F224)*참고!$E$5)
+(($G224)*참고!$E$6)
+(($H224)*참고!$E$7)
+(($I224)*참고!$E$8)
+(($J224))*참고!$E$9,0)</f>
        <v>49239</v>
      </c>
      <c r="M224" s="34">
        <f>ROUND(
(($F224)*참고!$F$5)
+(($G224)*참고!$F$6)
+(($H224)*참고!$F$7)
+(($I224)*참고!$F$8)
+(($J224))*참고!$F$9,0)</f>
        <v>13831</v>
      </c>
      <c r="N224" s="34">
        <f>ROUND(
(($F224)*참고!$G$5)
+(($G224)*참고!$G$6)
+(($H224)*참고!$G$7)
+(($I224)*참고!$G$8)
+(($J224))*참고!$G$9,0)</f>
        <v>387</v>
      </c>
      <c r="O224" s="34">
        <f>ROUND(
(($F224)*참고!$H$5)
+(($G224)*참고!$H$6)
+(($H224)*참고!$H$7)
+(($I224)*참고!$H$8)
+(($J224))*참고!$H$9,0)</f>
        <v>9129</v>
      </c>
      <c r="P224" s="34">
        <f>ROUND(
(($F224)*참고!$I$5)
+(($G224)*참고!$I$6)
+(($H224)*참고!$I$7)
+(($I224)*참고!$I$8)
+(($J224))*참고!$I$9,0)</f>
        <v>16044</v>
      </c>
      <c r="Q224" s="34">
        <f>ROUND(
(($F224)*참고!$J$5)
+(($G224)*참고!$J$6)
+(($H224)*참고!$J$7)
+(($I224)*참고!$J$8)
+(($J224))*참고!$J$9,0)</f>
        <v>11065</v>
      </c>
      <c r="R224" s="34">
        <f>IF(E224="공격형",(INDEX(몬스터계수[[#Data],[속도]],MATCH(E224, 몬스터계수[[#Data],[타입]],0),1)*속도핸들러_곱계수)*(INT(몬스터밸런스[[#This Row],[Lv]]/속도핸들러_합계수+1)),
IF(E224="방어형",(INDEX(몬스터계수[[#Data],[속도]],MATCH(E224, 몬스터계수[[#Data],[타입]],0),1)*속도핸들러_곱계수)*(INT(몬스터밸런스[[#This Row],[Lv]]/속도핸들러_합계수+1)),
IF(E224="회피형",(INDEX(몬스터계수[[#Data],[속도]],MATCH(E224, 몬스터계수[[#Data],[타입]],0),1)*속도핸들러_곱계수)*(INT(몬스터밸런스[[#This Row],[Lv]]/속도핸들러_합계수+1)),
IF(E224="기본형",(INDEX(몬스터계수[[#Data],[속도]],MATCH(E224, 몬스터계수[[#Data],[타입]],0),1)*속도핸들러_곱계수)*(INT(몬스터밸런스[[#This Row],[Lv]]/속도핸들러_합계수+1)),0))))</f>
        <v>0</v>
      </c>
      <c r="S224">
        <f t="shared" si="10"/>
        <v>2953703</v>
      </c>
      <c r="U224">
        <v>5</v>
      </c>
      <c r="V224">
        <v>222</v>
      </c>
      <c r="W224">
        <f>$Z$1*몬스터밸런스9[[#This Row],[단계]]</f>
        <v>25</v>
      </c>
      <c r="X224" t="s">
        <v>59</v>
      </c>
      <c r="AE224" s="34"/>
      <c r="AF224" s="34"/>
      <c r="AG224" s="34"/>
      <c r="AH224" s="34"/>
      <c r="AI224" s="34"/>
      <c r="AJ224" s="34"/>
      <c r="AK224" s="34">
        <f>몬스터밸런스[[#This Row],[DodgeRate]]*0.2</f>
        <v>2213</v>
      </c>
      <c r="AL224">
        <f t="shared" si="11"/>
        <v>44260</v>
      </c>
    </row>
    <row r="225" spans="1:38">
      <c r="A225">
        <v>2220</v>
      </c>
      <c r="B225">
        <v>223</v>
      </c>
      <c r="C225">
        <f>$F$1*몬스터밸런스[[#This Row],[Lv]]+15</f>
        <v>11115</v>
      </c>
      <c r="E225" t="s">
        <v>479</v>
      </c>
      <c r="F225">
        <f>IF(E225="공격형",INDEX(몬스터계수[[#Data],[생명계수]],MATCH(E225,몬스터계수[[#Data],[타입]],0),1)*C225,
IF(E225="방어형",INDEX(몬스터계수[[#Data],[생명계수]],MATCH(E225,몬스터계수[[#Data],[타입]],0),1)*C225,
IF(E225="회피형",INDEX(몬스터계수[[#Data],[생명계수]],MATCH(E225,몬스터계수[[#Data],[타입]],0),1)*C225,
IF(E225="체력형",INDEX(몬스터계수[[#Data],[생명계수]],MATCH(E225,몬스터계수[[#Data],[타입]],0),1)*C225,0))))*IF(몬스터밸런스[[#This Row],[보스]]=TRUE,2,1)</f>
        <v>5557.5</v>
      </c>
      <c r="G225">
        <f>IF(E225="공격형",INDEX(몬스터계수[[#Data],[힘계수]],MATCH(E225, 몬스터계수[[#Data],[타입]],0),1)*C225,
IF(E225="방어형",INDEX(몬스터계수[[#Data],[힘계수]],MATCH(E225, 몬스터계수[[#Data],[타입]],0),1)*C225,
IF(E225="회피형",INDEX(몬스터계수[[#Data],[힘계수]],MATCH(E225, 몬스터계수[[#Data],[타입]],0),1)*C225,
IF(E225="체력형",INDEX(몬스터계수[[#Data],[힘계수]],MATCH(E225, 몬스터계수[[#Data],[타입]],0),1)*C225,0))))</f>
        <v>2778.75</v>
      </c>
      <c r="H225">
        <f>IF(E225="공격형",INDEX(몬스터계수[[#Data],[근력게수]],MATCH(E225,몬스터계수[[#Data],[타입]],0),1)*C225,
IF(E225="방어형",INDEX(몬스터계수[[#Data],[근력게수]],MATCH(E225,몬스터계수[[#Data],[타입]],0),1)*C225,
IF(E225="회피형",INDEX(몬스터계수[[#Data],[근력게수]],MATCH(E225,몬스터계수[[#Data],[타입]],0),1)*C225,
IF(E225="체력형",INDEX(몬스터계수[[#Data],[근력게수]],MATCH(E225,몬스터계수[[#Data],[타입]],0),1)*C225,0))))</f>
        <v>555.75</v>
      </c>
      <c r="I225">
        <f>IF(E225="공격형",INDEX(몬스터계수[[#Data],[숙련도계수]],MATCH(E225,몬스터계수[[#Data],[타입]],0),1)*C225,
IF(E225="방어형",INDEX(몬스터계수[[#Data],[숙련도계수]],MATCH(E225,몬스터계수[[#Data],[타입]],0),1)*C225,
IF(E225="회피형",INDEX(몬스터계수[[#Data],[숙련도계수]],MATCH(E225,몬스터계수[[#Data],[타입]],0),1)*C225,
IF(E225="체력형",INDEX(몬스터계수[[#Data],[숙련도계수]],MATCH(E225,몬스터계수[[#Data],[타입]],0),1)*C225,0))))</f>
        <v>1667.25</v>
      </c>
      <c r="J225">
        <f>IF(E225="공격형",INDEX(몬스터계수[[#Data],[행운계수]],MATCH(E225, 몬스터계수[[#Data],[타입]],0),1)*C225,
IF(E225="방어형",INDEX(몬스터계수[[#Data],[행운계수]],MATCH(E225, 몬스터계수[[#Data],[타입]],0),1)*C225,
IF(E225="회피형",INDEX(몬스터계수[[#Data],[행운계수]],MATCH(E225, 몬스터계수[[#Data],[타입]],0),1)*C225,
IF(E225="체력형",INDEX(몬스터계수[[#Data],[행운계수]],MATCH(E225, 몬스터계수[[#Data],[타입]],0),1)*C225,0))))</f>
        <v>555.75</v>
      </c>
      <c r="K225" s="34">
        <f>ROUND(
(($F225)*참고!$D$5)
+(($G225)*참고!$D$6)
+(($H225)*참고!$D$7)
+(($I225)*참고!$D$8)
+(($J225))*참고!$D$9,0)</f>
        <v>86419</v>
      </c>
      <c r="L225" s="34">
        <f>ROUND(
(($F225)*참고!$E$5)
+(($G225)*참고!$E$6)
+(($H225)*참고!$E$7)
+(($I225)*참고!$E$8)
+(($J225))*참고!$E$9,0)</f>
        <v>49462</v>
      </c>
      <c r="M225" s="34">
        <f>ROUND(
(($F225)*참고!$F$5)
+(($G225)*참고!$F$6)
+(($H225)*참고!$F$7)
+(($I225)*참고!$F$8)
+(($J225))*참고!$F$9,0)</f>
        <v>13894</v>
      </c>
      <c r="N225" s="34">
        <f>ROUND(
(($F225)*참고!$G$5)
+(($G225)*참고!$G$6)
+(($H225)*참고!$G$7)
+(($I225)*참고!$G$8)
+(($J225))*참고!$G$9,0)</f>
        <v>389</v>
      </c>
      <c r="O225" s="34">
        <f>ROUND(
(($F225)*참고!$H$5)
+(($G225)*참고!$H$6)
+(($H225)*참고!$H$7)
+(($I225)*참고!$H$8)
+(($J225))*참고!$H$9,0)</f>
        <v>9170</v>
      </c>
      <c r="P225" s="34">
        <f>ROUND(
(($F225)*참고!$I$5)
+(($G225)*참고!$I$6)
+(($H225)*참고!$I$7)
+(($I225)*참고!$I$8)
+(($J225))*참고!$I$9,0)</f>
        <v>16117</v>
      </c>
      <c r="Q225" s="34">
        <f>ROUND(
(($F225)*참고!$J$5)
+(($G225)*참고!$J$6)
+(($H225)*참고!$J$7)
+(($I225)*참고!$J$8)
+(($J225))*참고!$J$9,0)</f>
        <v>11115</v>
      </c>
      <c r="R225" s="34">
        <f>IF(E225="공격형",(INDEX(몬스터계수[[#Data],[속도]],MATCH(E225, 몬스터계수[[#Data],[타입]],0),1)*속도핸들러_곱계수)*(INT(몬스터밸런스[[#This Row],[Lv]]/속도핸들러_합계수+1)),
IF(E225="방어형",(INDEX(몬스터계수[[#Data],[속도]],MATCH(E225, 몬스터계수[[#Data],[타입]],0),1)*속도핸들러_곱계수)*(INT(몬스터밸런스[[#This Row],[Lv]]/속도핸들러_합계수+1)),
IF(E225="회피형",(INDEX(몬스터계수[[#Data],[속도]],MATCH(E225, 몬스터계수[[#Data],[타입]],0),1)*속도핸들러_곱계수)*(INT(몬스터밸런스[[#This Row],[Lv]]/속도핸들러_합계수+1)),
IF(E225="기본형",(INDEX(몬스터계수[[#Data],[속도]],MATCH(E225, 몬스터계수[[#Data],[타입]],0),1)*속도핸들러_곱계수)*(INT(몬스터밸런스[[#This Row],[Lv]]/속도핸들러_합계수+1)),0))))</f>
        <v>0</v>
      </c>
      <c r="S225">
        <f t="shared" si="10"/>
        <v>2967075</v>
      </c>
      <c r="U225">
        <v>5</v>
      </c>
      <c r="V225">
        <v>223</v>
      </c>
      <c r="W225">
        <f>$Z$1*몬스터밸런스9[[#This Row],[단계]]</f>
        <v>25</v>
      </c>
      <c r="X225" t="s">
        <v>59</v>
      </c>
      <c r="AE225" s="34"/>
      <c r="AF225" s="34"/>
      <c r="AG225" s="34"/>
      <c r="AH225" s="34"/>
      <c r="AI225" s="34"/>
      <c r="AJ225" s="34"/>
      <c r="AK225" s="34">
        <f>몬스터밸런스[[#This Row],[DodgeRate]]*0.2</f>
        <v>2223</v>
      </c>
      <c r="AL225">
        <f t="shared" si="11"/>
        <v>44460</v>
      </c>
    </row>
    <row r="226" spans="1:38">
      <c r="A226">
        <v>2230</v>
      </c>
      <c r="B226">
        <v>224</v>
      </c>
      <c r="C226">
        <f>$F$1*몬스터밸런스[[#This Row],[Lv]]+15</f>
        <v>11165</v>
      </c>
      <c r="E226" t="s">
        <v>479</v>
      </c>
      <c r="F226">
        <f>IF(E226="공격형",INDEX(몬스터계수[[#Data],[생명계수]],MATCH(E226,몬스터계수[[#Data],[타입]],0),1)*C226,
IF(E226="방어형",INDEX(몬스터계수[[#Data],[생명계수]],MATCH(E226,몬스터계수[[#Data],[타입]],0),1)*C226,
IF(E226="회피형",INDEX(몬스터계수[[#Data],[생명계수]],MATCH(E226,몬스터계수[[#Data],[타입]],0),1)*C226,
IF(E226="체력형",INDEX(몬스터계수[[#Data],[생명계수]],MATCH(E226,몬스터계수[[#Data],[타입]],0),1)*C226,0))))*IF(몬스터밸런스[[#This Row],[보스]]=TRUE,2,1)</f>
        <v>5582.5</v>
      </c>
      <c r="G226">
        <f>IF(E226="공격형",INDEX(몬스터계수[[#Data],[힘계수]],MATCH(E226, 몬스터계수[[#Data],[타입]],0),1)*C226,
IF(E226="방어형",INDEX(몬스터계수[[#Data],[힘계수]],MATCH(E226, 몬스터계수[[#Data],[타입]],0),1)*C226,
IF(E226="회피형",INDEX(몬스터계수[[#Data],[힘계수]],MATCH(E226, 몬스터계수[[#Data],[타입]],0),1)*C226,
IF(E226="체력형",INDEX(몬스터계수[[#Data],[힘계수]],MATCH(E226, 몬스터계수[[#Data],[타입]],0),1)*C226,0))))</f>
        <v>2791.25</v>
      </c>
      <c r="H226">
        <f>IF(E226="공격형",INDEX(몬스터계수[[#Data],[근력게수]],MATCH(E226,몬스터계수[[#Data],[타입]],0),1)*C226,
IF(E226="방어형",INDEX(몬스터계수[[#Data],[근력게수]],MATCH(E226,몬스터계수[[#Data],[타입]],0),1)*C226,
IF(E226="회피형",INDEX(몬스터계수[[#Data],[근력게수]],MATCH(E226,몬스터계수[[#Data],[타입]],0),1)*C226,
IF(E226="체력형",INDEX(몬스터계수[[#Data],[근력게수]],MATCH(E226,몬스터계수[[#Data],[타입]],0),1)*C226,0))))</f>
        <v>558.25</v>
      </c>
      <c r="I226">
        <f>IF(E226="공격형",INDEX(몬스터계수[[#Data],[숙련도계수]],MATCH(E226,몬스터계수[[#Data],[타입]],0),1)*C226,
IF(E226="방어형",INDEX(몬스터계수[[#Data],[숙련도계수]],MATCH(E226,몬스터계수[[#Data],[타입]],0),1)*C226,
IF(E226="회피형",INDEX(몬스터계수[[#Data],[숙련도계수]],MATCH(E226,몬스터계수[[#Data],[타입]],0),1)*C226,
IF(E226="체력형",INDEX(몬스터계수[[#Data],[숙련도계수]],MATCH(E226,몬스터계수[[#Data],[타입]],0),1)*C226,0))))</f>
        <v>1674.75</v>
      </c>
      <c r="J226">
        <f>IF(E226="공격형",INDEX(몬스터계수[[#Data],[행운계수]],MATCH(E226, 몬스터계수[[#Data],[타입]],0),1)*C226,
IF(E226="방어형",INDEX(몬스터계수[[#Data],[행운계수]],MATCH(E226, 몬스터계수[[#Data],[타입]],0),1)*C226,
IF(E226="회피형",INDEX(몬스터계수[[#Data],[행운계수]],MATCH(E226, 몬스터계수[[#Data],[타입]],0),1)*C226,
IF(E226="체력형",INDEX(몬스터계수[[#Data],[행운계수]],MATCH(E226, 몬스터계수[[#Data],[타입]],0),1)*C226,0))))</f>
        <v>558.25</v>
      </c>
      <c r="K226" s="34">
        <f>ROUND(
(($F226)*참고!$D$5)
+(($G226)*참고!$D$6)
+(($H226)*참고!$D$7)
+(($I226)*참고!$D$8)
+(($J226))*참고!$D$9,0)</f>
        <v>86808</v>
      </c>
      <c r="L226" s="34">
        <f>ROUND(
(($F226)*참고!$E$5)
+(($G226)*참고!$E$6)
+(($H226)*참고!$E$7)
+(($I226)*참고!$E$8)
+(($J226))*참고!$E$9,0)</f>
        <v>49684</v>
      </c>
      <c r="M226" s="34">
        <f>ROUND(
(($F226)*참고!$F$5)
+(($G226)*참고!$F$6)
+(($H226)*참고!$F$7)
+(($I226)*참고!$F$8)
+(($J226))*참고!$F$9,0)</f>
        <v>13956</v>
      </c>
      <c r="N226" s="34">
        <f>ROUND(
(($F226)*참고!$G$5)
+(($G226)*참고!$G$6)
+(($H226)*참고!$G$7)
+(($I226)*참고!$G$8)
+(($J226))*참고!$G$9,0)</f>
        <v>391</v>
      </c>
      <c r="O226" s="34">
        <f>ROUND(
(($F226)*참고!$H$5)
+(($G226)*참고!$H$6)
+(($H226)*참고!$H$7)
+(($I226)*참고!$H$8)
+(($J226))*참고!$H$9,0)</f>
        <v>9211</v>
      </c>
      <c r="P226" s="34">
        <f>ROUND(
(($F226)*참고!$I$5)
+(($G226)*참고!$I$6)
+(($H226)*참고!$I$7)
+(($I226)*참고!$I$8)
+(($J226))*참고!$I$9,0)</f>
        <v>16189</v>
      </c>
      <c r="Q226" s="34">
        <f>ROUND(
(($F226)*참고!$J$5)
+(($G226)*참고!$J$6)
+(($H226)*참고!$J$7)
+(($I226)*참고!$J$8)
+(($J226))*참고!$J$9,0)</f>
        <v>11165</v>
      </c>
      <c r="R226" s="34">
        <f>IF(E226="공격형",(INDEX(몬스터계수[[#Data],[속도]],MATCH(E226, 몬스터계수[[#Data],[타입]],0),1)*속도핸들러_곱계수)*(INT(몬스터밸런스[[#This Row],[Lv]]/속도핸들러_합계수+1)),
IF(E226="방어형",(INDEX(몬스터계수[[#Data],[속도]],MATCH(E226, 몬스터계수[[#Data],[타입]],0),1)*속도핸들러_곱계수)*(INT(몬스터밸런스[[#This Row],[Lv]]/속도핸들러_합계수+1)),
IF(E226="회피형",(INDEX(몬스터계수[[#Data],[속도]],MATCH(E226, 몬스터계수[[#Data],[타입]],0),1)*속도핸들러_곱계수)*(INT(몬스터밸런스[[#This Row],[Lv]]/속도핸들러_합계수+1)),
IF(E226="기본형",(INDEX(몬스터계수[[#Data],[속도]],MATCH(E226, 몬스터계수[[#Data],[타입]],0),1)*속도핸들러_곱계수)*(INT(몬스터밸런스[[#This Row],[Lv]]/속도핸들러_합계수+1)),0))))</f>
        <v>0</v>
      </c>
      <c r="S226">
        <f t="shared" si="10"/>
        <v>2980404</v>
      </c>
      <c r="U226">
        <v>5</v>
      </c>
      <c r="V226">
        <v>224</v>
      </c>
      <c r="W226">
        <f>$Z$1*몬스터밸런스9[[#This Row],[단계]]</f>
        <v>25</v>
      </c>
      <c r="X226" t="s">
        <v>59</v>
      </c>
      <c r="AE226" s="34"/>
      <c r="AF226" s="34"/>
      <c r="AG226" s="34"/>
      <c r="AH226" s="34"/>
      <c r="AI226" s="34"/>
      <c r="AJ226" s="34">
        <f>몬스터밸런스[[#This Row],[Accuracy]]*0.2</f>
        <v>3237.8</v>
      </c>
      <c r="AK226" s="34">
        <f>몬스터밸런스[[#This Row],[DodgeRate]]*0.2</f>
        <v>2233</v>
      </c>
      <c r="AL226">
        <f t="shared" si="11"/>
        <v>80275.8</v>
      </c>
    </row>
    <row r="227" spans="1:38">
      <c r="A227">
        <v>2240</v>
      </c>
      <c r="B227">
        <v>225</v>
      </c>
      <c r="C227">
        <f>$F$1*몬스터밸런스[[#This Row],[Lv]]+15</f>
        <v>11215</v>
      </c>
      <c r="E227" t="s">
        <v>479</v>
      </c>
      <c r="F227">
        <f>IF(E227="공격형",INDEX(몬스터계수[[#Data],[생명계수]],MATCH(E227,몬스터계수[[#Data],[타입]],0),1)*C227,
IF(E227="방어형",INDEX(몬스터계수[[#Data],[생명계수]],MATCH(E227,몬스터계수[[#Data],[타입]],0),1)*C227,
IF(E227="회피형",INDEX(몬스터계수[[#Data],[생명계수]],MATCH(E227,몬스터계수[[#Data],[타입]],0),1)*C227,
IF(E227="체력형",INDEX(몬스터계수[[#Data],[생명계수]],MATCH(E227,몬스터계수[[#Data],[타입]],0),1)*C227,0))))*IF(몬스터밸런스[[#This Row],[보스]]=TRUE,2,1)</f>
        <v>5607.5</v>
      </c>
      <c r="G227">
        <f>IF(E227="공격형",INDEX(몬스터계수[[#Data],[힘계수]],MATCH(E227, 몬스터계수[[#Data],[타입]],0),1)*C227,
IF(E227="방어형",INDEX(몬스터계수[[#Data],[힘계수]],MATCH(E227, 몬스터계수[[#Data],[타입]],0),1)*C227,
IF(E227="회피형",INDEX(몬스터계수[[#Data],[힘계수]],MATCH(E227, 몬스터계수[[#Data],[타입]],0),1)*C227,
IF(E227="체력형",INDEX(몬스터계수[[#Data],[힘계수]],MATCH(E227, 몬스터계수[[#Data],[타입]],0),1)*C227,0))))</f>
        <v>2803.75</v>
      </c>
      <c r="H227">
        <f>IF(E227="공격형",INDEX(몬스터계수[[#Data],[근력게수]],MATCH(E227,몬스터계수[[#Data],[타입]],0),1)*C227,
IF(E227="방어형",INDEX(몬스터계수[[#Data],[근력게수]],MATCH(E227,몬스터계수[[#Data],[타입]],0),1)*C227,
IF(E227="회피형",INDEX(몬스터계수[[#Data],[근력게수]],MATCH(E227,몬스터계수[[#Data],[타입]],0),1)*C227,
IF(E227="체력형",INDEX(몬스터계수[[#Data],[근력게수]],MATCH(E227,몬스터계수[[#Data],[타입]],0),1)*C227,0))))</f>
        <v>560.75</v>
      </c>
      <c r="I227">
        <f>IF(E227="공격형",INDEX(몬스터계수[[#Data],[숙련도계수]],MATCH(E227,몬스터계수[[#Data],[타입]],0),1)*C227,
IF(E227="방어형",INDEX(몬스터계수[[#Data],[숙련도계수]],MATCH(E227,몬스터계수[[#Data],[타입]],0),1)*C227,
IF(E227="회피형",INDEX(몬스터계수[[#Data],[숙련도계수]],MATCH(E227,몬스터계수[[#Data],[타입]],0),1)*C227,
IF(E227="체력형",INDEX(몬스터계수[[#Data],[숙련도계수]],MATCH(E227,몬스터계수[[#Data],[타입]],0),1)*C227,0))))</f>
        <v>1682.25</v>
      </c>
      <c r="J227">
        <f>IF(E227="공격형",INDEX(몬스터계수[[#Data],[행운계수]],MATCH(E227, 몬스터계수[[#Data],[타입]],0),1)*C227,
IF(E227="방어형",INDEX(몬스터계수[[#Data],[행운계수]],MATCH(E227, 몬스터계수[[#Data],[타입]],0),1)*C227,
IF(E227="회피형",INDEX(몬스터계수[[#Data],[행운계수]],MATCH(E227, 몬스터계수[[#Data],[타입]],0),1)*C227,
IF(E227="체력형",INDEX(몬스터계수[[#Data],[행운계수]],MATCH(E227, 몬스터계수[[#Data],[타입]],0),1)*C227,0))))</f>
        <v>560.75</v>
      </c>
      <c r="K227" s="34">
        <f>ROUND(
(($F227)*참고!$D$5)
+(($G227)*참고!$D$6)
+(($H227)*참고!$D$7)
+(($I227)*참고!$D$8)
+(($J227))*참고!$D$9,0)</f>
        <v>87197</v>
      </c>
      <c r="L227" s="34">
        <f>ROUND(
(($F227)*참고!$E$5)
+(($G227)*참고!$E$6)
+(($H227)*참고!$E$7)
+(($I227)*참고!$E$8)
+(($J227))*참고!$E$9,0)</f>
        <v>49907</v>
      </c>
      <c r="M227" s="34">
        <f>ROUND(
(($F227)*참고!$F$5)
+(($G227)*참고!$F$6)
+(($H227)*참고!$F$7)
+(($I227)*참고!$F$8)
+(($J227))*참고!$F$9,0)</f>
        <v>14019</v>
      </c>
      <c r="N227" s="34">
        <f>ROUND(
(($F227)*참고!$G$5)
+(($G227)*참고!$G$6)
+(($H227)*참고!$G$7)
+(($I227)*참고!$G$8)
+(($J227))*참고!$G$9,0)</f>
        <v>393</v>
      </c>
      <c r="O227" s="34">
        <f>ROUND(
(($F227)*참고!$H$5)
+(($G227)*참고!$H$6)
+(($H227)*참고!$H$7)
+(($I227)*참고!$H$8)
+(($J227))*참고!$H$9,0)</f>
        <v>9252</v>
      </c>
      <c r="P227" s="34">
        <f>ROUND(
(($F227)*참고!$I$5)
+(($G227)*참고!$I$6)
+(($H227)*참고!$I$7)
+(($I227)*참고!$I$8)
+(($J227))*참고!$I$9,0)</f>
        <v>16262</v>
      </c>
      <c r="Q227" s="34">
        <f>ROUND(
(($F227)*참고!$J$5)
+(($G227)*참고!$J$6)
+(($H227)*참고!$J$7)
+(($I227)*참고!$J$8)
+(($J227))*참고!$J$9,0)</f>
        <v>11215</v>
      </c>
      <c r="R227" s="34">
        <f>IF(E227="공격형",(INDEX(몬스터계수[[#Data],[속도]],MATCH(E227, 몬스터계수[[#Data],[타입]],0),1)*속도핸들러_곱계수)*(INT(몬스터밸런스[[#This Row],[Lv]]/속도핸들러_합계수+1)),
IF(E227="방어형",(INDEX(몬스터계수[[#Data],[속도]],MATCH(E227, 몬스터계수[[#Data],[타입]],0),1)*속도핸들러_곱계수)*(INT(몬스터밸런스[[#This Row],[Lv]]/속도핸들러_합계수+1)),
IF(E227="회피형",(INDEX(몬스터계수[[#Data],[속도]],MATCH(E227, 몬스터계수[[#Data],[타입]],0),1)*속도핸들러_곱계수)*(INT(몬스터밸런스[[#This Row],[Lv]]/속도핸들러_합계수+1)),
IF(E227="기본형",(INDEX(몬스터계수[[#Data],[속도]],MATCH(E227, 몬스터계수[[#Data],[타입]],0),1)*속도핸들러_곱계수)*(INT(몬스터밸런스[[#This Row],[Lv]]/속도핸들러_합계수+1)),0))))</f>
        <v>0</v>
      </c>
      <c r="S227">
        <f t="shared" si="10"/>
        <v>2993776</v>
      </c>
      <c r="U227">
        <v>5</v>
      </c>
      <c r="V227">
        <v>225</v>
      </c>
      <c r="W227">
        <f>$Z$1*몬스터밸런스9[[#This Row],[단계]]</f>
        <v>25</v>
      </c>
      <c r="X227" t="s">
        <v>59</v>
      </c>
      <c r="AE227" s="34"/>
      <c r="AF227" s="34"/>
      <c r="AG227" s="34"/>
      <c r="AH227" s="34"/>
      <c r="AI227" s="34"/>
      <c r="AJ227" s="34">
        <f>몬스터밸런스[[#This Row],[Accuracy]]*0.2</f>
        <v>3252.4</v>
      </c>
      <c r="AK227" s="34">
        <f>몬스터밸런스[[#This Row],[DodgeRate]]*0.2</f>
        <v>2243</v>
      </c>
      <c r="AL227">
        <f t="shared" si="11"/>
        <v>80636.399999999994</v>
      </c>
    </row>
    <row r="228" spans="1:38">
      <c r="A228">
        <v>2250</v>
      </c>
      <c r="B228">
        <v>226</v>
      </c>
      <c r="C228">
        <f>$F$1*몬스터밸런스[[#This Row],[Lv]]+15</f>
        <v>11265</v>
      </c>
      <c r="E228" t="s">
        <v>479</v>
      </c>
      <c r="F228">
        <f>IF(E228="공격형",INDEX(몬스터계수[[#Data],[생명계수]],MATCH(E228,몬스터계수[[#Data],[타입]],0),1)*C228,
IF(E228="방어형",INDEX(몬스터계수[[#Data],[생명계수]],MATCH(E228,몬스터계수[[#Data],[타입]],0),1)*C228,
IF(E228="회피형",INDEX(몬스터계수[[#Data],[생명계수]],MATCH(E228,몬스터계수[[#Data],[타입]],0),1)*C228,
IF(E228="체력형",INDEX(몬스터계수[[#Data],[생명계수]],MATCH(E228,몬스터계수[[#Data],[타입]],0),1)*C228,0))))*IF(몬스터밸런스[[#This Row],[보스]]=TRUE,2,1)</f>
        <v>5632.5</v>
      </c>
      <c r="G228">
        <f>IF(E228="공격형",INDEX(몬스터계수[[#Data],[힘계수]],MATCH(E228, 몬스터계수[[#Data],[타입]],0),1)*C228,
IF(E228="방어형",INDEX(몬스터계수[[#Data],[힘계수]],MATCH(E228, 몬스터계수[[#Data],[타입]],0),1)*C228,
IF(E228="회피형",INDEX(몬스터계수[[#Data],[힘계수]],MATCH(E228, 몬스터계수[[#Data],[타입]],0),1)*C228,
IF(E228="체력형",INDEX(몬스터계수[[#Data],[힘계수]],MATCH(E228, 몬스터계수[[#Data],[타입]],0),1)*C228,0))))</f>
        <v>2816.25</v>
      </c>
      <c r="H228">
        <f>IF(E228="공격형",INDEX(몬스터계수[[#Data],[근력게수]],MATCH(E228,몬스터계수[[#Data],[타입]],0),1)*C228,
IF(E228="방어형",INDEX(몬스터계수[[#Data],[근력게수]],MATCH(E228,몬스터계수[[#Data],[타입]],0),1)*C228,
IF(E228="회피형",INDEX(몬스터계수[[#Data],[근력게수]],MATCH(E228,몬스터계수[[#Data],[타입]],0),1)*C228,
IF(E228="체력형",INDEX(몬스터계수[[#Data],[근력게수]],MATCH(E228,몬스터계수[[#Data],[타입]],0),1)*C228,0))))</f>
        <v>563.25</v>
      </c>
      <c r="I228">
        <f>IF(E228="공격형",INDEX(몬스터계수[[#Data],[숙련도계수]],MATCH(E228,몬스터계수[[#Data],[타입]],0),1)*C228,
IF(E228="방어형",INDEX(몬스터계수[[#Data],[숙련도계수]],MATCH(E228,몬스터계수[[#Data],[타입]],0),1)*C228,
IF(E228="회피형",INDEX(몬스터계수[[#Data],[숙련도계수]],MATCH(E228,몬스터계수[[#Data],[타입]],0),1)*C228,
IF(E228="체력형",INDEX(몬스터계수[[#Data],[숙련도계수]],MATCH(E228,몬스터계수[[#Data],[타입]],0),1)*C228,0))))</f>
        <v>1689.75</v>
      </c>
      <c r="J228">
        <f>IF(E228="공격형",INDEX(몬스터계수[[#Data],[행운계수]],MATCH(E228, 몬스터계수[[#Data],[타입]],0),1)*C228,
IF(E228="방어형",INDEX(몬스터계수[[#Data],[행운계수]],MATCH(E228, 몬스터계수[[#Data],[타입]],0),1)*C228,
IF(E228="회피형",INDEX(몬스터계수[[#Data],[행운계수]],MATCH(E228, 몬스터계수[[#Data],[타입]],0),1)*C228,
IF(E228="체력형",INDEX(몬스터계수[[#Data],[행운계수]],MATCH(E228, 몬스터계수[[#Data],[타입]],0),1)*C228,0))))</f>
        <v>563.25</v>
      </c>
      <c r="K228" s="34">
        <f>ROUND(
(($F228)*참고!$D$5)
+(($G228)*참고!$D$6)
+(($H228)*참고!$D$7)
+(($I228)*참고!$D$8)
+(($J228))*참고!$D$9,0)</f>
        <v>87585</v>
      </c>
      <c r="L228" s="34">
        <f>ROUND(
(($F228)*참고!$E$5)
+(($G228)*참고!$E$6)
+(($H228)*참고!$E$7)
+(($I228)*참고!$E$8)
+(($J228))*참고!$E$9,0)</f>
        <v>50129</v>
      </c>
      <c r="M228" s="34">
        <f>ROUND(
(($F228)*참고!$F$5)
+(($G228)*참고!$F$6)
+(($H228)*참고!$F$7)
+(($I228)*참고!$F$8)
+(($J228))*참고!$F$9,0)</f>
        <v>14081</v>
      </c>
      <c r="N228" s="34">
        <f>ROUND(
(($F228)*참고!$G$5)
+(($G228)*참고!$G$6)
+(($H228)*참고!$G$7)
+(($I228)*참고!$G$8)
+(($J228))*참고!$G$9,0)</f>
        <v>394</v>
      </c>
      <c r="O228" s="34">
        <f>ROUND(
(($F228)*참고!$H$5)
+(($G228)*참고!$H$6)
+(($H228)*참고!$H$7)
+(($I228)*참고!$H$8)
+(($J228))*참고!$H$9,0)</f>
        <v>9294</v>
      </c>
      <c r="P228" s="34">
        <f>ROUND(
(($F228)*참고!$I$5)
+(($G228)*참고!$I$6)
+(($H228)*참고!$I$7)
+(($I228)*참고!$I$8)
+(($J228))*참고!$I$9,0)</f>
        <v>16334</v>
      </c>
      <c r="Q228" s="34">
        <f>ROUND(
(($F228)*참고!$J$5)
+(($G228)*참고!$J$6)
+(($H228)*참고!$J$7)
+(($I228)*참고!$J$8)
+(($J228))*참고!$J$9,0)</f>
        <v>11265</v>
      </c>
      <c r="R228" s="34">
        <f>IF(E228="공격형",(INDEX(몬스터계수[[#Data],[속도]],MATCH(E228, 몬스터계수[[#Data],[타입]],0),1)*속도핸들러_곱계수)*(INT(몬스터밸런스[[#This Row],[Lv]]/속도핸들러_합계수+1)),
IF(E228="방어형",(INDEX(몬스터계수[[#Data],[속도]],MATCH(E228, 몬스터계수[[#Data],[타입]],0),1)*속도핸들러_곱계수)*(INT(몬스터밸런스[[#This Row],[Lv]]/속도핸들러_합계수+1)),
IF(E228="회피형",(INDEX(몬스터계수[[#Data],[속도]],MATCH(E228, 몬스터계수[[#Data],[타입]],0),1)*속도핸들러_곱계수)*(INT(몬스터밸런스[[#This Row],[Lv]]/속도핸들러_합계수+1)),
IF(E228="기본형",(INDEX(몬스터계수[[#Data],[속도]],MATCH(E228, 몬스터계수[[#Data],[타입]],0),1)*속도핸들러_곱계수)*(INT(몬스터밸런스[[#This Row],[Lv]]/속도핸들러_합계수+1)),0))))</f>
        <v>0</v>
      </c>
      <c r="S228">
        <f t="shared" si="10"/>
        <v>3007091.5</v>
      </c>
      <c r="U228">
        <v>1</v>
      </c>
      <c r="V228">
        <v>226</v>
      </c>
      <c r="W228">
        <f>$Z$1*몬스터밸런스9[[#This Row],[단계]]</f>
        <v>5</v>
      </c>
      <c r="X228" t="s">
        <v>53</v>
      </c>
      <c r="AE228" s="34">
        <f>몬스터밸런스[[#This Row],[생명]]*0.1</f>
        <v>563.25</v>
      </c>
      <c r="AF228" s="34">
        <f>몬스터밸런스[[#This Row],[Attack]]*0.1</f>
        <v>5012.9000000000005</v>
      </c>
      <c r="AG228" s="34">
        <f>몬스터밸런스[[#This Row],[Defense]]*0.2</f>
        <v>2816.2000000000003</v>
      </c>
      <c r="AH228" s="34"/>
      <c r="AI228" s="34">
        <f>몬스터밸런스[[#This Row],[CriticalDamage]]*0.1</f>
        <v>929.40000000000009</v>
      </c>
      <c r="AJ228" s="34"/>
      <c r="AK228" s="34"/>
      <c r="AL228" t="e">
        <f>(AE228*HP계수) + (#REF!*attack계수) + (AG228*Defense계수) + (AH228*CriticalRate계수) + (AI228*CriticalDamage계수) + (AJ228*Accuracy계수) + (AK228*DodgeRate계수)</f>
        <v>#REF!</v>
      </c>
    </row>
    <row r="229" spans="1:38">
      <c r="A229">
        <v>2260</v>
      </c>
      <c r="B229">
        <v>227</v>
      </c>
      <c r="C229">
        <f>$F$1*몬스터밸런스[[#This Row],[Lv]]+15</f>
        <v>11315</v>
      </c>
      <c r="E229" t="s">
        <v>479</v>
      </c>
      <c r="F229">
        <f>IF(E229="공격형",INDEX(몬스터계수[[#Data],[생명계수]],MATCH(E229,몬스터계수[[#Data],[타입]],0),1)*C229,
IF(E229="방어형",INDEX(몬스터계수[[#Data],[생명계수]],MATCH(E229,몬스터계수[[#Data],[타입]],0),1)*C229,
IF(E229="회피형",INDEX(몬스터계수[[#Data],[생명계수]],MATCH(E229,몬스터계수[[#Data],[타입]],0),1)*C229,
IF(E229="체력형",INDEX(몬스터계수[[#Data],[생명계수]],MATCH(E229,몬스터계수[[#Data],[타입]],0),1)*C229,0))))*IF(몬스터밸런스[[#This Row],[보스]]=TRUE,2,1)</f>
        <v>5657.5</v>
      </c>
      <c r="G229">
        <f>IF(E229="공격형",INDEX(몬스터계수[[#Data],[힘계수]],MATCH(E229, 몬스터계수[[#Data],[타입]],0),1)*C229,
IF(E229="방어형",INDEX(몬스터계수[[#Data],[힘계수]],MATCH(E229, 몬스터계수[[#Data],[타입]],0),1)*C229,
IF(E229="회피형",INDEX(몬스터계수[[#Data],[힘계수]],MATCH(E229, 몬스터계수[[#Data],[타입]],0),1)*C229,
IF(E229="체력형",INDEX(몬스터계수[[#Data],[힘계수]],MATCH(E229, 몬스터계수[[#Data],[타입]],0),1)*C229,0))))</f>
        <v>2828.75</v>
      </c>
      <c r="H229">
        <f>IF(E229="공격형",INDEX(몬스터계수[[#Data],[근력게수]],MATCH(E229,몬스터계수[[#Data],[타입]],0),1)*C229,
IF(E229="방어형",INDEX(몬스터계수[[#Data],[근력게수]],MATCH(E229,몬스터계수[[#Data],[타입]],0),1)*C229,
IF(E229="회피형",INDEX(몬스터계수[[#Data],[근력게수]],MATCH(E229,몬스터계수[[#Data],[타입]],0),1)*C229,
IF(E229="체력형",INDEX(몬스터계수[[#Data],[근력게수]],MATCH(E229,몬스터계수[[#Data],[타입]],0),1)*C229,0))))</f>
        <v>565.75</v>
      </c>
      <c r="I229">
        <f>IF(E229="공격형",INDEX(몬스터계수[[#Data],[숙련도계수]],MATCH(E229,몬스터계수[[#Data],[타입]],0),1)*C229,
IF(E229="방어형",INDEX(몬스터계수[[#Data],[숙련도계수]],MATCH(E229,몬스터계수[[#Data],[타입]],0),1)*C229,
IF(E229="회피형",INDEX(몬스터계수[[#Data],[숙련도계수]],MATCH(E229,몬스터계수[[#Data],[타입]],0),1)*C229,
IF(E229="체력형",INDEX(몬스터계수[[#Data],[숙련도계수]],MATCH(E229,몬스터계수[[#Data],[타입]],0),1)*C229,0))))</f>
        <v>1697.25</v>
      </c>
      <c r="J229">
        <f>IF(E229="공격형",INDEX(몬스터계수[[#Data],[행운계수]],MATCH(E229, 몬스터계수[[#Data],[타입]],0),1)*C229,
IF(E229="방어형",INDEX(몬스터계수[[#Data],[행운계수]],MATCH(E229, 몬스터계수[[#Data],[타입]],0),1)*C229,
IF(E229="회피형",INDEX(몬스터계수[[#Data],[행운계수]],MATCH(E229, 몬스터계수[[#Data],[타입]],0),1)*C229,
IF(E229="체력형",INDEX(몬스터계수[[#Data],[행운계수]],MATCH(E229, 몬스터계수[[#Data],[타입]],0),1)*C229,0))))</f>
        <v>565.75</v>
      </c>
      <c r="K229" s="34">
        <f>ROUND(
(($F229)*참고!$D$5)
+(($G229)*참고!$D$6)
+(($H229)*참고!$D$7)
+(($I229)*참고!$D$8)
+(($J229))*참고!$D$9,0)</f>
        <v>87974</v>
      </c>
      <c r="L229" s="34">
        <f>ROUND(
(($F229)*참고!$E$5)
+(($G229)*참고!$E$6)
+(($H229)*참고!$E$7)
+(($I229)*참고!$E$8)
+(($J229))*참고!$E$9,0)</f>
        <v>50352</v>
      </c>
      <c r="M229" s="34">
        <f>ROUND(
(($F229)*참고!$F$5)
+(($G229)*참고!$F$6)
+(($H229)*참고!$F$7)
+(($I229)*참고!$F$8)
+(($J229))*참고!$F$9,0)</f>
        <v>14144</v>
      </c>
      <c r="N229" s="34">
        <f>ROUND(
(($F229)*참고!$G$5)
+(($G229)*참고!$G$6)
+(($H229)*참고!$G$7)
+(($I229)*참고!$G$8)
+(($J229))*참고!$G$9,0)</f>
        <v>396</v>
      </c>
      <c r="O229" s="34">
        <f>ROUND(
(($F229)*참고!$H$5)
+(($G229)*참고!$H$6)
+(($H229)*참고!$H$7)
+(($I229)*참고!$H$8)
+(($J229))*참고!$H$9,0)</f>
        <v>9335</v>
      </c>
      <c r="P229" s="34">
        <f>ROUND(
(($F229)*참고!$I$5)
+(($G229)*참고!$I$6)
+(($H229)*참고!$I$7)
+(($I229)*참고!$I$8)
+(($J229))*참고!$I$9,0)</f>
        <v>16407</v>
      </c>
      <c r="Q229" s="34">
        <f>ROUND(
(($F229)*참고!$J$5)
+(($G229)*참고!$J$6)
+(($H229)*참고!$J$7)
+(($I229)*참고!$J$8)
+(($J229))*참고!$J$9,0)</f>
        <v>11315</v>
      </c>
      <c r="R229" s="34">
        <f>IF(E229="공격형",(INDEX(몬스터계수[[#Data],[속도]],MATCH(E229, 몬스터계수[[#Data],[타입]],0),1)*속도핸들러_곱계수)*(INT(몬스터밸런스[[#This Row],[Lv]]/속도핸들러_합계수+1)),
IF(E229="방어형",(INDEX(몬스터계수[[#Data],[속도]],MATCH(E229, 몬스터계수[[#Data],[타입]],0),1)*속도핸들러_곱계수)*(INT(몬스터밸런스[[#This Row],[Lv]]/속도핸들러_합계수+1)),
IF(E229="회피형",(INDEX(몬스터계수[[#Data],[속도]],MATCH(E229, 몬스터계수[[#Data],[타입]],0),1)*속도핸들러_곱계수)*(INT(몬스터밸런스[[#This Row],[Lv]]/속도핸들러_합계수+1)),
IF(E229="기본형",(INDEX(몬스터계수[[#Data],[속도]],MATCH(E229, 몬스터계수[[#Data],[타입]],0),1)*속도핸들러_곱계수)*(INT(몬스터밸런스[[#This Row],[Lv]]/속도핸들러_합계수+1)),0))))</f>
        <v>0</v>
      </c>
      <c r="S229">
        <f t="shared" si="10"/>
        <v>3020463.5</v>
      </c>
      <c r="U229">
        <v>1</v>
      </c>
      <c r="V229">
        <v>227</v>
      </c>
      <c r="W229">
        <f>$Z$1*몬스터밸런스9[[#This Row],[단계]]</f>
        <v>5</v>
      </c>
      <c r="X229" t="s">
        <v>53</v>
      </c>
      <c r="AE229" s="34">
        <f>몬스터밸런스[[#This Row],[생명]]*0.1</f>
        <v>565.75</v>
      </c>
      <c r="AF229" s="34">
        <f>몬스터밸런스[[#This Row],[Attack]]*0.1</f>
        <v>5035.2000000000007</v>
      </c>
      <c r="AG229" s="34">
        <f>몬스터밸런스[[#This Row],[Defense]]*0.2</f>
        <v>2828.8</v>
      </c>
      <c r="AH229" s="34"/>
      <c r="AI229" s="34">
        <f>몬스터밸런스[[#This Row],[CriticalDamage]]*0.1</f>
        <v>933.5</v>
      </c>
      <c r="AJ229" s="34"/>
      <c r="AK229" s="34"/>
      <c r="AL229" t="e">
        <f>(AE229*HP계수) + (AF229*attack계수) + (#REF!*Defense계수) + (AH229*CriticalRate계수) + (AI229*CriticalDamage계수) + (AJ229*Accuracy계수) + (AK229*DodgeRate계수)</f>
        <v>#REF!</v>
      </c>
    </row>
    <row r="230" spans="1:38">
      <c r="A230">
        <v>2270</v>
      </c>
      <c r="B230">
        <v>228</v>
      </c>
      <c r="C230">
        <f>$F$1*몬스터밸런스[[#This Row],[Lv]]+15</f>
        <v>11365</v>
      </c>
      <c r="E230" t="s">
        <v>479</v>
      </c>
      <c r="F230">
        <f>IF(E230="공격형",INDEX(몬스터계수[[#Data],[생명계수]],MATCH(E230,몬스터계수[[#Data],[타입]],0),1)*C230,
IF(E230="방어형",INDEX(몬스터계수[[#Data],[생명계수]],MATCH(E230,몬스터계수[[#Data],[타입]],0),1)*C230,
IF(E230="회피형",INDEX(몬스터계수[[#Data],[생명계수]],MATCH(E230,몬스터계수[[#Data],[타입]],0),1)*C230,
IF(E230="체력형",INDEX(몬스터계수[[#Data],[생명계수]],MATCH(E230,몬스터계수[[#Data],[타입]],0),1)*C230,0))))*IF(몬스터밸런스[[#This Row],[보스]]=TRUE,2,1)</f>
        <v>5682.5</v>
      </c>
      <c r="G230">
        <f>IF(E230="공격형",INDEX(몬스터계수[[#Data],[힘계수]],MATCH(E230, 몬스터계수[[#Data],[타입]],0),1)*C230,
IF(E230="방어형",INDEX(몬스터계수[[#Data],[힘계수]],MATCH(E230, 몬스터계수[[#Data],[타입]],0),1)*C230,
IF(E230="회피형",INDEX(몬스터계수[[#Data],[힘계수]],MATCH(E230, 몬스터계수[[#Data],[타입]],0),1)*C230,
IF(E230="체력형",INDEX(몬스터계수[[#Data],[힘계수]],MATCH(E230, 몬스터계수[[#Data],[타입]],0),1)*C230,0))))</f>
        <v>2841.25</v>
      </c>
      <c r="H230">
        <f>IF(E230="공격형",INDEX(몬스터계수[[#Data],[근력게수]],MATCH(E230,몬스터계수[[#Data],[타입]],0),1)*C230,
IF(E230="방어형",INDEX(몬스터계수[[#Data],[근력게수]],MATCH(E230,몬스터계수[[#Data],[타입]],0),1)*C230,
IF(E230="회피형",INDEX(몬스터계수[[#Data],[근력게수]],MATCH(E230,몬스터계수[[#Data],[타입]],0),1)*C230,
IF(E230="체력형",INDEX(몬스터계수[[#Data],[근력게수]],MATCH(E230,몬스터계수[[#Data],[타입]],0),1)*C230,0))))</f>
        <v>568.25</v>
      </c>
      <c r="I230">
        <f>IF(E230="공격형",INDEX(몬스터계수[[#Data],[숙련도계수]],MATCH(E230,몬스터계수[[#Data],[타입]],0),1)*C230,
IF(E230="방어형",INDEX(몬스터계수[[#Data],[숙련도계수]],MATCH(E230,몬스터계수[[#Data],[타입]],0),1)*C230,
IF(E230="회피형",INDEX(몬스터계수[[#Data],[숙련도계수]],MATCH(E230,몬스터계수[[#Data],[타입]],0),1)*C230,
IF(E230="체력형",INDEX(몬스터계수[[#Data],[숙련도계수]],MATCH(E230,몬스터계수[[#Data],[타입]],0),1)*C230,0))))</f>
        <v>1704.75</v>
      </c>
      <c r="J230">
        <f>IF(E230="공격형",INDEX(몬스터계수[[#Data],[행운계수]],MATCH(E230, 몬스터계수[[#Data],[타입]],0),1)*C230,
IF(E230="방어형",INDEX(몬스터계수[[#Data],[행운계수]],MATCH(E230, 몬스터계수[[#Data],[타입]],0),1)*C230,
IF(E230="회피형",INDEX(몬스터계수[[#Data],[행운계수]],MATCH(E230, 몬스터계수[[#Data],[타입]],0),1)*C230,
IF(E230="체력형",INDEX(몬스터계수[[#Data],[행운계수]],MATCH(E230, 몬스터계수[[#Data],[타입]],0),1)*C230,0))))</f>
        <v>568.25</v>
      </c>
      <c r="K230" s="34">
        <f>ROUND(
(($F230)*참고!$D$5)
+(($G230)*참고!$D$6)
+(($H230)*참고!$D$7)
+(($I230)*참고!$D$8)
+(($J230))*참고!$D$9,0)</f>
        <v>88363</v>
      </c>
      <c r="L230" s="34">
        <f>ROUND(
(($F230)*참고!$E$5)
+(($G230)*참고!$E$6)
+(($H230)*참고!$E$7)
+(($I230)*참고!$E$8)
+(($J230))*참고!$E$9,0)</f>
        <v>50574</v>
      </c>
      <c r="M230" s="34">
        <f>ROUND(
(($F230)*참고!$F$5)
+(($G230)*참고!$F$6)
+(($H230)*참고!$F$7)
+(($I230)*참고!$F$8)
+(($J230))*참고!$F$9,0)</f>
        <v>14206</v>
      </c>
      <c r="N230" s="34">
        <f>ROUND(
(($F230)*참고!$G$5)
+(($G230)*참고!$G$6)
+(($H230)*참고!$G$7)
+(($I230)*참고!$G$8)
+(($J230))*참고!$G$9,0)</f>
        <v>398</v>
      </c>
      <c r="O230" s="34">
        <f>ROUND(
(($F230)*참고!$H$5)
+(($G230)*참고!$H$6)
+(($H230)*참고!$H$7)
+(($I230)*참고!$H$8)
+(($J230))*참고!$H$9,0)</f>
        <v>9376</v>
      </c>
      <c r="P230" s="34">
        <f>ROUND(
(($F230)*참고!$I$5)
+(($G230)*참고!$I$6)
+(($H230)*참고!$I$7)
+(($I230)*참고!$I$8)
+(($J230))*참고!$I$9,0)</f>
        <v>16479</v>
      </c>
      <c r="Q230" s="34">
        <f>ROUND(
(($F230)*참고!$J$5)
+(($G230)*참고!$J$6)
+(($H230)*참고!$J$7)
+(($I230)*참고!$J$8)
+(($J230))*참고!$J$9,0)</f>
        <v>11365</v>
      </c>
      <c r="R230" s="34">
        <f>IF(E230="공격형",(INDEX(몬스터계수[[#Data],[속도]],MATCH(E230, 몬스터계수[[#Data],[타입]],0),1)*속도핸들러_곱계수)*(INT(몬스터밸런스[[#This Row],[Lv]]/속도핸들러_합계수+1)),
IF(E230="방어형",(INDEX(몬스터계수[[#Data],[속도]],MATCH(E230, 몬스터계수[[#Data],[타입]],0),1)*속도핸들러_곱계수)*(INT(몬스터밸런스[[#This Row],[Lv]]/속도핸들러_합계수+1)),
IF(E230="회피형",(INDEX(몬스터계수[[#Data],[속도]],MATCH(E230, 몬스터계수[[#Data],[타입]],0),1)*속도핸들러_곱계수)*(INT(몬스터밸런스[[#This Row],[Lv]]/속도핸들러_합계수+1)),
IF(E230="기본형",(INDEX(몬스터계수[[#Data],[속도]],MATCH(E230, 몬스터계수[[#Data],[타입]],0),1)*속도핸들러_곱계수)*(INT(몬스터밸런스[[#This Row],[Lv]]/속도핸들러_합계수+1)),0))))</f>
        <v>0</v>
      </c>
      <c r="S230">
        <f t="shared" si="10"/>
        <v>3033792.5</v>
      </c>
      <c r="U230">
        <v>1</v>
      </c>
      <c r="V230">
        <v>228</v>
      </c>
      <c r="W230">
        <f>$Z$1*몬스터밸런스9[[#This Row],[단계]]</f>
        <v>5</v>
      </c>
      <c r="X230" t="s">
        <v>53</v>
      </c>
      <c r="AE230" s="34">
        <f>몬스터밸런스[[#This Row],[생명]]*0.1</f>
        <v>568.25</v>
      </c>
      <c r="AF230" s="34">
        <f>몬스터밸런스[[#This Row],[Attack]]*0.1</f>
        <v>5057.4000000000005</v>
      </c>
      <c r="AG230" s="34">
        <f>몬스터밸런스[[#This Row],[Defense]]*0.2</f>
        <v>2841.2000000000003</v>
      </c>
      <c r="AH230" s="34"/>
      <c r="AI230" s="34">
        <f>몬스터밸런스[[#This Row],[CriticalDamage]]*0.1</f>
        <v>937.6</v>
      </c>
      <c r="AJ230" s="34"/>
      <c r="AK230" s="34"/>
      <c r="AL230">
        <f t="shared" si="11"/>
        <v>140541.17500000002</v>
      </c>
    </row>
    <row r="231" spans="1:38">
      <c r="A231">
        <v>2280</v>
      </c>
      <c r="B231">
        <v>229</v>
      </c>
      <c r="C231">
        <f>$F$1*몬스터밸런스[[#This Row],[Lv]]+15</f>
        <v>11415</v>
      </c>
      <c r="E231" t="s">
        <v>479</v>
      </c>
      <c r="F231">
        <f>IF(E231="공격형",INDEX(몬스터계수[[#Data],[생명계수]],MATCH(E231,몬스터계수[[#Data],[타입]],0),1)*C231,
IF(E231="방어형",INDEX(몬스터계수[[#Data],[생명계수]],MATCH(E231,몬스터계수[[#Data],[타입]],0),1)*C231,
IF(E231="회피형",INDEX(몬스터계수[[#Data],[생명계수]],MATCH(E231,몬스터계수[[#Data],[타입]],0),1)*C231,
IF(E231="체력형",INDEX(몬스터계수[[#Data],[생명계수]],MATCH(E231,몬스터계수[[#Data],[타입]],0),1)*C231,0))))*IF(몬스터밸런스[[#This Row],[보스]]=TRUE,2,1)</f>
        <v>5707.5</v>
      </c>
      <c r="G231">
        <f>IF(E231="공격형",INDEX(몬스터계수[[#Data],[힘계수]],MATCH(E231, 몬스터계수[[#Data],[타입]],0),1)*C231,
IF(E231="방어형",INDEX(몬스터계수[[#Data],[힘계수]],MATCH(E231, 몬스터계수[[#Data],[타입]],0),1)*C231,
IF(E231="회피형",INDEX(몬스터계수[[#Data],[힘계수]],MATCH(E231, 몬스터계수[[#Data],[타입]],0),1)*C231,
IF(E231="체력형",INDEX(몬스터계수[[#Data],[힘계수]],MATCH(E231, 몬스터계수[[#Data],[타입]],0),1)*C231,0))))</f>
        <v>2853.75</v>
      </c>
      <c r="H231">
        <f>IF(E231="공격형",INDEX(몬스터계수[[#Data],[근력게수]],MATCH(E231,몬스터계수[[#Data],[타입]],0),1)*C231,
IF(E231="방어형",INDEX(몬스터계수[[#Data],[근력게수]],MATCH(E231,몬스터계수[[#Data],[타입]],0),1)*C231,
IF(E231="회피형",INDEX(몬스터계수[[#Data],[근력게수]],MATCH(E231,몬스터계수[[#Data],[타입]],0),1)*C231,
IF(E231="체력형",INDEX(몬스터계수[[#Data],[근력게수]],MATCH(E231,몬스터계수[[#Data],[타입]],0),1)*C231,0))))</f>
        <v>570.75</v>
      </c>
      <c r="I231">
        <f>IF(E231="공격형",INDEX(몬스터계수[[#Data],[숙련도계수]],MATCH(E231,몬스터계수[[#Data],[타입]],0),1)*C231,
IF(E231="방어형",INDEX(몬스터계수[[#Data],[숙련도계수]],MATCH(E231,몬스터계수[[#Data],[타입]],0),1)*C231,
IF(E231="회피형",INDEX(몬스터계수[[#Data],[숙련도계수]],MATCH(E231,몬스터계수[[#Data],[타입]],0),1)*C231,
IF(E231="체력형",INDEX(몬스터계수[[#Data],[숙련도계수]],MATCH(E231,몬스터계수[[#Data],[타입]],0),1)*C231,0))))</f>
        <v>1712.25</v>
      </c>
      <c r="J231">
        <f>IF(E231="공격형",INDEX(몬스터계수[[#Data],[행운계수]],MATCH(E231, 몬스터계수[[#Data],[타입]],0),1)*C231,
IF(E231="방어형",INDEX(몬스터계수[[#Data],[행운계수]],MATCH(E231, 몬스터계수[[#Data],[타입]],0),1)*C231,
IF(E231="회피형",INDEX(몬스터계수[[#Data],[행운계수]],MATCH(E231, 몬스터계수[[#Data],[타입]],0),1)*C231,
IF(E231="체력형",INDEX(몬스터계수[[#Data],[행운계수]],MATCH(E231, 몬스터계수[[#Data],[타입]],0),1)*C231,0))))</f>
        <v>570.75</v>
      </c>
      <c r="K231" s="34">
        <f>ROUND(
(($F231)*참고!$D$5)
+(($G231)*참고!$D$6)
+(($H231)*참고!$D$7)
+(($I231)*참고!$D$8)
+(($J231))*참고!$D$9,0)</f>
        <v>88752</v>
      </c>
      <c r="L231" s="34">
        <f>ROUND(
(($F231)*참고!$E$5)
+(($G231)*참고!$E$6)
+(($H231)*참고!$E$7)
+(($I231)*참고!$E$8)
+(($J231))*참고!$E$9,0)</f>
        <v>50797</v>
      </c>
      <c r="M231" s="34">
        <f>ROUND(
(($F231)*참고!$F$5)
+(($G231)*참고!$F$6)
+(($H231)*참고!$F$7)
+(($I231)*참고!$F$8)
+(($J231))*참고!$F$9,0)</f>
        <v>14269</v>
      </c>
      <c r="N231" s="34">
        <f>ROUND(
(($F231)*참고!$G$5)
+(($G231)*참고!$G$6)
+(($H231)*참고!$G$7)
+(($I231)*참고!$G$8)
+(($J231))*참고!$G$9,0)</f>
        <v>400</v>
      </c>
      <c r="O231" s="34">
        <f>ROUND(
(($F231)*참고!$H$5)
+(($G231)*참고!$H$6)
+(($H231)*참고!$H$7)
+(($I231)*참고!$H$8)
+(($J231))*참고!$H$9,0)</f>
        <v>9417</v>
      </c>
      <c r="P231" s="34">
        <f>ROUND(
(($F231)*참고!$I$5)
+(($G231)*참고!$I$6)
+(($H231)*참고!$I$7)
+(($I231)*참고!$I$8)
+(($J231))*참고!$I$9,0)</f>
        <v>16552</v>
      </c>
      <c r="Q231" s="34">
        <f>ROUND(
(($F231)*참고!$J$5)
+(($G231)*참고!$J$6)
+(($H231)*참고!$J$7)
+(($I231)*참고!$J$8)
+(($J231))*참고!$J$9,0)</f>
        <v>11415</v>
      </c>
      <c r="R231" s="34">
        <f>IF(E231="공격형",(INDEX(몬스터계수[[#Data],[속도]],MATCH(E231, 몬스터계수[[#Data],[타입]],0),1)*속도핸들러_곱계수)*(INT(몬스터밸런스[[#This Row],[Lv]]/속도핸들러_합계수+1)),
IF(E231="방어형",(INDEX(몬스터계수[[#Data],[속도]],MATCH(E231, 몬스터계수[[#Data],[타입]],0),1)*속도핸들러_곱계수)*(INT(몬스터밸런스[[#This Row],[Lv]]/속도핸들러_합계수+1)),
IF(E231="회피형",(INDEX(몬스터계수[[#Data],[속도]],MATCH(E231, 몬스터계수[[#Data],[타입]],0),1)*속도핸들러_곱계수)*(INT(몬스터밸런스[[#This Row],[Lv]]/속도핸들러_합계수+1)),
IF(E231="기본형",(INDEX(몬스터계수[[#Data],[속도]],MATCH(E231, 몬스터계수[[#Data],[타입]],0),1)*속도핸들러_곱계수)*(INT(몬스터밸런스[[#This Row],[Lv]]/속도핸들러_합계수+1)),0))))</f>
        <v>0</v>
      </c>
      <c r="S231">
        <f t="shared" si="10"/>
        <v>3047164.5</v>
      </c>
      <c r="U231">
        <v>1</v>
      </c>
      <c r="V231">
        <v>229</v>
      </c>
      <c r="W231">
        <f>$Z$1*몬스터밸런스9[[#This Row],[단계]]</f>
        <v>5</v>
      </c>
      <c r="X231" t="s">
        <v>53</v>
      </c>
      <c r="AE231" s="34">
        <f>몬스터밸런스[[#This Row],[생명]]*0.1</f>
        <v>570.75</v>
      </c>
      <c r="AF231" s="34">
        <f>몬스터밸런스[[#This Row],[Attack]]*0.1</f>
        <v>5079.7000000000007</v>
      </c>
      <c r="AG231" s="34">
        <f>몬스터밸런스[[#This Row],[Defense]]*0.2</f>
        <v>2853.8</v>
      </c>
      <c r="AH231" s="34"/>
      <c r="AI231" s="34">
        <f>몬스터밸런스[[#This Row],[CriticalDamage]]*0.1</f>
        <v>941.7</v>
      </c>
      <c r="AJ231" s="34"/>
      <c r="AK231" s="34"/>
      <c r="AL231">
        <f t="shared" si="11"/>
        <v>141161.77499999999</v>
      </c>
    </row>
    <row r="232" spans="1:38">
      <c r="A232">
        <v>2290</v>
      </c>
      <c r="B232">
        <v>230</v>
      </c>
      <c r="C232">
        <f>$F$1*몬스터밸런스[[#This Row],[Lv]]+15</f>
        <v>11465</v>
      </c>
      <c r="E232" t="s">
        <v>479</v>
      </c>
      <c r="F232">
        <f>IF(E232="공격형",INDEX(몬스터계수[[#Data],[생명계수]],MATCH(E232,몬스터계수[[#Data],[타입]],0),1)*C232,
IF(E232="방어형",INDEX(몬스터계수[[#Data],[생명계수]],MATCH(E232,몬스터계수[[#Data],[타입]],0),1)*C232,
IF(E232="회피형",INDEX(몬스터계수[[#Data],[생명계수]],MATCH(E232,몬스터계수[[#Data],[타입]],0),1)*C232,
IF(E232="체력형",INDEX(몬스터계수[[#Data],[생명계수]],MATCH(E232,몬스터계수[[#Data],[타입]],0),1)*C232,0))))*IF(몬스터밸런스[[#This Row],[보스]]=TRUE,2,1)</f>
        <v>5732.5</v>
      </c>
      <c r="G232">
        <f>IF(E232="공격형",INDEX(몬스터계수[[#Data],[힘계수]],MATCH(E232, 몬스터계수[[#Data],[타입]],0),1)*C232,
IF(E232="방어형",INDEX(몬스터계수[[#Data],[힘계수]],MATCH(E232, 몬스터계수[[#Data],[타입]],0),1)*C232,
IF(E232="회피형",INDEX(몬스터계수[[#Data],[힘계수]],MATCH(E232, 몬스터계수[[#Data],[타입]],0),1)*C232,
IF(E232="체력형",INDEX(몬스터계수[[#Data],[힘계수]],MATCH(E232, 몬스터계수[[#Data],[타입]],0),1)*C232,0))))</f>
        <v>2866.25</v>
      </c>
      <c r="H232">
        <f>IF(E232="공격형",INDEX(몬스터계수[[#Data],[근력게수]],MATCH(E232,몬스터계수[[#Data],[타입]],0),1)*C232,
IF(E232="방어형",INDEX(몬스터계수[[#Data],[근력게수]],MATCH(E232,몬스터계수[[#Data],[타입]],0),1)*C232,
IF(E232="회피형",INDEX(몬스터계수[[#Data],[근력게수]],MATCH(E232,몬스터계수[[#Data],[타입]],0),1)*C232,
IF(E232="체력형",INDEX(몬스터계수[[#Data],[근력게수]],MATCH(E232,몬스터계수[[#Data],[타입]],0),1)*C232,0))))</f>
        <v>573.25</v>
      </c>
      <c r="I232">
        <f>IF(E232="공격형",INDEX(몬스터계수[[#Data],[숙련도계수]],MATCH(E232,몬스터계수[[#Data],[타입]],0),1)*C232,
IF(E232="방어형",INDEX(몬스터계수[[#Data],[숙련도계수]],MATCH(E232,몬스터계수[[#Data],[타입]],0),1)*C232,
IF(E232="회피형",INDEX(몬스터계수[[#Data],[숙련도계수]],MATCH(E232,몬스터계수[[#Data],[타입]],0),1)*C232,
IF(E232="체력형",INDEX(몬스터계수[[#Data],[숙련도계수]],MATCH(E232,몬스터계수[[#Data],[타입]],0),1)*C232,0))))</f>
        <v>1719.75</v>
      </c>
      <c r="J232">
        <f>IF(E232="공격형",INDEX(몬스터계수[[#Data],[행운계수]],MATCH(E232, 몬스터계수[[#Data],[타입]],0),1)*C232,
IF(E232="방어형",INDEX(몬스터계수[[#Data],[행운계수]],MATCH(E232, 몬스터계수[[#Data],[타입]],0),1)*C232,
IF(E232="회피형",INDEX(몬스터계수[[#Data],[행운계수]],MATCH(E232, 몬스터계수[[#Data],[타입]],0),1)*C232,
IF(E232="체력형",INDEX(몬스터계수[[#Data],[행운계수]],MATCH(E232, 몬스터계수[[#Data],[타입]],0),1)*C232,0))))</f>
        <v>573.25</v>
      </c>
      <c r="K232" s="34">
        <f>ROUND(
(($F232)*참고!$D$5)
+(($G232)*참고!$D$6)
+(($H232)*참고!$D$7)
+(($I232)*참고!$D$8)
+(($J232))*참고!$D$9,0)</f>
        <v>89140</v>
      </c>
      <c r="L232" s="34">
        <f>ROUND(
(($F232)*참고!$E$5)
+(($G232)*참고!$E$6)
+(($H232)*참고!$E$7)
+(($I232)*참고!$E$8)
+(($J232))*참고!$E$9,0)</f>
        <v>51019</v>
      </c>
      <c r="M232" s="34">
        <f>ROUND(
(($F232)*참고!$F$5)
+(($G232)*참고!$F$6)
+(($H232)*참고!$F$7)
+(($I232)*참고!$F$8)
+(($J232))*참고!$F$9,0)</f>
        <v>14331</v>
      </c>
      <c r="N232" s="34">
        <f>ROUND(
(($F232)*참고!$G$5)
+(($G232)*참고!$G$6)
+(($H232)*참고!$G$7)
+(($I232)*참고!$G$8)
+(($J232))*참고!$G$9,0)</f>
        <v>401</v>
      </c>
      <c r="O232" s="34">
        <f>ROUND(
(($F232)*참고!$H$5)
+(($G232)*참고!$H$6)
+(($H232)*참고!$H$7)
+(($I232)*참고!$H$8)
+(($J232))*참고!$H$9,0)</f>
        <v>9459</v>
      </c>
      <c r="P232" s="34">
        <f>ROUND(
(($F232)*참고!$I$5)
+(($G232)*참고!$I$6)
+(($H232)*참고!$I$7)
+(($I232)*참고!$I$8)
+(($J232))*참고!$I$9,0)</f>
        <v>16624</v>
      </c>
      <c r="Q232" s="34">
        <f>ROUND(
(($F232)*참고!$J$5)
+(($G232)*참고!$J$6)
+(($H232)*참고!$J$7)
+(($I232)*참고!$J$8)
+(($J232))*참고!$J$9,0)</f>
        <v>11465</v>
      </c>
      <c r="R232" s="34">
        <f>IF(E232="공격형",(INDEX(몬스터계수[[#Data],[속도]],MATCH(E232, 몬스터계수[[#Data],[타입]],0),1)*속도핸들러_곱계수)*(INT(몬스터밸런스[[#This Row],[Lv]]/속도핸들러_합계수+1)),
IF(E232="방어형",(INDEX(몬스터계수[[#Data],[속도]],MATCH(E232, 몬스터계수[[#Data],[타입]],0),1)*속도핸들러_곱계수)*(INT(몬스터밸런스[[#This Row],[Lv]]/속도핸들러_합계수+1)),
IF(E232="회피형",(INDEX(몬스터계수[[#Data],[속도]],MATCH(E232, 몬스터계수[[#Data],[타입]],0),1)*속도핸들러_곱계수)*(INT(몬스터밸런스[[#This Row],[Lv]]/속도핸들러_합계수+1)),
IF(E232="기본형",(INDEX(몬스터계수[[#Data],[속도]],MATCH(E232, 몬스터계수[[#Data],[타입]],0),1)*속도핸들러_곱계수)*(INT(몬스터밸런스[[#This Row],[Lv]]/속도핸들러_합계수+1)),0))))</f>
        <v>0</v>
      </c>
      <c r="S232">
        <f t="shared" si="10"/>
        <v>3060480</v>
      </c>
      <c r="U232">
        <v>1</v>
      </c>
      <c r="V232">
        <v>230</v>
      </c>
      <c r="W232">
        <f>$Z$1*몬스터밸런스9[[#This Row],[단계]]</f>
        <v>5</v>
      </c>
      <c r="X232" t="s">
        <v>53</v>
      </c>
      <c r="AE232" s="34">
        <f>몬스터밸런스[[#This Row],[생명]]*0.1</f>
        <v>573.25</v>
      </c>
      <c r="AF232" s="34">
        <f>몬스터밸런스[[#This Row],[Attack]]*0.1</f>
        <v>5101.9000000000005</v>
      </c>
      <c r="AG232" s="34">
        <f>몬스터밸런스[[#This Row],[Defense]]*0.2</f>
        <v>2866.2000000000003</v>
      </c>
      <c r="AH232" s="34"/>
      <c r="AI232" s="34">
        <f>몬스터밸런스[[#This Row],[CriticalDamage]]*0.1</f>
        <v>945.90000000000009</v>
      </c>
      <c r="AJ232" s="34"/>
      <c r="AK232" s="34"/>
      <c r="AL232">
        <f t="shared" si="11"/>
        <v>141778.02499999999</v>
      </c>
    </row>
    <row r="233" spans="1:38">
      <c r="A233">
        <v>2300</v>
      </c>
      <c r="B233">
        <v>231</v>
      </c>
      <c r="C233">
        <f>$F$1*몬스터밸런스[[#This Row],[Lv]]+15</f>
        <v>11515</v>
      </c>
      <c r="E233" t="s">
        <v>479</v>
      </c>
      <c r="F233">
        <f>IF(E233="공격형",INDEX(몬스터계수[[#Data],[생명계수]],MATCH(E233,몬스터계수[[#Data],[타입]],0),1)*C233,
IF(E233="방어형",INDEX(몬스터계수[[#Data],[생명계수]],MATCH(E233,몬스터계수[[#Data],[타입]],0),1)*C233,
IF(E233="회피형",INDEX(몬스터계수[[#Data],[생명계수]],MATCH(E233,몬스터계수[[#Data],[타입]],0),1)*C233,
IF(E233="체력형",INDEX(몬스터계수[[#Data],[생명계수]],MATCH(E233,몬스터계수[[#Data],[타입]],0),1)*C233,0))))*IF(몬스터밸런스[[#This Row],[보스]]=TRUE,2,1)</f>
        <v>5757.5</v>
      </c>
      <c r="G233">
        <f>IF(E233="공격형",INDEX(몬스터계수[[#Data],[힘계수]],MATCH(E233, 몬스터계수[[#Data],[타입]],0),1)*C233,
IF(E233="방어형",INDEX(몬스터계수[[#Data],[힘계수]],MATCH(E233, 몬스터계수[[#Data],[타입]],0),1)*C233,
IF(E233="회피형",INDEX(몬스터계수[[#Data],[힘계수]],MATCH(E233, 몬스터계수[[#Data],[타입]],0),1)*C233,
IF(E233="체력형",INDEX(몬스터계수[[#Data],[힘계수]],MATCH(E233, 몬스터계수[[#Data],[타입]],0),1)*C233,0))))</f>
        <v>2878.75</v>
      </c>
      <c r="H233">
        <f>IF(E233="공격형",INDEX(몬스터계수[[#Data],[근력게수]],MATCH(E233,몬스터계수[[#Data],[타입]],0),1)*C233,
IF(E233="방어형",INDEX(몬스터계수[[#Data],[근력게수]],MATCH(E233,몬스터계수[[#Data],[타입]],0),1)*C233,
IF(E233="회피형",INDEX(몬스터계수[[#Data],[근력게수]],MATCH(E233,몬스터계수[[#Data],[타입]],0),1)*C233,
IF(E233="체력형",INDEX(몬스터계수[[#Data],[근력게수]],MATCH(E233,몬스터계수[[#Data],[타입]],0),1)*C233,0))))</f>
        <v>575.75</v>
      </c>
      <c r="I233">
        <f>IF(E233="공격형",INDEX(몬스터계수[[#Data],[숙련도계수]],MATCH(E233,몬스터계수[[#Data],[타입]],0),1)*C233,
IF(E233="방어형",INDEX(몬스터계수[[#Data],[숙련도계수]],MATCH(E233,몬스터계수[[#Data],[타입]],0),1)*C233,
IF(E233="회피형",INDEX(몬스터계수[[#Data],[숙련도계수]],MATCH(E233,몬스터계수[[#Data],[타입]],0),1)*C233,
IF(E233="체력형",INDEX(몬스터계수[[#Data],[숙련도계수]],MATCH(E233,몬스터계수[[#Data],[타입]],0),1)*C233,0))))</f>
        <v>1727.25</v>
      </c>
      <c r="J233">
        <f>IF(E233="공격형",INDEX(몬스터계수[[#Data],[행운계수]],MATCH(E233, 몬스터계수[[#Data],[타입]],0),1)*C233,
IF(E233="방어형",INDEX(몬스터계수[[#Data],[행운계수]],MATCH(E233, 몬스터계수[[#Data],[타입]],0),1)*C233,
IF(E233="회피형",INDEX(몬스터계수[[#Data],[행운계수]],MATCH(E233, 몬스터계수[[#Data],[타입]],0),1)*C233,
IF(E233="체력형",INDEX(몬스터계수[[#Data],[행운계수]],MATCH(E233, 몬스터계수[[#Data],[타입]],0),1)*C233,0))))</f>
        <v>575.75</v>
      </c>
      <c r="K233" s="34">
        <f>ROUND(
(($F233)*참고!$D$5)
+(($G233)*참고!$D$6)
+(($H233)*참고!$D$7)
+(($I233)*참고!$D$8)
+(($J233))*참고!$D$9,0)</f>
        <v>89529</v>
      </c>
      <c r="L233" s="34">
        <f>ROUND(
(($F233)*참고!$E$5)
+(($G233)*참고!$E$6)
+(($H233)*참고!$E$7)
+(($I233)*참고!$E$8)
+(($J233))*참고!$E$9,0)</f>
        <v>51242</v>
      </c>
      <c r="M233" s="34">
        <f>ROUND(
(($F233)*참고!$F$5)
+(($G233)*참고!$F$6)
+(($H233)*참고!$F$7)
+(($I233)*참고!$F$8)
+(($J233))*참고!$F$9,0)</f>
        <v>14394</v>
      </c>
      <c r="N233" s="34">
        <f>ROUND(
(($F233)*참고!$G$5)
+(($G233)*참고!$G$6)
+(($H233)*참고!$G$7)
+(($I233)*참고!$G$8)
+(($J233))*참고!$G$9,0)</f>
        <v>403</v>
      </c>
      <c r="O233" s="34">
        <f>ROUND(
(($F233)*참고!$H$5)
+(($G233)*참고!$H$6)
+(($H233)*참고!$H$7)
+(($I233)*참고!$H$8)
+(($J233))*참고!$H$9,0)</f>
        <v>9500</v>
      </c>
      <c r="P233" s="34">
        <f>ROUND(
(($F233)*참고!$I$5)
+(($G233)*참고!$I$6)
+(($H233)*참고!$I$7)
+(($I233)*참고!$I$8)
+(($J233))*참고!$I$9,0)</f>
        <v>16697</v>
      </c>
      <c r="Q233" s="34">
        <f>ROUND(
(($F233)*참고!$J$5)
+(($G233)*참고!$J$6)
+(($H233)*참고!$J$7)
+(($I233)*참고!$J$8)
+(($J233))*참고!$J$9,0)</f>
        <v>11515</v>
      </c>
      <c r="R233" s="34">
        <f>IF(E233="공격형",(INDEX(몬스터계수[[#Data],[속도]],MATCH(E233, 몬스터계수[[#Data],[타입]],0),1)*속도핸들러_곱계수)*(INT(몬스터밸런스[[#This Row],[Lv]]/속도핸들러_합계수+1)),
IF(E233="방어형",(INDEX(몬스터계수[[#Data],[속도]],MATCH(E233, 몬스터계수[[#Data],[타입]],0),1)*속도핸들러_곱계수)*(INT(몬스터밸런스[[#This Row],[Lv]]/속도핸들러_합계수+1)),
IF(E233="회피형",(INDEX(몬스터계수[[#Data],[속도]],MATCH(E233, 몬스터계수[[#Data],[타입]],0),1)*속도핸들러_곱계수)*(INT(몬스터밸런스[[#This Row],[Lv]]/속도핸들러_합계수+1)),
IF(E233="기본형",(INDEX(몬스터계수[[#Data],[속도]],MATCH(E233, 몬스터계수[[#Data],[타입]],0),1)*속도핸들러_곱계수)*(INT(몬스터밸런스[[#This Row],[Lv]]/속도핸들러_합계수+1)),0))))</f>
        <v>0</v>
      </c>
      <c r="S233">
        <f t="shared" si="10"/>
        <v>3073852</v>
      </c>
      <c r="U233">
        <v>2</v>
      </c>
      <c r="V233">
        <v>231</v>
      </c>
      <c r="W233">
        <f>$Z$1*몬스터밸런스9[[#This Row],[단계]]</f>
        <v>10</v>
      </c>
      <c r="X233" t="s">
        <v>53</v>
      </c>
      <c r="AE233" s="34">
        <f>몬스터밸런스[[#This Row],[생명]]*0.1</f>
        <v>575.75</v>
      </c>
      <c r="AF233" s="34">
        <f>몬스터밸런스[[#This Row],[Attack]]*0.1</f>
        <v>5124.2000000000007</v>
      </c>
      <c r="AG233" s="34">
        <f>몬스터밸런스[[#This Row],[Defense]]*0.1</f>
        <v>1439.4</v>
      </c>
      <c r="AH233" s="34"/>
      <c r="AI233" s="34">
        <f>몬스터밸런스[[#This Row],[CriticalDamage]]*0.1</f>
        <v>950</v>
      </c>
      <c r="AJ233" s="34"/>
      <c r="AK233" s="34"/>
      <c r="AL233">
        <f t="shared" si="11"/>
        <v>119368.22500000001</v>
      </c>
    </row>
    <row r="234" spans="1:38">
      <c r="A234">
        <v>2310</v>
      </c>
      <c r="B234">
        <v>232</v>
      </c>
      <c r="C234">
        <f>$F$1*몬스터밸런스[[#This Row],[Lv]]+15</f>
        <v>11565</v>
      </c>
      <c r="E234" t="s">
        <v>479</v>
      </c>
      <c r="F234">
        <f>IF(E234="공격형",INDEX(몬스터계수[[#Data],[생명계수]],MATCH(E234,몬스터계수[[#Data],[타입]],0),1)*C234,
IF(E234="방어형",INDEX(몬스터계수[[#Data],[생명계수]],MATCH(E234,몬스터계수[[#Data],[타입]],0),1)*C234,
IF(E234="회피형",INDEX(몬스터계수[[#Data],[생명계수]],MATCH(E234,몬스터계수[[#Data],[타입]],0),1)*C234,
IF(E234="체력형",INDEX(몬스터계수[[#Data],[생명계수]],MATCH(E234,몬스터계수[[#Data],[타입]],0),1)*C234,0))))*IF(몬스터밸런스[[#This Row],[보스]]=TRUE,2,1)</f>
        <v>5782.5</v>
      </c>
      <c r="G234">
        <f>IF(E234="공격형",INDEX(몬스터계수[[#Data],[힘계수]],MATCH(E234, 몬스터계수[[#Data],[타입]],0),1)*C234,
IF(E234="방어형",INDEX(몬스터계수[[#Data],[힘계수]],MATCH(E234, 몬스터계수[[#Data],[타입]],0),1)*C234,
IF(E234="회피형",INDEX(몬스터계수[[#Data],[힘계수]],MATCH(E234, 몬스터계수[[#Data],[타입]],0),1)*C234,
IF(E234="체력형",INDEX(몬스터계수[[#Data],[힘계수]],MATCH(E234, 몬스터계수[[#Data],[타입]],0),1)*C234,0))))</f>
        <v>2891.25</v>
      </c>
      <c r="H234">
        <f>IF(E234="공격형",INDEX(몬스터계수[[#Data],[근력게수]],MATCH(E234,몬스터계수[[#Data],[타입]],0),1)*C234,
IF(E234="방어형",INDEX(몬스터계수[[#Data],[근력게수]],MATCH(E234,몬스터계수[[#Data],[타입]],0),1)*C234,
IF(E234="회피형",INDEX(몬스터계수[[#Data],[근력게수]],MATCH(E234,몬스터계수[[#Data],[타입]],0),1)*C234,
IF(E234="체력형",INDEX(몬스터계수[[#Data],[근력게수]],MATCH(E234,몬스터계수[[#Data],[타입]],0),1)*C234,0))))</f>
        <v>578.25</v>
      </c>
      <c r="I234">
        <f>IF(E234="공격형",INDEX(몬스터계수[[#Data],[숙련도계수]],MATCH(E234,몬스터계수[[#Data],[타입]],0),1)*C234,
IF(E234="방어형",INDEX(몬스터계수[[#Data],[숙련도계수]],MATCH(E234,몬스터계수[[#Data],[타입]],0),1)*C234,
IF(E234="회피형",INDEX(몬스터계수[[#Data],[숙련도계수]],MATCH(E234,몬스터계수[[#Data],[타입]],0),1)*C234,
IF(E234="체력형",INDEX(몬스터계수[[#Data],[숙련도계수]],MATCH(E234,몬스터계수[[#Data],[타입]],0),1)*C234,0))))</f>
        <v>1734.75</v>
      </c>
      <c r="J234">
        <f>IF(E234="공격형",INDEX(몬스터계수[[#Data],[행운계수]],MATCH(E234, 몬스터계수[[#Data],[타입]],0),1)*C234,
IF(E234="방어형",INDEX(몬스터계수[[#Data],[행운계수]],MATCH(E234, 몬스터계수[[#Data],[타입]],0),1)*C234,
IF(E234="회피형",INDEX(몬스터계수[[#Data],[행운계수]],MATCH(E234, 몬스터계수[[#Data],[타입]],0),1)*C234,
IF(E234="체력형",INDEX(몬스터계수[[#Data],[행운계수]],MATCH(E234, 몬스터계수[[#Data],[타입]],0),1)*C234,0))))</f>
        <v>578.25</v>
      </c>
      <c r="K234" s="34">
        <f>ROUND(
(($F234)*참고!$D$5)
+(($G234)*참고!$D$6)
+(($H234)*참고!$D$7)
+(($I234)*참고!$D$8)
+(($J234))*참고!$D$9,0)</f>
        <v>89918</v>
      </c>
      <c r="L234" s="34">
        <f>ROUND(
(($F234)*참고!$E$5)
+(($G234)*참고!$E$6)
+(($H234)*참고!$E$7)
+(($I234)*참고!$E$8)
+(($J234))*참고!$E$9,0)</f>
        <v>51464</v>
      </c>
      <c r="M234" s="34">
        <f>ROUND(
(($F234)*참고!$F$5)
+(($G234)*참고!$F$6)
+(($H234)*참고!$F$7)
+(($I234)*참고!$F$8)
+(($J234))*참고!$F$9,0)</f>
        <v>14456</v>
      </c>
      <c r="N234" s="34">
        <f>ROUND(
(($F234)*참고!$G$5)
+(($G234)*참고!$G$6)
+(($H234)*참고!$G$7)
+(($I234)*참고!$G$8)
+(($J234))*참고!$G$9,0)</f>
        <v>405</v>
      </c>
      <c r="O234" s="34">
        <f>ROUND(
(($F234)*참고!$H$5)
+(($G234)*참고!$H$6)
+(($H234)*참고!$H$7)
+(($I234)*참고!$H$8)
+(($J234))*참고!$H$9,0)</f>
        <v>9541</v>
      </c>
      <c r="P234" s="34">
        <f>ROUND(
(($F234)*참고!$I$5)
+(($G234)*참고!$I$6)
+(($H234)*참고!$I$7)
+(($I234)*참고!$I$8)
+(($J234))*참고!$I$9,0)</f>
        <v>16769</v>
      </c>
      <c r="Q234" s="34">
        <f>ROUND(
(($F234)*참고!$J$5)
+(($G234)*참고!$J$6)
+(($H234)*참고!$J$7)
+(($I234)*참고!$J$8)
+(($J234))*참고!$J$9,0)</f>
        <v>11565</v>
      </c>
      <c r="R234" s="34">
        <f>IF(E234="공격형",(INDEX(몬스터계수[[#Data],[속도]],MATCH(E234, 몬스터계수[[#Data],[타입]],0),1)*속도핸들러_곱계수)*(INT(몬스터밸런스[[#This Row],[Lv]]/속도핸들러_합계수+1)),
IF(E234="방어형",(INDEX(몬스터계수[[#Data],[속도]],MATCH(E234, 몬스터계수[[#Data],[타입]],0),1)*속도핸들러_곱계수)*(INT(몬스터밸런스[[#This Row],[Lv]]/속도핸들러_합계수+1)),
IF(E234="회피형",(INDEX(몬스터계수[[#Data],[속도]],MATCH(E234, 몬스터계수[[#Data],[타입]],0),1)*속도핸들러_곱계수)*(INT(몬스터밸런스[[#This Row],[Lv]]/속도핸들러_합계수+1)),
IF(E234="기본형",(INDEX(몬스터계수[[#Data],[속도]],MATCH(E234, 몬스터계수[[#Data],[타입]],0),1)*속도핸들러_곱계수)*(INT(몬스터밸런스[[#This Row],[Lv]]/속도핸들러_합계수+1)),0))))</f>
        <v>0</v>
      </c>
      <c r="S234">
        <f t="shared" si="10"/>
        <v>3087181</v>
      </c>
      <c r="U234">
        <v>2</v>
      </c>
      <c r="V234">
        <v>232</v>
      </c>
      <c r="W234">
        <f>$Z$1*몬스터밸런스9[[#This Row],[단계]]</f>
        <v>10</v>
      </c>
      <c r="X234" t="s">
        <v>53</v>
      </c>
      <c r="AE234" s="34">
        <f>몬스터밸런스[[#This Row],[생명]]*0.2</f>
        <v>1156.5</v>
      </c>
      <c r="AF234" s="34">
        <f>몬스터밸런스[[#This Row],[Attack]]*0.1</f>
        <v>5146.4000000000005</v>
      </c>
      <c r="AG234" s="34">
        <f>몬스터밸런스[[#This Row],[Defense]]*0.2</f>
        <v>2891.2000000000003</v>
      </c>
      <c r="AH234" s="34"/>
      <c r="AI234" s="34">
        <f>몬스터밸런스[[#This Row],[CriticalDamage]]*0.1</f>
        <v>954.1</v>
      </c>
      <c r="AJ234" s="34"/>
      <c r="AK234" s="34"/>
      <c r="AL234">
        <f t="shared" si="11"/>
        <v>153133.80000000002</v>
      </c>
    </row>
    <row r="235" spans="1:38">
      <c r="A235">
        <v>2320</v>
      </c>
      <c r="B235">
        <v>233</v>
      </c>
      <c r="C235">
        <f>$F$1*몬스터밸런스[[#This Row],[Lv]]+15</f>
        <v>11615</v>
      </c>
      <c r="E235" t="s">
        <v>479</v>
      </c>
      <c r="F235">
        <f>IF(E235="공격형",INDEX(몬스터계수[[#Data],[생명계수]],MATCH(E235,몬스터계수[[#Data],[타입]],0),1)*C235,
IF(E235="방어형",INDEX(몬스터계수[[#Data],[생명계수]],MATCH(E235,몬스터계수[[#Data],[타입]],0),1)*C235,
IF(E235="회피형",INDEX(몬스터계수[[#Data],[생명계수]],MATCH(E235,몬스터계수[[#Data],[타입]],0),1)*C235,
IF(E235="체력형",INDEX(몬스터계수[[#Data],[생명계수]],MATCH(E235,몬스터계수[[#Data],[타입]],0),1)*C235,0))))*IF(몬스터밸런스[[#This Row],[보스]]=TRUE,2,1)</f>
        <v>5807.5</v>
      </c>
      <c r="G235">
        <f>IF(E235="공격형",INDEX(몬스터계수[[#Data],[힘계수]],MATCH(E235, 몬스터계수[[#Data],[타입]],0),1)*C235,
IF(E235="방어형",INDEX(몬스터계수[[#Data],[힘계수]],MATCH(E235, 몬스터계수[[#Data],[타입]],0),1)*C235,
IF(E235="회피형",INDEX(몬스터계수[[#Data],[힘계수]],MATCH(E235, 몬스터계수[[#Data],[타입]],0),1)*C235,
IF(E235="체력형",INDEX(몬스터계수[[#Data],[힘계수]],MATCH(E235, 몬스터계수[[#Data],[타입]],0),1)*C235,0))))</f>
        <v>2903.75</v>
      </c>
      <c r="H235">
        <f>IF(E235="공격형",INDEX(몬스터계수[[#Data],[근력게수]],MATCH(E235,몬스터계수[[#Data],[타입]],0),1)*C235,
IF(E235="방어형",INDEX(몬스터계수[[#Data],[근력게수]],MATCH(E235,몬스터계수[[#Data],[타입]],0),1)*C235,
IF(E235="회피형",INDEX(몬스터계수[[#Data],[근력게수]],MATCH(E235,몬스터계수[[#Data],[타입]],0),1)*C235,
IF(E235="체력형",INDEX(몬스터계수[[#Data],[근력게수]],MATCH(E235,몬스터계수[[#Data],[타입]],0),1)*C235,0))))</f>
        <v>580.75</v>
      </c>
      <c r="I235">
        <f>IF(E235="공격형",INDEX(몬스터계수[[#Data],[숙련도계수]],MATCH(E235,몬스터계수[[#Data],[타입]],0),1)*C235,
IF(E235="방어형",INDEX(몬스터계수[[#Data],[숙련도계수]],MATCH(E235,몬스터계수[[#Data],[타입]],0),1)*C235,
IF(E235="회피형",INDEX(몬스터계수[[#Data],[숙련도계수]],MATCH(E235,몬스터계수[[#Data],[타입]],0),1)*C235,
IF(E235="체력형",INDEX(몬스터계수[[#Data],[숙련도계수]],MATCH(E235,몬스터계수[[#Data],[타입]],0),1)*C235,0))))</f>
        <v>1742.25</v>
      </c>
      <c r="J235">
        <f>IF(E235="공격형",INDEX(몬스터계수[[#Data],[행운계수]],MATCH(E235, 몬스터계수[[#Data],[타입]],0),1)*C235,
IF(E235="방어형",INDEX(몬스터계수[[#Data],[행운계수]],MATCH(E235, 몬스터계수[[#Data],[타입]],0),1)*C235,
IF(E235="회피형",INDEX(몬스터계수[[#Data],[행운계수]],MATCH(E235, 몬스터계수[[#Data],[타입]],0),1)*C235,
IF(E235="체력형",INDEX(몬스터계수[[#Data],[행운계수]],MATCH(E235, 몬스터계수[[#Data],[타입]],0),1)*C235,0))))</f>
        <v>580.75</v>
      </c>
      <c r="K235" s="34">
        <f>ROUND(
(($F235)*참고!$D$5)
+(($G235)*참고!$D$6)
+(($H235)*참고!$D$7)
+(($I235)*참고!$D$8)
+(($J235))*참고!$D$9,0)</f>
        <v>90307</v>
      </c>
      <c r="L235" s="34">
        <f>ROUND(
(($F235)*참고!$E$5)
+(($G235)*참고!$E$6)
+(($H235)*참고!$E$7)
+(($I235)*참고!$E$8)
+(($J235))*참고!$E$9,0)</f>
        <v>51687</v>
      </c>
      <c r="M235" s="34">
        <f>ROUND(
(($F235)*참고!$F$5)
+(($G235)*참고!$F$6)
+(($H235)*참고!$F$7)
+(($I235)*참고!$F$8)
+(($J235))*참고!$F$9,0)</f>
        <v>14519</v>
      </c>
      <c r="N235" s="34">
        <f>ROUND(
(($F235)*참고!$G$5)
+(($G235)*참고!$G$6)
+(($H235)*참고!$G$7)
+(($I235)*참고!$G$8)
+(($J235))*참고!$G$9,0)</f>
        <v>407</v>
      </c>
      <c r="O235" s="34">
        <f>ROUND(
(($F235)*참고!$H$5)
+(($G235)*참고!$H$6)
+(($H235)*참고!$H$7)
+(($I235)*참고!$H$8)
+(($J235))*참고!$H$9,0)</f>
        <v>9582</v>
      </c>
      <c r="P235" s="34">
        <f>ROUND(
(($F235)*참고!$I$5)
+(($G235)*참고!$I$6)
+(($H235)*참고!$I$7)
+(($I235)*참고!$I$8)
+(($J235))*참고!$I$9,0)</f>
        <v>16842</v>
      </c>
      <c r="Q235" s="34">
        <f>ROUND(
(($F235)*참고!$J$5)
+(($G235)*참고!$J$6)
+(($H235)*참고!$J$7)
+(($I235)*참고!$J$8)
+(($J235))*참고!$J$9,0)</f>
        <v>11615</v>
      </c>
      <c r="R235" s="34">
        <f>IF(E235="공격형",(INDEX(몬스터계수[[#Data],[속도]],MATCH(E235, 몬스터계수[[#Data],[타입]],0),1)*속도핸들러_곱계수)*(INT(몬스터밸런스[[#This Row],[Lv]]/속도핸들러_합계수+1)),
IF(E235="방어형",(INDEX(몬스터계수[[#Data],[속도]],MATCH(E235, 몬스터계수[[#Data],[타입]],0),1)*속도핸들러_곱계수)*(INT(몬스터밸런스[[#This Row],[Lv]]/속도핸들러_합계수+1)),
IF(E235="회피형",(INDEX(몬스터계수[[#Data],[속도]],MATCH(E235, 몬스터계수[[#Data],[타입]],0),1)*속도핸들러_곱계수)*(INT(몬스터밸런스[[#This Row],[Lv]]/속도핸들러_합계수+1)),
IF(E235="기본형",(INDEX(몬스터계수[[#Data],[속도]],MATCH(E235, 몬스터계수[[#Data],[타입]],0),1)*속도핸들러_곱계수)*(INT(몬스터밸런스[[#This Row],[Lv]]/속도핸들러_합계수+1)),0))))</f>
        <v>0</v>
      </c>
      <c r="S235">
        <f t="shared" si="10"/>
        <v>3100553</v>
      </c>
      <c r="U235">
        <v>2</v>
      </c>
      <c r="V235">
        <v>233</v>
      </c>
      <c r="W235">
        <f>$Z$1*몬스터밸런스9[[#This Row],[단계]]</f>
        <v>10</v>
      </c>
      <c r="X235" t="s">
        <v>53</v>
      </c>
      <c r="AE235" s="34">
        <f>몬스터밸런스[[#This Row],[생명]]*0.2</f>
        <v>1161.5</v>
      </c>
      <c r="AF235" s="34">
        <f>몬스터밸런스[[#This Row],[Attack]]*0.1</f>
        <v>5168.7000000000007</v>
      </c>
      <c r="AG235" s="34">
        <f>몬스터밸런스[[#This Row],[Defense]]*0.2</f>
        <v>2903.8</v>
      </c>
      <c r="AH235" s="34"/>
      <c r="AI235" s="34">
        <f>몬스터밸런스[[#This Row],[CriticalDamage]]*0.1</f>
        <v>958.2</v>
      </c>
      <c r="AJ235" s="34"/>
      <c r="AK235" s="34"/>
      <c r="AL235">
        <f t="shared" si="11"/>
        <v>153798.15</v>
      </c>
    </row>
    <row r="236" spans="1:38">
      <c r="A236">
        <v>2330</v>
      </c>
      <c r="B236">
        <v>234</v>
      </c>
      <c r="C236">
        <f>$F$1*몬스터밸런스[[#This Row],[Lv]]+15</f>
        <v>11665</v>
      </c>
      <c r="E236" t="s">
        <v>479</v>
      </c>
      <c r="F236">
        <f>IF(E236="공격형",INDEX(몬스터계수[[#Data],[생명계수]],MATCH(E236,몬스터계수[[#Data],[타입]],0),1)*C236,
IF(E236="방어형",INDEX(몬스터계수[[#Data],[생명계수]],MATCH(E236,몬스터계수[[#Data],[타입]],0),1)*C236,
IF(E236="회피형",INDEX(몬스터계수[[#Data],[생명계수]],MATCH(E236,몬스터계수[[#Data],[타입]],0),1)*C236,
IF(E236="체력형",INDEX(몬스터계수[[#Data],[생명계수]],MATCH(E236,몬스터계수[[#Data],[타입]],0),1)*C236,0))))*IF(몬스터밸런스[[#This Row],[보스]]=TRUE,2,1)</f>
        <v>5832.5</v>
      </c>
      <c r="G236">
        <f>IF(E236="공격형",INDEX(몬스터계수[[#Data],[힘계수]],MATCH(E236, 몬스터계수[[#Data],[타입]],0),1)*C236,
IF(E236="방어형",INDEX(몬스터계수[[#Data],[힘계수]],MATCH(E236, 몬스터계수[[#Data],[타입]],0),1)*C236,
IF(E236="회피형",INDEX(몬스터계수[[#Data],[힘계수]],MATCH(E236, 몬스터계수[[#Data],[타입]],0),1)*C236,
IF(E236="체력형",INDEX(몬스터계수[[#Data],[힘계수]],MATCH(E236, 몬스터계수[[#Data],[타입]],0),1)*C236,0))))</f>
        <v>2916.25</v>
      </c>
      <c r="H236">
        <f>IF(E236="공격형",INDEX(몬스터계수[[#Data],[근력게수]],MATCH(E236,몬스터계수[[#Data],[타입]],0),1)*C236,
IF(E236="방어형",INDEX(몬스터계수[[#Data],[근력게수]],MATCH(E236,몬스터계수[[#Data],[타입]],0),1)*C236,
IF(E236="회피형",INDEX(몬스터계수[[#Data],[근력게수]],MATCH(E236,몬스터계수[[#Data],[타입]],0),1)*C236,
IF(E236="체력형",INDEX(몬스터계수[[#Data],[근력게수]],MATCH(E236,몬스터계수[[#Data],[타입]],0),1)*C236,0))))</f>
        <v>583.25</v>
      </c>
      <c r="I236">
        <f>IF(E236="공격형",INDEX(몬스터계수[[#Data],[숙련도계수]],MATCH(E236,몬스터계수[[#Data],[타입]],0),1)*C236,
IF(E236="방어형",INDEX(몬스터계수[[#Data],[숙련도계수]],MATCH(E236,몬스터계수[[#Data],[타입]],0),1)*C236,
IF(E236="회피형",INDEX(몬스터계수[[#Data],[숙련도계수]],MATCH(E236,몬스터계수[[#Data],[타입]],0),1)*C236,
IF(E236="체력형",INDEX(몬스터계수[[#Data],[숙련도계수]],MATCH(E236,몬스터계수[[#Data],[타입]],0),1)*C236,0))))</f>
        <v>1749.75</v>
      </c>
      <c r="J236">
        <f>IF(E236="공격형",INDEX(몬스터계수[[#Data],[행운계수]],MATCH(E236, 몬스터계수[[#Data],[타입]],0),1)*C236,
IF(E236="방어형",INDEX(몬스터계수[[#Data],[행운계수]],MATCH(E236, 몬스터계수[[#Data],[타입]],0),1)*C236,
IF(E236="회피형",INDEX(몬스터계수[[#Data],[행운계수]],MATCH(E236, 몬스터계수[[#Data],[타입]],0),1)*C236,
IF(E236="체력형",INDEX(몬스터계수[[#Data],[행운계수]],MATCH(E236, 몬스터계수[[#Data],[타입]],0),1)*C236,0))))</f>
        <v>583.25</v>
      </c>
      <c r="K236" s="34">
        <f>ROUND(
(($F236)*참고!$D$5)
+(($G236)*참고!$D$6)
+(($H236)*참고!$D$7)
+(($I236)*참고!$D$8)
+(($J236))*참고!$D$9,0)</f>
        <v>90695</v>
      </c>
      <c r="L236" s="34">
        <f>ROUND(
(($F236)*참고!$E$5)
+(($G236)*참고!$E$6)
+(($H236)*참고!$E$7)
+(($I236)*참고!$E$8)
+(($J236))*참고!$E$9,0)</f>
        <v>51909</v>
      </c>
      <c r="M236" s="34">
        <f>ROUND(
(($F236)*참고!$F$5)
+(($G236)*참고!$F$6)
+(($H236)*참고!$F$7)
+(($I236)*참고!$F$8)
+(($J236))*참고!$F$9,0)</f>
        <v>14581</v>
      </c>
      <c r="N236" s="34">
        <f>ROUND(
(($F236)*참고!$G$5)
+(($G236)*참고!$G$6)
+(($H236)*참고!$G$7)
+(($I236)*참고!$G$8)
+(($J236))*참고!$G$9,0)</f>
        <v>408</v>
      </c>
      <c r="O236" s="34">
        <f>ROUND(
(($F236)*참고!$H$5)
+(($G236)*참고!$H$6)
+(($H236)*참고!$H$7)
+(($I236)*참고!$H$8)
+(($J236))*참고!$H$9,0)</f>
        <v>9624</v>
      </c>
      <c r="P236" s="34">
        <f>ROUND(
(($F236)*참고!$I$5)
+(($G236)*참고!$I$6)
+(($H236)*참고!$I$7)
+(($I236)*참고!$I$8)
+(($J236))*참고!$I$9,0)</f>
        <v>16914</v>
      </c>
      <c r="Q236" s="34">
        <f>ROUND(
(($F236)*참고!$J$5)
+(($G236)*참고!$J$6)
+(($H236)*참고!$J$7)
+(($I236)*참고!$J$8)
+(($J236))*참고!$J$9,0)</f>
        <v>11665</v>
      </c>
      <c r="R236" s="34">
        <f>IF(E236="공격형",(INDEX(몬스터계수[[#Data],[속도]],MATCH(E236, 몬스터계수[[#Data],[타입]],0),1)*속도핸들러_곱계수)*(INT(몬스터밸런스[[#This Row],[Lv]]/속도핸들러_합계수+1)),
IF(E236="방어형",(INDEX(몬스터계수[[#Data],[속도]],MATCH(E236, 몬스터계수[[#Data],[타입]],0),1)*속도핸들러_곱계수)*(INT(몬스터밸런스[[#This Row],[Lv]]/속도핸들러_합계수+1)),
IF(E236="회피형",(INDEX(몬스터계수[[#Data],[속도]],MATCH(E236, 몬스터계수[[#Data],[타입]],0),1)*속도핸들러_곱계수)*(INT(몬스터밸런스[[#This Row],[Lv]]/속도핸들러_합계수+1)),
IF(E236="기본형",(INDEX(몬스터계수[[#Data],[속도]],MATCH(E236, 몬스터계수[[#Data],[타입]],0),1)*속도핸들러_곱계수)*(INT(몬스터밸런스[[#This Row],[Lv]]/속도핸들러_합계수+1)),0))))</f>
        <v>0</v>
      </c>
      <c r="S236">
        <f t="shared" si="10"/>
        <v>3113868.5</v>
      </c>
      <c r="U236">
        <v>2</v>
      </c>
      <c r="V236">
        <v>234</v>
      </c>
      <c r="W236">
        <f>$Z$1*몬스터밸런스9[[#This Row],[단계]]</f>
        <v>10</v>
      </c>
      <c r="X236" t="s">
        <v>53</v>
      </c>
      <c r="AE236" s="34">
        <f>몬스터밸런스[[#This Row],[생명]]*0.2</f>
        <v>1166.5</v>
      </c>
      <c r="AF236" s="34">
        <f>몬스터밸런스[[#This Row],[Attack]]*0.1</f>
        <v>5190.9000000000005</v>
      </c>
      <c r="AG236" s="34">
        <f>몬스터밸런스[[#This Row],[Defense]]*0.2</f>
        <v>2916.2000000000003</v>
      </c>
      <c r="AH236" s="34"/>
      <c r="AI236" s="34">
        <f>몬스터밸런스[[#This Row],[CriticalDamage]]*0.1</f>
        <v>962.40000000000009</v>
      </c>
      <c r="AJ236" s="34"/>
      <c r="AK236" s="34"/>
      <c r="AL236">
        <f t="shared" si="11"/>
        <v>154458.15</v>
      </c>
    </row>
    <row r="237" spans="1:38">
      <c r="A237">
        <v>2340</v>
      </c>
      <c r="B237">
        <v>235</v>
      </c>
      <c r="C237">
        <f>$F$1*몬스터밸런스[[#This Row],[Lv]]+15</f>
        <v>11715</v>
      </c>
      <c r="E237" t="s">
        <v>479</v>
      </c>
      <c r="F237">
        <f>IF(E237="공격형",INDEX(몬스터계수[[#Data],[생명계수]],MATCH(E237,몬스터계수[[#Data],[타입]],0),1)*C237,
IF(E237="방어형",INDEX(몬스터계수[[#Data],[생명계수]],MATCH(E237,몬스터계수[[#Data],[타입]],0),1)*C237,
IF(E237="회피형",INDEX(몬스터계수[[#Data],[생명계수]],MATCH(E237,몬스터계수[[#Data],[타입]],0),1)*C237,
IF(E237="체력형",INDEX(몬스터계수[[#Data],[생명계수]],MATCH(E237,몬스터계수[[#Data],[타입]],0),1)*C237,0))))*IF(몬스터밸런스[[#This Row],[보스]]=TRUE,2,1)</f>
        <v>5857.5</v>
      </c>
      <c r="G237">
        <f>IF(E237="공격형",INDEX(몬스터계수[[#Data],[힘계수]],MATCH(E237, 몬스터계수[[#Data],[타입]],0),1)*C237,
IF(E237="방어형",INDEX(몬스터계수[[#Data],[힘계수]],MATCH(E237, 몬스터계수[[#Data],[타입]],0),1)*C237,
IF(E237="회피형",INDEX(몬스터계수[[#Data],[힘계수]],MATCH(E237, 몬스터계수[[#Data],[타입]],0),1)*C237,
IF(E237="체력형",INDEX(몬스터계수[[#Data],[힘계수]],MATCH(E237, 몬스터계수[[#Data],[타입]],0),1)*C237,0))))</f>
        <v>2928.75</v>
      </c>
      <c r="H237">
        <f>IF(E237="공격형",INDEX(몬스터계수[[#Data],[근력게수]],MATCH(E237,몬스터계수[[#Data],[타입]],0),1)*C237,
IF(E237="방어형",INDEX(몬스터계수[[#Data],[근력게수]],MATCH(E237,몬스터계수[[#Data],[타입]],0),1)*C237,
IF(E237="회피형",INDEX(몬스터계수[[#Data],[근력게수]],MATCH(E237,몬스터계수[[#Data],[타입]],0),1)*C237,
IF(E237="체력형",INDEX(몬스터계수[[#Data],[근력게수]],MATCH(E237,몬스터계수[[#Data],[타입]],0),1)*C237,0))))</f>
        <v>585.75</v>
      </c>
      <c r="I237">
        <f>IF(E237="공격형",INDEX(몬스터계수[[#Data],[숙련도계수]],MATCH(E237,몬스터계수[[#Data],[타입]],0),1)*C237,
IF(E237="방어형",INDEX(몬스터계수[[#Data],[숙련도계수]],MATCH(E237,몬스터계수[[#Data],[타입]],0),1)*C237,
IF(E237="회피형",INDEX(몬스터계수[[#Data],[숙련도계수]],MATCH(E237,몬스터계수[[#Data],[타입]],0),1)*C237,
IF(E237="체력형",INDEX(몬스터계수[[#Data],[숙련도계수]],MATCH(E237,몬스터계수[[#Data],[타입]],0),1)*C237,0))))</f>
        <v>1757.25</v>
      </c>
      <c r="J237">
        <f>IF(E237="공격형",INDEX(몬스터계수[[#Data],[행운계수]],MATCH(E237, 몬스터계수[[#Data],[타입]],0),1)*C237,
IF(E237="방어형",INDEX(몬스터계수[[#Data],[행운계수]],MATCH(E237, 몬스터계수[[#Data],[타입]],0),1)*C237,
IF(E237="회피형",INDEX(몬스터계수[[#Data],[행운계수]],MATCH(E237, 몬스터계수[[#Data],[타입]],0),1)*C237,
IF(E237="체력형",INDEX(몬스터계수[[#Data],[행운계수]],MATCH(E237, 몬스터계수[[#Data],[타입]],0),1)*C237,0))))</f>
        <v>585.75</v>
      </c>
      <c r="K237" s="34">
        <f>ROUND(
(($F237)*참고!$D$5)
+(($G237)*참고!$D$6)
+(($H237)*참고!$D$7)
+(($I237)*참고!$D$8)
+(($J237))*참고!$D$9,0)</f>
        <v>91084</v>
      </c>
      <c r="L237" s="34">
        <f>ROUND(
(($F237)*참고!$E$5)
+(($G237)*참고!$E$6)
+(($H237)*참고!$E$7)
+(($I237)*참고!$E$8)
+(($J237))*참고!$E$9,0)</f>
        <v>52132</v>
      </c>
      <c r="M237" s="34">
        <f>ROUND(
(($F237)*참고!$F$5)
+(($G237)*참고!$F$6)
+(($H237)*참고!$F$7)
+(($I237)*참고!$F$8)
+(($J237))*참고!$F$9,0)</f>
        <v>14644</v>
      </c>
      <c r="N237" s="34">
        <f>ROUND(
(($F237)*참고!$G$5)
+(($G237)*참고!$G$6)
+(($H237)*참고!$G$7)
+(($I237)*참고!$G$8)
+(($J237))*참고!$G$9,0)</f>
        <v>410</v>
      </c>
      <c r="O237" s="34">
        <f>ROUND(
(($F237)*참고!$H$5)
+(($G237)*참고!$H$6)
+(($H237)*참고!$H$7)
+(($I237)*참고!$H$8)
+(($J237))*참고!$H$9,0)</f>
        <v>9665</v>
      </c>
      <c r="P237" s="34">
        <f>ROUND(
(($F237)*참고!$I$5)
+(($G237)*참고!$I$6)
+(($H237)*참고!$I$7)
+(($I237)*참고!$I$8)
+(($J237))*참고!$I$9,0)</f>
        <v>16987</v>
      </c>
      <c r="Q237" s="34">
        <f>ROUND(
(($F237)*참고!$J$5)
+(($G237)*참고!$J$6)
+(($H237)*참고!$J$7)
+(($I237)*참고!$J$8)
+(($J237))*참고!$J$9,0)</f>
        <v>11715</v>
      </c>
      <c r="R237" s="34">
        <f>IF(E237="공격형",(INDEX(몬스터계수[[#Data],[속도]],MATCH(E237, 몬스터계수[[#Data],[타입]],0),1)*속도핸들러_곱계수)*(INT(몬스터밸런스[[#This Row],[Lv]]/속도핸들러_합계수+1)),
IF(E237="방어형",(INDEX(몬스터계수[[#Data],[속도]],MATCH(E237, 몬스터계수[[#Data],[타입]],0),1)*속도핸들러_곱계수)*(INT(몬스터밸런스[[#This Row],[Lv]]/속도핸들러_합계수+1)),
IF(E237="회피형",(INDEX(몬스터계수[[#Data],[속도]],MATCH(E237, 몬스터계수[[#Data],[타입]],0),1)*속도핸들러_곱계수)*(INT(몬스터밸런스[[#This Row],[Lv]]/속도핸들러_합계수+1)),
IF(E237="기본형",(INDEX(몬스터계수[[#Data],[속도]],MATCH(E237, 몬스터계수[[#Data],[타입]],0),1)*속도핸들러_곱계수)*(INT(몬스터밸런스[[#This Row],[Lv]]/속도핸들러_합계수+1)),0))))</f>
        <v>0</v>
      </c>
      <c r="S237">
        <f t="shared" si="10"/>
        <v>3127240.5</v>
      </c>
      <c r="U237">
        <v>2</v>
      </c>
      <c r="V237">
        <v>235</v>
      </c>
      <c r="W237">
        <f>$Z$1*몬스터밸런스9[[#This Row],[단계]]</f>
        <v>10</v>
      </c>
      <c r="X237" t="s">
        <v>53</v>
      </c>
      <c r="AE237" s="34">
        <f>몬스터밸런스[[#This Row],[생명]]*0.2</f>
        <v>1171.5</v>
      </c>
      <c r="AF237" s="34">
        <f>몬스터밸런스[[#This Row],[Attack]]*0.1</f>
        <v>5213.2000000000007</v>
      </c>
      <c r="AG237" s="34">
        <f>몬스터밸런스[[#This Row],[Defense]]*0.2</f>
        <v>2928.8</v>
      </c>
      <c r="AH237" s="34"/>
      <c r="AI237" s="34">
        <f>몬스터밸런스[[#This Row],[CriticalDamage]]*0.1</f>
        <v>966.5</v>
      </c>
      <c r="AJ237" s="34"/>
      <c r="AK237" s="34"/>
      <c r="AL237">
        <f t="shared" si="11"/>
        <v>155122.5</v>
      </c>
    </row>
    <row r="238" spans="1:38">
      <c r="A238">
        <v>2350</v>
      </c>
      <c r="B238">
        <v>236</v>
      </c>
      <c r="C238">
        <f>$F$1*몬스터밸런스[[#This Row],[Lv]]+15</f>
        <v>11765</v>
      </c>
      <c r="E238" t="s">
        <v>479</v>
      </c>
      <c r="F238">
        <f>IF(E238="공격형",INDEX(몬스터계수[[#Data],[생명계수]],MATCH(E238,몬스터계수[[#Data],[타입]],0),1)*C238,
IF(E238="방어형",INDEX(몬스터계수[[#Data],[생명계수]],MATCH(E238,몬스터계수[[#Data],[타입]],0),1)*C238,
IF(E238="회피형",INDEX(몬스터계수[[#Data],[생명계수]],MATCH(E238,몬스터계수[[#Data],[타입]],0),1)*C238,
IF(E238="체력형",INDEX(몬스터계수[[#Data],[생명계수]],MATCH(E238,몬스터계수[[#Data],[타입]],0),1)*C238,0))))*IF(몬스터밸런스[[#This Row],[보스]]=TRUE,2,1)</f>
        <v>5882.5</v>
      </c>
      <c r="G238">
        <f>IF(E238="공격형",INDEX(몬스터계수[[#Data],[힘계수]],MATCH(E238, 몬스터계수[[#Data],[타입]],0),1)*C238,
IF(E238="방어형",INDEX(몬스터계수[[#Data],[힘계수]],MATCH(E238, 몬스터계수[[#Data],[타입]],0),1)*C238,
IF(E238="회피형",INDEX(몬스터계수[[#Data],[힘계수]],MATCH(E238, 몬스터계수[[#Data],[타입]],0),1)*C238,
IF(E238="체력형",INDEX(몬스터계수[[#Data],[힘계수]],MATCH(E238, 몬스터계수[[#Data],[타입]],0),1)*C238,0))))</f>
        <v>2941.25</v>
      </c>
      <c r="H238">
        <f>IF(E238="공격형",INDEX(몬스터계수[[#Data],[근력게수]],MATCH(E238,몬스터계수[[#Data],[타입]],0),1)*C238,
IF(E238="방어형",INDEX(몬스터계수[[#Data],[근력게수]],MATCH(E238,몬스터계수[[#Data],[타입]],0),1)*C238,
IF(E238="회피형",INDEX(몬스터계수[[#Data],[근력게수]],MATCH(E238,몬스터계수[[#Data],[타입]],0),1)*C238,
IF(E238="체력형",INDEX(몬스터계수[[#Data],[근력게수]],MATCH(E238,몬스터계수[[#Data],[타입]],0),1)*C238,0))))</f>
        <v>588.25</v>
      </c>
      <c r="I238">
        <f>IF(E238="공격형",INDEX(몬스터계수[[#Data],[숙련도계수]],MATCH(E238,몬스터계수[[#Data],[타입]],0),1)*C238,
IF(E238="방어형",INDEX(몬스터계수[[#Data],[숙련도계수]],MATCH(E238,몬스터계수[[#Data],[타입]],0),1)*C238,
IF(E238="회피형",INDEX(몬스터계수[[#Data],[숙련도계수]],MATCH(E238,몬스터계수[[#Data],[타입]],0),1)*C238,
IF(E238="체력형",INDEX(몬스터계수[[#Data],[숙련도계수]],MATCH(E238,몬스터계수[[#Data],[타입]],0),1)*C238,0))))</f>
        <v>1764.75</v>
      </c>
      <c r="J238">
        <f>IF(E238="공격형",INDEX(몬스터계수[[#Data],[행운계수]],MATCH(E238, 몬스터계수[[#Data],[타입]],0),1)*C238,
IF(E238="방어형",INDEX(몬스터계수[[#Data],[행운계수]],MATCH(E238, 몬스터계수[[#Data],[타입]],0),1)*C238,
IF(E238="회피형",INDEX(몬스터계수[[#Data],[행운계수]],MATCH(E238, 몬스터계수[[#Data],[타입]],0),1)*C238,
IF(E238="체력형",INDEX(몬스터계수[[#Data],[행운계수]],MATCH(E238, 몬스터계수[[#Data],[타입]],0),1)*C238,0))))</f>
        <v>588.25</v>
      </c>
      <c r="K238" s="34">
        <f>ROUND(
(($F238)*참고!$D$5)
+(($G238)*참고!$D$6)
+(($H238)*참고!$D$7)
+(($I238)*참고!$D$8)
+(($J238))*참고!$D$9,0)</f>
        <v>91473</v>
      </c>
      <c r="L238" s="34">
        <f>ROUND(
(($F238)*참고!$E$5)
+(($G238)*참고!$E$6)
+(($H238)*참고!$E$7)
+(($I238)*참고!$E$8)
+(($J238))*참고!$E$9,0)</f>
        <v>52354</v>
      </c>
      <c r="M238" s="34">
        <f>ROUND(
(($F238)*참고!$F$5)
+(($G238)*참고!$F$6)
+(($H238)*참고!$F$7)
+(($I238)*참고!$F$8)
+(($J238))*참고!$F$9,0)</f>
        <v>14706</v>
      </c>
      <c r="N238" s="34">
        <f>ROUND(
(($F238)*참고!$G$5)
+(($G238)*참고!$G$6)
+(($H238)*참고!$G$7)
+(($I238)*참고!$G$8)
+(($J238))*참고!$G$9,0)</f>
        <v>412</v>
      </c>
      <c r="O238" s="34">
        <f>ROUND(
(($F238)*참고!$H$5)
+(($G238)*참고!$H$6)
+(($H238)*참고!$H$7)
+(($I238)*참고!$H$8)
+(($J238))*참고!$H$9,0)</f>
        <v>9706</v>
      </c>
      <c r="P238" s="34">
        <f>ROUND(
(($F238)*참고!$I$5)
+(($G238)*참고!$I$6)
+(($H238)*참고!$I$7)
+(($I238)*참고!$I$8)
+(($J238))*참고!$I$9,0)</f>
        <v>17059</v>
      </c>
      <c r="Q238" s="34">
        <f>ROUND(
(($F238)*참고!$J$5)
+(($G238)*참고!$J$6)
+(($H238)*참고!$J$7)
+(($I238)*참고!$J$8)
+(($J238))*참고!$J$9,0)</f>
        <v>11765</v>
      </c>
      <c r="R238" s="34">
        <f>IF(E238="공격형",(INDEX(몬스터계수[[#Data],[속도]],MATCH(E238, 몬스터계수[[#Data],[타입]],0),1)*속도핸들러_곱계수)*(INT(몬스터밸런스[[#This Row],[Lv]]/속도핸들러_합계수+1)),
IF(E238="방어형",(INDEX(몬스터계수[[#Data],[속도]],MATCH(E238, 몬스터계수[[#Data],[타입]],0),1)*속도핸들러_곱계수)*(INT(몬스터밸런스[[#This Row],[Lv]]/속도핸들러_합계수+1)),
IF(E238="회피형",(INDEX(몬스터계수[[#Data],[속도]],MATCH(E238, 몬스터계수[[#Data],[타입]],0),1)*속도핸들러_곱계수)*(INT(몬스터밸런스[[#This Row],[Lv]]/속도핸들러_합계수+1)),
IF(E238="기본형",(INDEX(몬스터계수[[#Data],[속도]],MATCH(E238, 몬스터계수[[#Data],[타입]],0),1)*속도핸들러_곱계수)*(INT(몬스터밸런스[[#This Row],[Lv]]/속도핸들러_합계수+1)),0))))</f>
        <v>0</v>
      </c>
      <c r="S238">
        <f t="shared" si="10"/>
        <v>3140569.5</v>
      </c>
      <c r="U238">
        <v>3</v>
      </c>
      <c r="V238">
        <v>236</v>
      </c>
      <c r="W238">
        <f>$Z$1*몬스터밸런스9[[#This Row],[단계]]</f>
        <v>15</v>
      </c>
      <c r="X238" t="s">
        <v>53</v>
      </c>
      <c r="AE238" s="34">
        <f>몬스터밸런스[[#This Row],[생명]]*0.2</f>
        <v>1176.5</v>
      </c>
      <c r="AF238" s="34">
        <f>몬스터밸런스[[#This Row],[Attack]]*0.1</f>
        <v>5235.4000000000005</v>
      </c>
      <c r="AG238" s="34">
        <f>몬스터밸런스[[#This Row],[Defense]]*0.2</f>
        <v>2941.2000000000003</v>
      </c>
      <c r="AH238" s="34"/>
      <c r="AI238" s="34">
        <f>몬스터밸런스[[#This Row],[CriticalDamage]]*0.1</f>
        <v>970.6</v>
      </c>
      <c r="AJ238" s="34"/>
      <c r="AK238" s="34"/>
      <c r="AL238">
        <f t="shared" si="11"/>
        <v>155782.05000000002</v>
      </c>
    </row>
    <row r="239" spans="1:38">
      <c r="A239">
        <v>2360</v>
      </c>
      <c r="B239">
        <v>237</v>
      </c>
      <c r="C239">
        <f>$F$1*몬스터밸런스[[#This Row],[Lv]]+15</f>
        <v>11815</v>
      </c>
      <c r="E239" t="s">
        <v>479</v>
      </c>
      <c r="F239">
        <f>IF(E239="공격형",INDEX(몬스터계수[[#Data],[생명계수]],MATCH(E239,몬스터계수[[#Data],[타입]],0),1)*C239,
IF(E239="방어형",INDEX(몬스터계수[[#Data],[생명계수]],MATCH(E239,몬스터계수[[#Data],[타입]],0),1)*C239,
IF(E239="회피형",INDEX(몬스터계수[[#Data],[생명계수]],MATCH(E239,몬스터계수[[#Data],[타입]],0),1)*C239,
IF(E239="체력형",INDEX(몬스터계수[[#Data],[생명계수]],MATCH(E239,몬스터계수[[#Data],[타입]],0),1)*C239,0))))*IF(몬스터밸런스[[#This Row],[보스]]=TRUE,2,1)</f>
        <v>5907.5</v>
      </c>
      <c r="G239">
        <f>IF(E239="공격형",INDEX(몬스터계수[[#Data],[힘계수]],MATCH(E239, 몬스터계수[[#Data],[타입]],0),1)*C239,
IF(E239="방어형",INDEX(몬스터계수[[#Data],[힘계수]],MATCH(E239, 몬스터계수[[#Data],[타입]],0),1)*C239,
IF(E239="회피형",INDEX(몬스터계수[[#Data],[힘계수]],MATCH(E239, 몬스터계수[[#Data],[타입]],0),1)*C239,
IF(E239="체력형",INDEX(몬스터계수[[#Data],[힘계수]],MATCH(E239, 몬스터계수[[#Data],[타입]],0),1)*C239,0))))</f>
        <v>2953.75</v>
      </c>
      <c r="H239">
        <f>IF(E239="공격형",INDEX(몬스터계수[[#Data],[근력게수]],MATCH(E239,몬스터계수[[#Data],[타입]],0),1)*C239,
IF(E239="방어형",INDEX(몬스터계수[[#Data],[근력게수]],MATCH(E239,몬스터계수[[#Data],[타입]],0),1)*C239,
IF(E239="회피형",INDEX(몬스터계수[[#Data],[근력게수]],MATCH(E239,몬스터계수[[#Data],[타입]],0),1)*C239,
IF(E239="체력형",INDEX(몬스터계수[[#Data],[근력게수]],MATCH(E239,몬스터계수[[#Data],[타입]],0),1)*C239,0))))</f>
        <v>590.75</v>
      </c>
      <c r="I239">
        <f>IF(E239="공격형",INDEX(몬스터계수[[#Data],[숙련도계수]],MATCH(E239,몬스터계수[[#Data],[타입]],0),1)*C239,
IF(E239="방어형",INDEX(몬스터계수[[#Data],[숙련도계수]],MATCH(E239,몬스터계수[[#Data],[타입]],0),1)*C239,
IF(E239="회피형",INDEX(몬스터계수[[#Data],[숙련도계수]],MATCH(E239,몬스터계수[[#Data],[타입]],0),1)*C239,
IF(E239="체력형",INDEX(몬스터계수[[#Data],[숙련도계수]],MATCH(E239,몬스터계수[[#Data],[타입]],0),1)*C239,0))))</f>
        <v>1772.25</v>
      </c>
      <c r="J239">
        <f>IF(E239="공격형",INDEX(몬스터계수[[#Data],[행운계수]],MATCH(E239, 몬스터계수[[#Data],[타입]],0),1)*C239,
IF(E239="방어형",INDEX(몬스터계수[[#Data],[행운계수]],MATCH(E239, 몬스터계수[[#Data],[타입]],0),1)*C239,
IF(E239="회피형",INDEX(몬스터계수[[#Data],[행운계수]],MATCH(E239, 몬스터계수[[#Data],[타입]],0),1)*C239,
IF(E239="체력형",INDEX(몬스터계수[[#Data],[행운계수]],MATCH(E239, 몬스터계수[[#Data],[타입]],0),1)*C239,0))))</f>
        <v>590.75</v>
      </c>
      <c r="K239" s="34">
        <f>ROUND(
(($F239)*참고!$D$5)
+(($G239)*참고!$D$6)
+(($H239)*참고!$D$7)
+(($I239)*참고!$D$8)
+(($J239))*참고!$D$9,0)</f>
        <v>91862</v>
      </c>
      <c r="L239" s="34">
        <f>ROUND(
(($F239)*참고!$E$5)
+(($G239)*참고!$E$6)
+(($H239)*참고!$E$7)
+(($I239)*참고!$E$8)
+(($J239))*참고!$E$9,0)</f>
        <v>52577</v>
      </c>
      <c r="M239" s="34">
        <f>ROUND(
(($F239)*참고!$F$5)
+(($G239)*참고!$F$6)
+(($H239)*참고!$F$7)
+(($I239)*참고!$F$8)
+(($J239))*참고!$F$9,0)</f>
        <v>14769</v>
      </c>
      <c r="N239" s="34">
        <f>ROUND(
(($F239)*참고!$G$5)
+(($G239)*참고!$G$6)
+(($H239)*참고!$G$7)
+(($I239)*참고!$G$8)
+(($J239))*참고!$G$9,0)</f>
        <v>414</v>
      </c>
      <c r="O239" s="34">
        <f>ROUND(
(($F239)*참고!$H$5)
+(($G239)*참고!$H$6)
+(($H239)*참고!$H$7)
+(($I239)*참고!$H$8)
+(($J239))*참고!$H$9,0)</f>
        <v>9747</v>
      </c>
      <c r="P239" s="34">
        <f>ROUND(
(($F239)*참고!$I$5)
+(($G239)*참고!$I$6)
+(($H239)*참고!$I$7)
+(($I239)*참고!$I$8)
+(($J239))*참고!$I$9,0)</f>
        <v>17132</v>
      </c>
      <c r="Q239" s="34">
        <f>ROUND(
(($F239)*참고!$J$5)
+(($G239)*참고!$J$6)
+(($H239)*참고!$J$7)
+(($I239)*참고!$J$8)
+(($J239))*참고!$J$9,0)</f>
        <v>11815</v>
      </c>
      <c r="R239" s="34">
        <f>IF(E239="공격형",(INDEX(몬스터계수[[#Data],[속도]],MATCH(E239, 몬스터계수[[#Data],[타입]],0),1)*속도핸들러_곱계수)*(INT(몬스터밸런스[[#This Row],[Lv]]/속도핸들러_합계수+1)),
IF(E239="방어형",(INDEX(몬스터계수[[#Data],[속도]],MATCH(E239, 몬스터계수[[#Data],[타입]],0),1)*속도핸들러_곱계수)*(INT(몬스터밸런스[[#This Row],[Lv]]/속도핸들러_합계수+1)),
IF(E239="회피형",(INDEX(몬스터계수[[#Data],[속도]],MATCH(E239, 몬스터계수[[#Data],[타입]],0),1)*속도핸들러_곱계수)*(INT(몬스터밸런스[[#This Row],[Lv]]/속도핸들러_합계수+1)),
IF(E239="기본형",(INDEX(몬스터계수[[#Data],[속도]],MATCH(E239, 몬스터계수[[#Data],[타입]],0),1)*속도핸들러_곱계수)*(INT(몬스터밸런스[[#This Row],[Lv]]/속도핸들러_합계수+1)),0))))</f>
        <v>0</v>
      </c>
      <c r="S239">
        <f t="shared" si="10"/>
        <v>3153941.5</v>
      </c>
      <c r="U239">
        <v>3</v>
      </c>
      <c r="V239">
        <v>237</v>
      </c>
      <c r="W239">
        <f>$Z$1*몬스터밸런스9[[#This Row],[단계]]</f>
        <v>15</v>
      </c>
      <c r="X239" t="s">
        <v>53</v>
      </c>
      <c r="AE239" s="34">
        <f>몬스터밸런스[[#This Row],[생명]]*0.2</f>
        <v>1181.5</v>
      </c>
      <c r="AF239" s="34">
        <f>몬스터밸런스[[#This Row],[Attack]]*0.1</f>
        <v>5257.7000000000007</v>
      </c>
      <c r="AG239" s="34">
        <f>몬스터밸런스[[#This Row],[Defense]]*0.2</f>
        <v>2953.8</v>
      </c>
      <c r="AH239" s="34"/>
      <c r="AI239" s="34">
        <f>몬스터밸런스[[#This Row],[CriticalDamage]]*0.1</f>
        <v>974.7</v>
      </c>
      <c r="AJ239" s="34"/>
      <c r="AK239" s="34"/>
      <c r="AL239">
        <f t="shared" ref="AL239:AL252" si="12">(AE239*HP계수) + (AF239*attack계수) + (AG239*Defense계수) + (AH239*CriticalRate계수) + (AI239*CriticalDamage계수) + (AJ239*Accuracy계수) + (AK239*DodgeRate계수)</f>
        <v>156446.39999999999</v>
      </c>
    </row>
    <row r="240" spans="1:38">
      <c r="A240">
        <v>2370</v>
      </c>
      <c r="B240">
        <v>238</v>
      </c>
      <c r="C240">
        <f>$F$1*몬스터밸런스[[#This Row],[Lv]]+15</f>
        <v>11865</v>
      </c>
      <c r="E240" t="s">
        <v>479</v>
      </c>
      <c r="F240">
        <f>IF(E240="공격형",INDEX(몬스터계수[[#Data],[생명계수]],MATCH(E240,몬스터계수[[#Data],[타입]],0),1)*C240,
IF(E240="방어형",INDEX(몬스터계수[[#Data],[생명계수]],MATCH(E240,몬스터계수[[#Data],[타입]],0),1)*C240,
IF(E240="회피형",INDEX(몬스터계수[[#Data],[생명계수]],MATCH(E240,몬스터계수[[#Data],[타입]],0),1)*C240,
IF(E240="체력형",INDEX(몬스터계수[[#Data],[생명계수]],MATCH(E240,몬스터계수[[#Data],[타입]],0),1)*C240,0))))*IF(몬스터밸런스[[#This Row],[보스]]=TRUE,2,1)</f>
        <v>5932.5</v>
      </c>
      <c r="G240">
        <f>IF(E240="공격형",INDEX(몬스터계수[[#Data],[힘계수]],MATCH(E240, 몬스터계수[[#Data],[타입]],0),1)*C240,
IF(E240="방어형",INDEX(몬스터계수[[#Data],[힘계수]],MATCH(E240, 몬스터계수[[#Data],[타입]],0),1)*C240,
IF(E240="회피형",INDEX(몬스터계수[[#Data],[힘계수]],MATCH(E240, 몬스터계수[[#Data],[타입]],0),1)*C240,
IF(E240="체력형",INDEX(몬스터계수[[#Data],[힘계수]],MATCH(E240, 몬스터계수[[#Data],[타입]],0),1)*C240,0))))</f>
        <v>2966.25</v>
      </c>
      <c r="H240">
        <f>IF(E240="공격형",INDEX(몬스터계수[[#Data],[근력게수]],MATCH(E240,몬스터계수[[#Data],[타입]],0),1)*C240,
IF(E240="방어형",INDEX(몬스터계수[[#Data],[근력게수]],MATCH(E240,몬스터계수[[#Data],[타입]],0),1)*C240,
IF(E240="회피형",INDEX(몬스터계수[[#Data],[근력게수]],MATCH(E240,몬스터계수[[#Data],[타입]],0),1)*C240,
IF(E240="체력형",INDEX(몬스터계수[[#Data],[근력게수]],MATCH(E240,몬스터계수[[#Data],[타입]],0),1)*C240,0))))</f>
        <v>593.25</v>
      </c>
      <c r="I240">
        <f>IF(E240="공격형",INDEX(몬스터계수[[#Data],[숙련도계수]],MATCH(E240,몬스터계수[[#Data],[타입]],0),1)*C240,
IF(E240="방어형",INDEX(몬스터계수[[#Data],[숙련도계수]],MATCH(E240,몬스터계수[[#Data],[타입]],0),1)*C240,
IF(E240="회피형",INDEX(몬스터계수[[#Data],[숙련도계수]],MATCH(E240,몬스터계수[[#Data],[타입]],0),1)*C240,
IF(E240="체력형",INDEX(몬스터계수[[#Data],[숙련도계수]],MATCH(E240,몬스터계수[[#Data],[타입]],0),1)*C240,0))))</f>
        <v>1779.75</v>
      </c>
      <c r="J240">
        <f>IF(E240="공격형",INDEX(몬스터계수[[#Data],[행운계수]],MATCH(E240, 몬스터계수[[#Data],[타입]],0),1)*C240,
IF(E240="방어형",INDEX(몬스터계수[[#Data],[행운계수]],MATCH(E240, 몬스터계수[[#Data],[타입]],0),1)*C240,
IF(E240="회피형",INDEX(몬스터계수[[#Data],[행운계수]],MATCH(E240, 몬스터계수[[#Data],[타입]],0),1)*C240,
IF(E240="체력형",INDEX(몬스터계수[[#Data],[행운계수]],MATCH(E240, 몬스터계수[[#Data],[타입]],0),1)*C240,0))))</f>
        <v>593.25</v>
      </c>
      <c r="K240" s="34">
        <f>ROUND(
(($F240)*참고!$D$5)
+(($G240)*참고!$D$6)
+(($H240)*참고!$D$7)
+(($I240)*참고!$D$8)
+(($J240))*참고!$D$9,0)</f>
        <v>92250</v>
      </c>
      <c r="L240" s="34">
        <f>ROUND(
(($F240)*참고!$E$5)
+(($G240)*참고!$E$6)
+(($H240)*참고!$E$7)
+(($I240)*참고!$E$8)
+(($J240))*참고!$E$9,0)</f>
        <v>52799</v>
      </c>
      <c r="M240" s="34">
        <f>ROUND(
(($F240)*참고!$F$5)
+(($G240)*참고!$F$6)
+(($H240)*참고!$F$7)
+(($I240)*참고!$F$8)
+(($J240))*참고!$F$9,0)</f>
        <v>14831</v>
      </c>
      <c r="N240" s="34">
        <f>ROUND(
(($F240)*참고!$G$5)
+(($G240)*참고!$G$6)
+(($H240)*참고!$G$7)
+(($I240)*참고!$G$8)
+(($J240))*참고!$G$9,0)</f>
        <v>415</v>
      </c>
      <c r="O240" s="34">
        <f>ROUND(
(($F240)*참고!$H$5)
+(($G240)*참고!$H$6)
+(($H240)*참고!$H$7)
+(($I240)*참고!$H$8)
+(($J240))*참고!$H$9,0)</f>
        <v>9789</v>
      </c>
      <c r="P240" s="34">
        <f>ROUND(
(($F240)*참고!$I$5)
+(($G240)*참고!$I$6)
+(($H240)*참고!$I$7)
+(($I240)*참고!$I$8)
+(($J240))*참고!$I$9,0)</f>
        <v>17204</v>
      </c>
      <c r="Q240" s="34">
        <f>ROUND(
(($F240)*참고!$J$5)
+(($G240)*참고!$J$6)
+(($H240)*참고!$J$7)
+(($I240)*참고!$J$8)
+(($J240))*참고!$J$9,0)</f>
        <v>11865</v>
      </c>
      <c r="R240" s="34">
        <f>IF(E240="공격형",(INDEX(몬스터계수[[#Data],[속도]],MATCH(E240, 몬스터계수[[#Data],[타입]],0),1)*속도핸들러_곱계수)*(INT(몬스터밸런스[[#This Row],[Lv]]/속도핸들러_합계수+1)),
IF(E240="방어형",(INDEX(몬스터계수[[#Data],[속도]],MATCH(E240, 몬스터계수[[#Data],[타입]],0),1)*속도핸들러_곱계수)*(INT(몬스터밸런스[[#This Row],[Lv]]/속도핸들러_합계수+1)),
IF(E240="회피형",(INDEX(몬스터계수[[#Data],[속도]],MATCH(E240, 몬스터계수[[#Data],[타입]],0),1)*속도핸들러_곱계수)*(INT(몬스터밸런스[[#This Row],[Lv]]/속도핸들러_합계수+1)),
IF(E240="기본형",(INDEX(몬스터계수[[#Data],[속도]],MATCH(E240, 몬스터계수[[#Data],[타입]],0),1)*속도핸들러_곱계수)*(INT(몬스터밸런스[[#This Row],[Lv]]/속도핸들러_합계수+1)),0))))</f>
        <v>0</v>
      </c>
      <c r="S240">
        <f t="shared" si="10"/>
        <v>3167257</v>
      </c>
      <c r="U240">
        <v>3</v>
      </c>
      <c r="V240">
        <v>238</v>
      </c>
      <c r="W240">
        <f>$Z$1*몬스터밸런스9[[#This Row],[단계]]</f>
        <v>15</v>
      </c>
      <c r="X240" t="s">
        <v>53</v>
      </c>
      <c r="AE240" s="34">
        <f>몬스터밸런스[[#This Row],[생명]]*0.2</f>
        <v>1186.5</v>
      </c>
      <c r="AF240" s="34">
        <f>몬스터밸런스[[#This Row],[Attack]]*0.1</f>
        <v>5279.9000000000005</v>
      </c>
      <c r="AG240" s="34">
        <f>몬스터밸런스[[#This Row],[Defense]]*0.2</f>
        <v>2966.2000000000003</v>
      </c>
      <c r="AH240" s="34"/>
      <c r="AI240" s="34">
        <f>몬스터밸런스[[#This Row],[CriticalDamage]]*0.1</f>
        <v>978.90000000000009</v>
      </c>
      <c r="AJ240" s="34"/>
      <c r="AK240" s="34"/>
      <c r="AL240">
        <f t="shared" si="12"/>
        <v>157106.4</v>
      </c>
    </row>
    <row r="241" spans="1:38">
      <c r="A241">
        <v>2380</v>
      </c>
      <c r="B241">
        <v>239</v>
      </c>
      <c r="C241">
        <f>$F$1*몬스터밸런스[[#This Row],[Lv]]+15</f>
        <v>11915</v>
      </c>
      <c r="E241" t="s">
        <v>479</v>
      </c>
      <c r="F241">
        <f>IF(E241="공격형",INDEX(몬스터계수[[#Data],[생명계수]],MATCH(E241,몬스터계수[[#Data],[타입]],0),1)*C241,
IF(E241="방어형",INDEX(몬스터계수[[#Data],[생명계수]],MATCH(E241,몬스터계수[[#Data],[타입]],0),1)*C241,
IF(E241="회피형",INDEX(몬스터계수[[#Data],[생명계수]],MATCH(E241,몬스터계수[[#Data],[타입]],0),1)*C241,
IF(E241="체력형",INDEX(몬스터계수[[#Data],[생명계수]],MATCH(E241,몬스터계수[[#Data],[타입]],0),1)*C241,0))))*IF(몬스터밸런스[[#This Row],[보스]]=TRUE,2,1)</f>
        <v>5957.5</v>
      </c>
      <c r="G241">
        <f>IF(E241="공격형",INDEX(몬스터계수[[#Data],[힘계수]],MATCH(E241, 몬스터계수[[#Data],[타입]],0),1)*C241,
IF(E241="방어형",INDEX(몬스터계수[[#Data],[힘계수]],MATCH(E241, 몬스터계수[[#Data],[타입]],0),1)*C241,
IF(E241="회피형",INDEX(몬스터계수[[#Data],[힘계수]],MATCH(E241, 몬스터계수[[#Data],[타입]],0),1)*C241,
IF(E241="체력형",INDEX(몬스터계수[[#Data],[힘계수]],MATCH(E241, 몬스터계수[[#Data],[타입]],0),1)*C241,0))))</f>
        <v>2978.75</v>
      </c>
      <c r="H241">
        <f>IF(E241="공격형",INDEX(몬스터계수[[#Data],[근력게수]],MATCH(E241,몬스터계수[[#Data],[타입]],0),1)*C241,
IF(E241="방어형",INDEX(몬스터계수[[#Data],[근력게수]],MATCH(E241,몬스터계수[[#Data],[타입]],0),1)*C241,
IF(E241="회피형",INDEX(몬스터계수[[#Data],[근력게수]],MATCH(E241,몬스터계수[[#Data],[타입]],0),1)*C241,
IF(E241="체력형",INDEX(몬스터계수[[#Data],[근력게수]],MATCH(E241,몬스터계수[[#Data],[타입]],0),1)*C241,0))))</f>
        <v>595.75</v>
      </c>
      <c r="I241">
        <f>IF(E241="공격형",INDEX(몬스터계수[[#Data],[숙련도계수]],MATCH(E241,몬스터계수[[#Data],[타입]],0),1)*C241,
IF(E241="방어형",INDEX(몬스터계수[[#Data],[숙련도계수]],MATCH(E241,몬스터계수[[#Data],[타입]],0),1)*C241,
IF(E241="회피형",INDEX(몬스터계수[[#Data],[숙련도계수]],MATCH(E241,몬스터계수[[#Data],[타입]],0),1)*C241,
IF(E241="체력형",INDEX(몬스터계수[[#Data],[숙련도계수]],MATCH(E241,몬스터계수[[#Data],[타입]],0),1)*C241,0))))</f>
        <v>1787.25</v>
      </c>
      <c r="J241">
        <f>IF(E241="공격형",INDEX(몬스터계수[[#Data],[행운계수]],MATCH(E241, 몬스터계수[[#Data],[타입]],0),1)*C241,
IF(E241="방어형",INDEX(몬스터계수[[#Data],[행운계수]],MATCH(E241, 몬스터계수[[#Data],[타입]],0),1)*C241,
IF(E241="회피형",INDEX(몬스터계수[[#Data],[행운계수]],MATCH(E241, 몬스터계수[[#Data],[타입]],0),1)*C241,
IF(E241="체력형",INDEX(몬스터계수[[#Data],[행운계수]],MATCH(E241, 몬스터계수[[#Data],[타입]],0),1)*C241,0))))</f>
        <v>595.75</v>
      </c>
      <c r="K241" s="34">
        <f>ROUND(
(($F241)*참고!$D$5)
+(($G241)*참고!$D$6)
+(($H241)*참고!$D$7)
+(($I241)*참고!$D$8)
+(($J241))*참고!$D$9,0)</f>
        <v>92639</v>
      </c>
      <c r="L241" s="34">
        <f>ROUND(
(($F241)*참고!$E$5)
+(($G241)*참고!$E$6)
+(($H241)*참고!$E$7)
+(($I241)*참고!$E$8)
+(($J241))*참고!$E$9,0)</f>
        <v>53022</v>
      </c>
      <c r="M241" s="34">
        <f>ROUND(
(($F241)*참고!$F$5)
+(($G241)*참고!$F$6)
+(($H241)*참고!$F$7)
+(($I241)*참고!$F$8)
+(($J241))*참고!$F$9,0)</f>
        <v>14894</v>
      </c>
      <c r="N241" s="34">
        <f>ROUND(
(($F241)*참고!$G$5)
+(($G241)*참고!$G$6)
+(($H241)*참고!$G$7)
+(($I241)*참고!$G$8)
+(($J241))*참고!$G$9,0)</f>
        <v>417</v>
      </c>
      <c r="O241" s="34">
        <f>ROUND(
(($F241)*참고!$H$5)
+(($G241)*참고!$H$6)
+(($H241)*참고!$H$7)
+(($I241)*참고!$H$8)
+(($J241))*참고!$H$9,0)</f>
        <v>9830</v>
      </c>
      <c r="P241" s="34">
        <f>ROUND(
(($F241)*참고!$I$5)
+(($G241)*참고!$I$6)
+(($H241)*참고!$I$7)
+(($I241)*참고!$I$8)
+(($J241))*참고!$I$9,0)</f>
        <v>17277</v>
      </c>
      <c r="Q241" s="34">
        <f>ROUND(
(($F241)*참고!$J$5)
+(($G241)*참고!$J$6)
+(($H241)*참고!$J$7)
+(($I241)*참고!$J$8)
+(($J241))*참고!$J$9,0)</f>
        <v>11915</v>
      </c>
      <c r="R241" s="34">
        <f>IF(E241="공격형",(INDEX(몬스터계수[[#Data],[속도]],MATCH(E241, 몬스터계수[[#Data],[타입]],0),1)*속도핸들러_곱계수)*(INT(몬스터밸런스[[#This Row],[Lv]]/속도핸들러_합계수+1)),
IF(E241="방어형",(INDEX(몬스터계수[[#Data],[속도]],MATCH(E241, 몬스터계수[[#Data],[타입]],0),1)*속도핸들러_곱계수)*(INT(몬스터밸런스[[#This Row],[Lv]]/속도핸들러_합계수+1)),
IF(E241="회피형",(INDEX(몬스터계수[[#Data],[속도]],MATCH(E241, 몬스터계수[[#Data],[타입]],0),1)*속도핸들러_곱계수)*(INT(몬스터밸런스[[#This Row],[Lv]]/속도핸들러_합계수+1)),
IF(E241="기본형",(INDEX(몬스터계수[[#Data],[속도]],MATCH(E241, 몬스터계수[[#Data],[타입]],0),1)*속도핸들러_곱계수)*(INT(몬스터밸런스[[#This Row],[Lv]]/속도핸들러_합계수+1)),0))))</f>
        <v>0</v>
      </c>
      <c r="S241">
        <f t="shared" si="10"/>
        <v>3180629</v>
      </c>
      <c r="U241">
        <v>3</v>
      </c>
      <c r="V241">
        <v>239</v>
      </c>
      <c r="W241">
        <f>$Z$1*몬스터밸런스9[[#This Row],[단계]]</f>
        <v>15</v>
      </c>
      <c r="X241" t="s">
        <v>53</v>
      </c>
      <c r="AE241" s="34">
        <f>몬스터밸런스[[#This Row],[생명]]*0.2</f>
        <v>1191.5</v>
      </c>
      <c r="AF241" s="34">
        <f>몬스터밸런스[[#This Row],[Attack]]*0.1</f>
        <v>5302.2000000000007</v>
      </c>
      <c r="AG241" s="34">
        <f>몬스터밸런스[[#This Row],[Defense]]*0.2</f>
        <v>2978.8</v>
      </c>
      <c r="AH241" s="34"/>
      <c r="AI241" s="34">
        <f>몬스터밸런스[[#This Row],[CriticalDamage]]*0.1</f>
        <v>983</v>
      </c>
      <c r="AJ241" s="34"/>
      <c r="AK241" s="34"/>
      <c r="AL241">
        <f t="shared" si="12"/>
        <v>157770.75</v>
      </c>
    </row>
    <row r="242" spans="1:38">
      <c r="A242">
        <v>2390</v>
      </c>
      <c r="B242">
        <v>240</v>
      </c>
      <c r="C242">
        <f>$F$1*몬스터밸런스[[#This Row],[Lv]]+15</f>
        <v>11965</v>
      </c>
      <c r="E242" t="s">
        <v>479</v>
      </c>
      <c r="F242">
        <f>IF(E242="공격형",INDEX(몬스터계수[[#Data],[생명계수]],MATCH(E242,몬스터계수[[#Data],[타입]],0),1)*C242,
IF(E242="방어형",INDEX(몬스터계수[[#Data],[생명계수]],MATCH(E242,몬스터계수[[#Data],[타입]],0),1)*C242,
IF(E242="회피형",INDEX(몬스터계수[[#Data],[생명계수]],MATCH(E242,몬스터계수[[#Data],[타입]],0),1)*C242,
IF(E242="체력형",INDEX(몬스터계수[[#Data],[생명계수]],MATCH(E242,몬스터계수[[#Data],[타입]],0),1)*C242,0))))*IF(몬스터밸런스[[#This Row],[보스]]=TRUE,2,1)</f>
        <v>5982.5</v>
      </c>
      <c r="G242">
        <f>IF(E242="공격형",INDEX(몬스터계수[[#Data],[힘계수]],MATCH(E242, 몬스터계수[[#Data],[타입]],0),1)*C242,
IF(E242="방어형",INDEX(몬스터계수[[#Data],[힘계수]],MATCH(E242, 몬스터계수[[#Data],[타입]],0),1)*C242,
IF(E242="회피형",INDEX(몬스터계수[[#Data],[힘계수]],MATCH(E242, 몬스터계수[[#Data],[타입]],0),1)*C242,
IF(E242="체력형",INDEX(몬스터계수[[#Data],[힘계수]],MATCH(E242, 몬스터계수[[#Data],[타입]],0),1)*C242,0))))</f>
        <v>2991.25</v>
      </c>
      <c r="H242">
        <f>IF(E242="공격형",INDEX(몬스터계수[[#Data],[근력게수]],MATCH(E242,몬스터계수[[#Data],[타입]],0),1)*C242,
IF(E242="방어형",INDEX(몬스터계수[[#Data],[근력게수]],MATCH(E242,몬스터계수[[#Data],[타입]],0),1)*C242,
IF(E242="회피형",INDEX(몬스터계수[[#Data],[근력게수]],MATCH(E242,몬스터계수[[#Data],[타입]],0),1)*C242,
IF(E242="체력형",INDEX(몬스터계수[[#Data],[근력게수]],MATCH(E242,몬스터계수[[#Data],[타입]],0),1)*C242,0))))</f>
        <v>598.25</v>
      </c>
      <c r="I242">
        <f>IF(E242="공격형",INDEX(몬스터계수[[#Data],[숙련도계수]],MATCH(E242,몬스터계수[[#Data],[타입]],0),1)*C242,
IF(E242="방어형",INDEX(몬스터계수[[#Data],[숙련도계수]],MATCH(E242,몬스터계수[[#Data],[타입]],0),1)*C242,
IF(E242="회피형",INDEX(몬스터계수[[#Data],[숙련도계수]],MATCH(E242,몬스터계수[[#Data],[타입]],0),1)*C242,
IF(E242="체력형",INDEX(몬스터계수[[#Data],[숙련도계수]],MATCH(E242,몬스터계수[[#Data],[타입]],0),1)*C242,0))))</f>
        <v>1794.75</v>
      </c>
      <c r="J242">
        <f>IF(E242="공격형",INDEX(몬스터계수[[#Data],[행운계수]],MATCH(E242, 몬스터계수[[#Data],[타입]],0),1)*C242,
IF(E242="방어형",INDEX(몬스터계수[[#Data],[행운계수]],MATCH(E242, 몬스터계수[[#Data],[타입]],0),1)*C242,
IF(E242="회피형",INDEX(몬스터계수[[#Data],[행운계수]],MATCH(E242, 몬스터계수[[#Data],[타입]],0),1)*C242,
IF(E242="체력형",INDEX(몬스터계수[[#Data],[행운계수]],MATCH(E242, 몬스터계수[[#Data],[타입]],0),1)*C242,0))))</f>
        <v>598.25</v>
      </c>
      <c r="K242" s="34">
        <f>ROUND(
(($F242)*참고!$D$5)
+(($G242)*참고!$D$6)
+(($H242)*참고!$D$7)
+(($I242)*참고!$D$8)
+(($J242))*참고!$D$9,0)</f>
        <v>93028</v>
      </c>
      <c r="L242" s="34">
        <f>ROUND(
(($F242)*참고!$E$5)
+(($G242)*참고!$E$6)
+(($H242)*참고!$E$7)
+(($I242)*참고!$E$8)
+(($J242))*참고!$E$9,0)</f>
        <v>53244</v>
      </c>
      <c r="M242" s="34">
        <f>ROUND(
(($F242)*참고!$F$5)
+(($G242)*참고!$F$6)
+(($H242)*참고!$F$7)
+(($I242)*참고!$F$8)
+(($J242))*참고!$F$9,0)</f>
        <v>14956</v>
      </c>
      <c r="N242" s="34">
        <f>ROUND(
(($F242)*참고!$G$5)
+(($G242)*참고!$G$6)
+(($H242)*참고!$G$7)
+(($I242)*참고!$G$8)
+(($J242))*참고!$G$9,0)</f>
        <v>419</v>
      </c>
      <c r="O242" s="34">
        <f>ROUND(
(($F242)*참고!$H$5)
+(($G242)*참고!$H$6)
+(($H242)*참고!$H$7)
+(($I242)*참고!$H$8)
+(($J242))*참고!$H$9,0)</f>
        <v>9871</v>
      </c>
      <c r="P242" s="34">
        <f>ROUND(
(($F242)*참고!$I$5)
+(($G242)*참고!$I$6)
+(($H242)*참고!$I$7)
+(($I242)*참고!$I$8)
+(($J242))*참고!$I$9,0)</f>
        <v>17349</v>
      </c>
      <c r="Q242" s="34">
        <f>ROUND(
(($F242)*참고!$J$5)
+(($G242)*참고!$J$6)
+(($H242)*참고!$J$7)
+(($I242)*참고!$J$8)
+(($J242))*참고!$J$9,0)</f>
        <v>11965</v>
      </c>
      <c r="R242" s="34">
        <f>IF(E242="공격형",(INDEX(몬스터계수[[#Data],[속도]],MATCH(E242, 몬스터계수[[#Data],[타입]],0),1)*속도핸들러_곱계수)*(INT(몬스터밸런스[[#This Row],[Lv]]/속도핸들러_합계수+1)),
IF(E242="방어형",(INDEX(몬스터계수[[#Data],[속도]],MATCH(E242, 몬스터계수[[#Data],[타입]],0),1)*속도핸들러_곱계수)*(INT(몬스터밸런스[[#This Row],[Lv]]/속도핸들러_합계수+1)),
IF(E242="회피형",(INDEX(몬스터계수[[#Data],[속도]],MATCH(E242, 몬스터계수[[#Data],[타입]],0),1)*속도핸들러_곱계수)*(INT(몬스터밸런스[[#This Row],[Lv]]/속도핸들러_합계수+1)),
IF(E242="기본형",(INDEX(몬스터계수[[#Data],[속도]],MATCH(E242, 몬스터계수[[#Data],[타입]],0),1)*속도핸들러_곱계수)*(INT(몬스터밸런스[[#This Row],[Lv]]/속도핸들러_합계수+1)),0))))</f>
        <v>0</v>
      </c>
      <c r="S242">
        <f t="shared" si="10"/>
        <v>3193958</v>
      </c>
      <c r="U242">
        <v>3</v>
      </c>
      <c r="V242">
        <v>240</v>
      </c>
      <c r="W242">
        <f>$Z$1*몬스터밸런스9[[#This Row],[단계]]</f>
        <v>15</v>
      </c>
      <c r="X242" t="s">
        <v>53</v>
      </c>
      <c r="AE242" s="34">
        <f>몬스터밸런스[[#This Row],[생명]]*0.1</f>
        <v>598.25</v>
      </c>
      <c r="AF242" s="34">
        <f>몬스터밸런스[[#This Row],[Attack]]*0.1</f>
        <v>5324.4000000000005</v>
      </c>
      <c r="AG242" s="34">
        <f>몬스터밸런스[[#This Row],[Defense]]*0.1</f>
        <v>1495.6000000000001</v>
      </c>
      <c r="AH242" s="34"/>
      <c r="AI242" s="34">
        <f>몬스터밸런스[[#This Row],[CriticalDamage]]*0.2</f>
        <v>1974.2</v>
      </c>
      <c r="AJ242" s="34"/>
      <c r="AK242" s="34"/>
      <c r="AL242">
        <f t="shared" si="12"/>
        <v>128473.27500000001</v>
      </c>
    </row>
    <row r="243" spans="1:38">
      <c r="A243">
        <v>2400</v>
      </c>
      <c r="B243">
        <v>241</v>
      </c>
      <c r="C243">
        <f>$F$1*몬스터밸런스[[#This Row],[Lv]]+15</f>
        <v>12015</v>
      </c>
      <c r="E243" t="s">
        <v>479</v>
      </c>
      <c r="F243">
        <f>IF(E243="공격형",INDEX(몬스터계수[[#Data],[생명계수]],MATCH(E243,몬스터계수[[#Data],[타입]],0),1)*C243,
IF(E243="방어형",INDEX(몬스터계수[[#Data],[생명계수]],MATCH(E243,몬스터계수[[#Data],[타입]],0),1)*C243,
IF(E243="회피형",INDEX(몬스터계수[[#Data],[생명계수]],MATCH(E243,몬스터계수[[#Data],[타입]],0),1)*C243,
IF(E243="체력형",INDEX(몬스터계수[[#Data],[생명계수]],MATCH(E243,몬스터계수[[#Data],[타입]],0),1)*C243,0))))*IF(몬스터밸런스[[#This Row],[보스]]=TRUE,2,1)</f>
        <v>6007.5</v>
      </c>
      <c r="G243">
        <f>IF(E243="공격형",INDEX(몬스터계수[[#Data],[힘계수]],MATCH(E243, 몬스터계수[[#Data],[타입]],0),1)*C243,
IF(E243="방어형",INDEX(몬스터계수[[#Data],[힘계수]],MATCH(E243, 몬스터계수[[#Data],[타입]],0),1)*C243,
IF(E243="회피형",INDEX(몬스터계수[[#Data],[힘계수]],MATCH(E243, 몬스터계수[[#Data],[타입]],0),1)*C243,
IF(E243="체력형",INDEX(몬스터계수[[#Data],[힘계수]],MATCH(E243, 몬스터계수[[#Data],[타입]],0),1)*C243,0))))</f>
        <v>3003.75</v>
      </c>
      <c r="H243">
        <f>IF(E243="공격형",INDEX(몬스터계수[[#Data],[근력게수]],MATCH(E243,몬스터계수[[#Data],[타입]],0),1)*C243,
IF(E243="방어형",INDEX(몬스터계수[[#Data],[근력게수]],MATCH(E243,몬스터계수[[#Data],[타입]],0),1)*C243,
IF(E243="회피형",INDEX(몬스터계수[[#Data],[근력게수]],MATCH(E243,몬스터계수[[#Data],[타입]],0),1)*C243,
IF(E243="체력형",INDEX(몬스터계수[[#Data],[근력게수]],MATCH(E243,몬스터계수[[#Data],[타입]],0),1)*C243,0))))</f>
        <v>600.75</v>
      </c>
      <c r="I243">
        <f>IF(E243="공격형",INDEX(몬스터계수[[#Data],[숙련도계수]],MATCH(E243,몬스터계수[[#Data],[타입]],0),1)*C243,
IF(E243="방어형",INDEX(몬스터계수[[#Data],[숙련도계수]],MATCH(E243,몬스터계수[[#Data],[타입]],0),1)*C243,
IF(E243="회피형",INDEX(몬스터계수[[#Data],[숙련도계수]],MATCH(E243,몬스터계수[[#Data],[타입]],0),1)*C243,
IF(E243="체력형",INDEX(몬스터계수[[#Data],[숙련도계수]],MATCH(E243,몬스터계수[[#Data],[타입]],0),1)*C243,0))))</f>
        <v>1802.25</v>
      </c>
      <c r="J243">
        <f>IF(E243="공격형",INDEX(몬스터계수[[#Data],[행운계수]],MATCH(E243, 몬스터계수[[#Data],[타입]],0),1)*C243,
IF(E243="방어형",INDEX(몬스터계수[[#Data],[행운계수]],MATCH(E243, 몬스터계수[[#Data],[타입]],0),1)*C243,
IF(E243="회피형",INDEX(몬스터계수[[#Data],[행운계수]],MATCH(E243, 몬스터계수[[#Data],[타입]],0),1)*C243,
IF(E243="체력형",INDEX(몬스터계수[[#Data],[행운계수]],MATCH(E243, 몬스터계수[[#Data],[타입]],0),1)*C243,0))))</f>
        <v>600.75</v>
      </c>
      <c r="K243" s="34">
        <f>ROUND(
(($F243)*참고!$D$5)
+(($G243)*참고!$D$6)
+(($H243)*참고!$D$7)
+(($I243)*참고!$D$8)
+(($J243))*참고!$D$9,0)</f>
        <v>93417</v>
      </c>
      <c r="L243" s="34">
        <f>ROUND(
(($F243)*참고!$E$5)
+(($G243)*참고!$E$6)
+(($H243)*참고!$E$7)
+(($I243)*참고!$E$8)
+(($J243))*참고!$E$9,0)</f>
        <v>53467</v>
      </c>
      <c r="M243" s="34">
        <f>ROUND(
(($F243)*참고!$F$5)
+(($G243)*참고!$F$6)
+(($H243)*참고!$F$7)
+(($I243)*참고!$F$8)
+(($J243))*참고!$F$9,0)</f>
        <v>15019</v>
      </c>
      <c r="N243" s="34">
        <f>ROUND(
(($F243)*참고!$G$5)
+(($G243)*참고!$G$6)
+(($H243)*참고!$G$7)
+(($I243)*참고!$G$8)
+(($J243))*참고!$G$9,0)</f>
        <v>421</v>
      </c>
      <c r="O243" s="34">
        <f>ROUND(
(($F243)*참고!$H$5)
+(($G243)*참고!$H$6)
+(($H243)*참고!$H$7)
+(($I243)*참고!$H$8)
+(($J243))*참고!$H$9,0)</f>
        <v>9912</v>
      </c>
      <c r="P243" s="34">
        <f>ROUND(
(($F243)*참고!$I$5)
+(($G243)*참고!$I$6)
+(($H243)*참고!$I$7)
+(($I243)*참고!$I$8)
+(($J243))*참고!$I$9,0)</f>
        <v>17422</v>
      </c>
      <c r="Q243" s="34">
        <f>ROUND(
(($F243)*참고!$J$5)
+(($G243)*참고!$J$6)
+(($H243)*참고!$J$7)
+(($I243)*참고!$J$8)
+(($J243))*참고!$J$9,0)</f>
        <v>12015</v>
      </c>
      <c r="R243" s="34">
        <f>IF(E243="공격형",(INDEX(몬스터계수[[#Data],[속도]],MATCH(E243, 몬스터계수[[#Data],[타입]],0),1)*속도핸들러_곱계수)*(INT(몬스터밸런스[[#This Row],[Lv]]/속도핸들러_합계수+1)),
IF(E243="방어형",(INDEX(몬스터계수[[#Data],[속도]],MATCH(E243, 몬스터계수[[#Data],[타입]],0),1)*속도핸들러_곱계수)*(INT(몬스터밸런스[[#This Row],[Lv]]/속도핸들러_합계수+1)),
IF(E243="회피형",(INDEX(몬스터계수[[#Data],[속도]],MATCH(E243, 몬스터계수[[#Data],[타입]],0),1)*속도핸들러_곱계수)*(INT(몬스터밸런스[[#This Row],[Lv]]/속도핸들러_합계수+1)),
IF(E243="기본형",(INDEX(몬스터계수[[#Data],[속도]],MATCH(E243, 몬스터계수[[#Data],[타입]],0),1)*속도핸들러_곱계수)*(INT(몬스터밸런스[[#This Row],[Lv]]/속도핸들러_합계수+1)),0))))</f>
        <v>0</v>
      </c>
      <c r="S243">
        <f t="shared" si="10"/>
        <v>3207330</v>
      </c>
      <c r="U243">
        <v>4</v>
      </c>
      <c r="V243">
        <v>241</v>
      </c>
      <c r="W243">
        <f>$Z$1*몬스터밸런스9[[#This Row],[단계]]</f>
        <v>20</v>
      </c>
      <c r="X243" t="s">
        <v>53</v>
      </c>
      <c r="AE243" s="34">
        <f>몬스터밸런스[[#This Row],[생명]]*0.1</f>
        <v>600.75</v>
      </c>
      <c r="AF243" s="34">
        <f>몬스터밸런스[[#This Row],[Attack]]*0.1</f>
        <v>5346.7000000000007</v>
      </c>
      <c r="AG243" s="34">
        <f>몬스터밸런스[[#This Row],[Defense]]*0.1</f>
        <v>1501.9</v>
      </c>
      <c r="AH243" s="34"/>
      <c r="AI243" s="34">
        <f>몬스터밸런스[[#This Row],[CriticalDamage]]*0.2</f>
        <v>1982.4</v>
      </c>
      <c r="AJ243" s="34"/>
      <c r="AK243" s="34"/>
      <c r="AL243">
        <f t="shared" si="12"/>
        <v>129011.52500000001</v>
      </c>
    </row>
    <row r="244" spans="1:38">
      <c r="A244">
        <v>2410</v>
      </c>
      <c r="B244">
        <v>242</v>
      </c>
      <c r="C244">
        <f>$F$1*몬스터밸런스[[#This Row],[Lv]]+15</f>
        <v>12065</v>
      </c>
      <c r="E244" t="s">
        <v>479</v>
      </c>
      <c r="F244">
        <f>IF(E244="공격형",INDEX(몬스터계수[[#Data],[생명계수]],MATCH(E244,몬스터계수[[#Data],[타입]],0),1)*C244,
IF(E244="방어형",INDEX(몬스터계수[[#Data],[생명계수]],MATCH(E244,몬스터계수[[#Data],[타입]],0),1)*C244,
IF(E244="회피형",INDEX(몬스터계수[[#Data],[생명계수]],MATCH(E244,몬스터계수[[#Data],[타입]],0),1)*C244,
IF(E244="체력형",INDEX(몬스터계수[[#Data],[생명계수]],MATCH(E244,몬스터계수[[#Data],[타입]],0),1)*C244,0))))*IF(몬스터밸런스[[#This Row],[보스]]=TRUE,2,1)</f>
        <v>6032.5</v>
      </c>
      <c r="G244">
        <f>IF(E244="공격형",INDEX(몬스터계수[[#Data],[힘계수]],MATCH(E244, 몬스터계수[[#Data],[타입]],0),1)*C244,
IF(E244="방어형",INDEX(몬스터계수[[#Data],[힘계수]],MATCH(E244, 몬스터계수[[#Data],[타입]],0),1)*C244,
IF(E244="회피형",INDEX(몬스터계수[[#Data],[힘계수]],MATCH(E244, 몬스터계수[[#Data],[타입]],0),1)*C244,
IF(E244="체력형",INDEX(몬스터계수[[#Data],[힘계수]],MATCH(E244, 몬스터계수[[#Data],[타입]],0),1)*C244,0))))</f>
        <v>3016.25</v>
      </c>
      <c r="H244">
        <f>IF(E244="공격형",INDEX(몬스터계수[[#Data],[근력게수]],MATCH(E244,몬스터계수[[#Data],[타입]],0),1)*C244,
IF(E244="방어형",INDEX(몬스터계수[[#Data],[근력게수]],MATCH(E244,몬스터계수[[#Data],[타입]],0),1)*C244,
IF(E244="회피형",INDEX(몬스터계수[[#Data],[근력게수]],MATCH(E244,몬스터계수[[#Data],[타입]],0),1)*C244,
IF(E244="체력형",INDEX(몬스터계수[[#Data],[근력게수]],MATCH(E244,몬스터계수[[#Data],[타입]],0),1)*C244,0))))</f>
        <v>603.25</v>
      </c>
      <c r="I244">
        <f>IF(E244="공격형",INDEX(몬스터계수[[#Data],[숙련도계수]],MATCH(E244,몬스터계수[[#Data],[타입]],0),1)*C244,
IF(E244="방어형",INDEX(몬스터계수[[#Data],[숙련도계수]],MATCH(E244,몬스터계수[[#Data],[타입]],0),1)*C244,
IF(E244="회피형",INDEX(몬스터계수[[#Data],[숙련도계수]],MATCH(E244,몬스터계수[[#Data],[타입]],0),1)*C244,
IF(E244="체력형",INDEX(몬스터계수[[#Data],[숙련도계수]],MATCH(E244,몬스터계수[[#Data],[타입]],0),1)*C244,0))))</f>
        <v>1809.75</v>
      </c>
      <c r="J244">
        <f>IF(E244="공격형",INDEX(몬스터계수[[#Data],[행운계수]],MATCH(E244, 몬스터계수[[#Data],[타입]],0),1)*C244,
IF(E244="방어형",INDEX(몬스터계수[[#Data],[행운계수]],MATCH(E244, 몬스터계수[[#Data],[타입]],0),1)*C244,
IF(E244="회피형",INDEX(몬스터계수[[#Data],[행운계수]],MATCH(E244, 몬스터계수[[#Data],[타입]],0),1)*C244,
IF(E244="체력형",INDEX(몬스터계수[[#Data],[행운계수]],MATCH(E244, 몬스터계수[[#Data],[타입]],0),1)*C244,0))))</f>
        <v>603.25</v>
      </c>
      <c r="K244" s="34">
        <f>ROUND(
(($F244)*참고!$D$5)
+(($G244)*참고!$D$6)
+(($H244)*참고!$D$7)
+(($I244)*참고!$D$8)
+(($J244))*참고!$D$9,0)</f>
        <v>93805</v>
      </c>
      <c r="L244" s="34">
        <f>ROUND(
(($F244)*참고!$E$5)
+(($G244)*참고!$E$6)
+(($H244)*참고!$E$7)
+(($I244)*참고!$E$8)
+(($J244))*참고!$E$9,0)</f>
        <v>53689</v>
      </c>
      <c r="M244" s="34">
        <f>ROUND(
(($F244)*참고!$F$5)
+(($G244)*참고!$F$6)
+(($H244)*참고!$F$7)
+(($I244)*참고!$F$8)
+(($J244))*참고!$F$9,0)</f>
        <v>15081</v>
      </c>
      <c r="N244" s="34">
        <f>ROUND(
(($F244)*참고!$G$5)
+(($G244)*참고!$G$6)
+(($H244)*참고!$G$7)
+(($I244)*참고!$G$8)
+(($J244))*참고!$G$9,0)</f>
        <v>422</v>
      </c>
      <c r="O244" s="34">
        <f>ROUND(
(($F244)*참고!$H$5)
+(($G244)*참고!$H$6)
+(($H244)*참고!$H$7)
+(($I244)*참고!$H$8)
+(($J244))*참고!$H$9,0)</f>
        <v>9954</v>
      </c>
      <c r="P244" s="34">
        <f>ROUND(
(($F244)*참고!$I$5)
+(($G244)*참고!$I$6)
+(($H244)*참고!$I$7)
+(($I244)*참고!$I$8)
+(($J244))*참고!$I$9,0)</f>
        <v>17494</v>
      </c>
      <c r="Q244" s="34">
        <f>ROUND(
(($F244)*참고!$J$5)
+(($G244)*참고!$J$6)
+(($H244)*참고!$J$7)
+(($I244)*참고!$J$8)
+(($J244))*참고!$J$9,0)</f>
        <v>12065</v>
      </c>
      <c r="R244" s="34">
        <f>IF(E244="공격형",(INDEX(몬스터계수[[#Data],[속도]],MATCH(E244, 몬스터계수[[#Data],[타입]],0),1)*속도핸들러_곱계수)*(INT(몬스터밸런스[[#This Row],[Lv]]/속도핸들러_합계수+1)),
IF(E244="방어형",(INDEX(몬스터계수[[#Data],[속도]],MATCH(E244, 몬스터계수[[#Data],[타입]],0),1)*속도핸들러_곱계수)*(INT(몬스터밸런스[[#This Row],[Lv]]/속도핸들러_합계수+1)),
IF(E244="회피형",(INDEX(몬스터계수[[#Data],[속도]],MATCH(E244, 몬스터계수[[#Data],[타입]],0),1)*속도핸들러_곱계수)*(INT(몬스터밸런스[[#This Row],[Lv]]/속도핸들러_합계수+1)),
IF(E244="기본형",(INDEX(몬스터계수[[#Data],[속도]],MATCH(E244, 몬스터계수[[#Data],[타입]],0),1)*속도핸들러_곱계수)*(INT(몬스터밸런스[[#This Row],[Lv]]/속도핸들러_합계수+1)),0))))</f>
        <v>0</v>
      </c>
      <c r="S244">
        <f t="shared" si="10"/>
        <v>3220645.5</v>
      </c>
      <c r="U244">
        <v>4</v>
      </c>
      <c r="V244">
        <v>242</v>
      </c>
      <c r="W244">
        <f>$Z$1*몬스터밸런스9[[#This Row],[단계]]</f>
        <v>20</v>
      </c>
      <c r="X244" t="s">
        <v>53</v>
      </c>
      <c r="AE244" s="34">
        <f>몬스터밸런스[[#This Row],[생명]]*0.1</f>
        <v>603.25</v>
      </c>
      <c r="AF244" s="34">
        <f>몬스터밸런스[[#This Row],[Attack]]*0.1</f>
        <v>5368.9000000000005</v>
      </c>
      <c r="AG244" s="34">
        <f>몬스터밸런스[[#This Row],[Defense]]*0.1</f>
        <v>1508.1000000000001</v>
      </c>
      <c r="AH244" s="34"/>
      <c r="AI244" s="34">
        <f>몬스터밸런스[[#This Row],[CriticalDamage]]*0.2</f>
        <v>1990.8000000000002</v>
      </c>
      <c r="AJ244" s="34"/>
      <c r="AK244" s="34"/>
      <c r="AL244">
        <f t="shared" si="12"/>
        <v>129547.47500000002</v>
      </c>
    </row>
    <row r="245" spans="1:38">
      <c r="A245">
        <v>2420</v>
      </c>
      <c r="B245">
        <v>243</v>
      </c>
      <c r="C245">
        <f>$F$1*몬스터밸런스[[#This Row],[Lv]]+15</f>
        <v>12115</v>
      </c>
      <c r="E245" t="s">
        <v>479</v>
      </c>
      <c r="F245">
        <f>IF(E245="공격형",INDEX(몬스터계수[[#Data],[생명계수]],MATCH(E245,몬스터계수[[#Data],[타입]],0),1)*C245,
IF(E245="방어형",INDEX(몬스터계수[[#Data],[생명계수]],MATCH(E245,몬스터계수[[#Data],[타입]],0),1)*C245,
IF(E245="회피형",INDEX(몬스터계수[[#Data],[생명계수]],MATCH(E245,몬스터계수[[#Data],[타입]],0),1)*C245,
IF(E245="체력형",INDEX(몬스터계수[[#Data],[생명계수]],MATCH(E245,몬스터계수[[#Data],[타입]],0),1)*C245,0))))*IF(몬스터밸런스[[#This Row],[보스]]=TRUE,2,1)</f>
        <v>6057.5</v>
      </c>
      <c r="G245">
        <f>IF(E245="공격형",INDEX(몬스터계수[[#Data],[힘계수]],MATCH(E245, 몬스터계수[[#Data],[타입]],0),1)*C245,
IF(E245="방어형",INDEX(몬스터계수[[#Data],[힘계수]],MATCH(E245, 몬스터계수[[#Data],[타입]],0),1)*C245,
IF(E245="회피형",INDEX(몬스터계수[[#Data],[힘계수]],MATCH(E245, 몬스터계수[[#Data],[타입]],0),1)*C245,
IF(E245="체력형",INDEX(몬스터계수[[#Data],[힘계수]],MATCH(E245, 몬스터계수[[#Data],[타입]],0),1)*C245,0))))</f>
        <v>3028.75</v>
      </c>
      <c r="H245">
        <f>IF(E245="공격형",INDEX(몬스터계수[[#Data],[근력게수]],MATCH(E245,몬스터계수[[#Data],[타입]],0),1)*C245,
IF(E245="방어형",INDEX(몬스터계수[[#Data],[근력게수]],MATCH(E245,몬스터계수[[#Data],[타입]],0),1)*C245,
IF(E245="회피형",INDEX(몬스터계수[[#Data],[근력게수]],MATCH(E245,몬스터계수[[#Data],[타입]],0),1)*C245,
IF(E245="체력형",INDEX(몬스터계수[[#Data],[근력게수]],MATCH(E245,몬스터계수[[#Data],[타입]],0),1)*C245,0))))</f>
        <v>605.75</v>
      </c>
      <c r="I245">
        <f>IF(E245="공격형",INDEX(몬스터계수[[#Data],[숙련도계수]],MATCH(E245,몬스터계수[[#Data],[타입]],0),1)*C245,
IF(E245="방어형",INDEX(몬스터계수[[#Data],[숙련도계수]],MATCH(E245,몬스터계수[[#Data],[타입]],0),1)*C245,
IF(E245="회피형",INDEX(몬스터계수[[#Data],[숙련도계수]],MATCH(E245,몬스터계수[[#Data],[타입]],0),1)*C245,
IF(E245="체력형",INDEX(몬스터계수[[#Data],[숙련도계수]],MATCH(E245,몬스터계수[[#Data],[타입]],0),1)*C245,0))))</f>
        <v>1817.25</v>
      </c>
      <c r="J245">
        <f>IF(E245="공격형",INDEX(몬스터계수[[#Data],[행운계수]],MATCH(E245, 몬스터계수[[#Data],[타입]],0),1)*C245,
IF(E245="방어형",INDEX(몬스터계수[[#Data],[행운계수]],MATCH(E245, 몬스터계수[[#Data],[타입]],0),1)*C245,
IF(E245="회피형",INDEX(몬스터계수[[#Data],[행운계수]],MATCH(E245, 몬스터계수[[#Data],[타입]],0),1)*C245,
IF(E245="체력형",INDEX(몬스터계수[[#Data],[행운계수]],MATCH(E245, 몬스터계수[[#Data],[타입]],0),1)*C245,0))))</f>
        <v>605.75</v>
      </c>
      <c r="K245" s="34">
        <f>ROUND(
(($F245)*참고!$D$5)
+(($G245)*참고!$D$6)
+(($H245)*참고!$D$7)
+(($I245)*참고!$D$8)
+(($J245))*참고!$D$9,0)</f>
        <v>94194</v>
      </c>
      <c r="L245" s="34">
        <f>ROUND(
(($F245)*참고!$E$5)
+(($G245)*참고!$E$6)
+(($H245)*참고!$E$7)
+(($I245)*참고!$E$8)
+(($J245))*참고!$E$9,0)</f>
        <v>53912</v>
      </c>
      <c r="M245" s="34">
        <f>ROUND(
(($F245)*참고!$F$5)
+(($G245)*참고!$F$6)
+(($H245)*참고!$F$7)
+(($I245)*참고!$F$8)
+(($J245))*참고!$F$9,0)</f>
        <v>15144</v>
      </c>
      <c r="N245" s="34">
        <f>ROUND(
(($F245)*참고!$G$5)
+(($G245)*참고!$G$6)
+(($H245)*참고!$G$7)
+(($I245)*참고!$G$8)
+(($J245))*참고!$G$9,0)</f>
        <v>424</v>
      </c>
      <c r="O245" s="34">
        <f>ROUND(
(($F245)*참고!$H$5)
+(($G245)*참고!$H$6)
+(($H245)*참고!$H$7)
+(($I245)*참고!$H$8)
+(($J245))*참고!$H$9,0)</f>
        <v>9995</v>
      </c>
      <c r="P245" s="34">
        <f>ROUND(
(($F245)*참고!$I$5)
+(($G245)*참고!$I$6)
+(($H245)*참고!$I$7)
+(($I245)*참고!$I$8)
+(($J245))*참고!$I$9,0)</f>
        <v>17567</v>
      </c>
      <c r="Q245" s="34">
        <f>ROUND(
(($F245)*참고!$J$5)
+(($G245)*참고!$J$6)
+(($H245)*참고!$J$7)
+(($I245)*참고!$J$8)
+(($J245))*참고!$J$9,0)</f>
        <v>12115</v>
      </c>
      <c r="R245" s="34">
        <f>IF(E245="공격형",(INDEX(몬스터계수[[#Data],[속도]],MATCH(E245, 몬스터계수[[#Data],[타입]],0),1)*속도핸들러_곱계수)*(INT(몬스터밸런스[[#This Row],[Lv]]/속도핸들러_합계수+1)),
IF(E245="방어형",(INDEX(몬스터계수[[#Data],[속도]],MATCH(E245, 몬스터계수[[#Data],[타입]],0),1)*속도핸들러_곱계수)*(INT(몬스터밸런스[[#This Row],[Lv]]/속도핸들러_합계수+1)),
IF(E245="회피형",(INDEX(몬스터계수[[#Data],[속도]],MATCH(E245, 몬스터계수[[#Data],[타입]],0),1)*속도핸들러_곱계수)*(INT(몬스터밸런스[[#This Row],[Lv]]/속도핸들러_합계수+1)),
IF(E245="기본형",(INDEX(몬스터계수[[#Data],[속도]],MATCH(E245, 몬스터계수[[#Data],[타입]],0),1)*속도핸들러_곱계수)*(INT(몬스터밸런스[[#This Row],[Lv]]/속도핸들러_합계수+1)),0))))</f>
        <v>0</v>
      </c>
      <c r="S245">
        <f t="shared" si="10"/>
        <v>3234017.5</v>
      </c>
      <c r="U245">
        <v>4</v>
      </c>
      <c r="V245">
        <v>243</v>
      </c>
      <c r="W245">
        <f>$Z$1*몬스터밸런스9[[#This Row],[단계]]</f>
        <v>20</v>
      </c>
      <c r="X245" t="s">
        <v>53</v>
      </c>
      <c r="AE245" s="34">
        <f>몬스터밸런스[[#This Row],[생명]]*0.1</f>
        <v>605.75</v>
      </c>
      <c r="AF245" s="34">
        <f>몬스터밸런스[[#This Row],[Attack]]*0.1</f>
        <v>5391.2000000000007</v>
      </c>
      <c r="AG245" s="34">
        <f>몬스터밸런스[[#This Row],[Defense]]*0.1</f>
        <v>1514.4</v>
      </c>
      <c r="AH245" s="34"/>
      <c r="AI245" s="34">
        <f>몬스터밸런스[[#This Row],[CriticalDamage]]*0.2</f>
        <v>1999</v>
      </c>
      <c r="AJ245" s="34"/>
      <c r="AK245" s="34"/>
      <c r="AL245">
        <f t="shared" si="12"/>
        <v>130085.72500000001</v>
      </c>
    </row>
    <row r="246" spans="1:38">
      <c r="A246">
        <v>2430</v>
      </c>
      <c r="B246">
        <v>244</v>
      </c>
      <c r="C246">
        <f>$F$1*몬스터밸런스[[#This Row],[Lv]]+15</f>
        <v>12165</v>
      </c>
      <c r="E246" t="s">
        <v>479</v>
      </c>
      <c r="F246">
        <f>IF(E246="공격형",INDEX(몬스터계수[[#Data],[생명계수]],MATCH(E246,몬스터계수[[#Data],[타입]],0),1)*C246,
IF(E246="방어형",INDEX(몬스터계수[[#Data],[생명계수]],MATCH(E246,몬스터계수[[#Data],[타입]],0),1)*C246,
IF(E246="회피형",INDEX(몬스터계수[[#Data],[생명계수]],MATCH(E246,몬스터계수[[#Data],[타입]],0),1)*C246,
IF(E246="체력형",INDEX(몬스터계수[[#Data],[생명계수]],MATCH(E246,몬스터계수[[#Data],[타입]],0),1)*C246,0))))*IF(몬스터밸런스[[#This Row],[보스]]=TRUE,2,1)</f>
        <v>6082.5</v>
      </c>
      <c r="G246">
        <f>IF(E246="공격형",INDEX(몬스터계수[[#Data],[힘계수]],MATCH(E246, 몬스터계수[[#Data],[타입]],0),1)*C246,
IF(E246="방어형",INDEX(몬스터계수[[#Data],[힘계수]],MATCH(E246, 몬스터계수[[#Data],[타입]],0),1)*C246,
IF(E246="회피형",INDEX(몬스터계수[[#Data],[힘계수]],MATCH(E246, 몬스터계수[[#Data],[타입]],0),1)*C246,
IF(E246="체력형",INDEX(몬스터계수[[#Data],[힘계수]],MATCH(E246, 몬스터계수[[#Data],[타입]],0),1)*C246,0))))</f>
        <v>3041.25</v>
      </c>
      <c r="H246">
        <f>IF(E246="공격형",INDEX(몬스터계수[[#Data],[근력게수]],MATCH(E246,몬스터계수[[#Data],[타입]],0),1)*C246,
IF(E246="방어형",INDEX(몬스터계수[[#Data],[근력게수]],MATCH(E246,몬스터계수[[#Data],[타입]],0),1)*C246,
IF(E246="회피형",INDEX(몬스터계수[[#Data],[근력게수]],MATCH(E246,몬스터계수[[#Data],[타입]],0),1)*C246,
IF(E246="체력형",INDEX(몬스터계수[[#Data],[근력게수]],MATCH(E246,몬스터계수[[#Data],[타입]],0),1)*C246,0))))</f>
        <v>608.25</v>
      </c>
      <c r="I246">
        <f>IF(E246="공격형",INDEX(몬스터계수[[#Data],[숙련도계수]],MATCH(E246,몬스터계수[[#Data],[타입]],0),1)*C246,
IF(E246="방어형",INDEX(몬스터계수[[#Data],[숙련도계수]],MATCH(E246,몬스터계수[[#Data],[타입]],0),1)*C246,
IF(E246="회피형",INDEX(몬스터계수[[#Data],[숙련도계수]],MATCH(E246,몬스터계수[[#Data],[타입]],0),1)*C246,
IF(E246="체력형",INDEX(몬스터계수[[#Data],[숙련도계수]],MATCH(E246,몬스터계수[[#Data],[타입]],0),1)*C246,0))))</f>
        <v>1824.75</v>
      </c>
      <c r="J246">
        <f>IF(E246="공격형",INDEX(몬스터계수[[#Data],[행운계수]],MATCH(E246, 몬스터계수[[#Data],[타입]],0),1)*C246,
IF(E246="방어형",INDEX(몬스터계수[[#Data],[행운계수]],MATCH(E246, 몬스터계수[[#Data],[타입]],0),1)*C246,
IF(E246="회피형",INDEX(몬스터계수[[#Data],[행운계수]],MATCH(E246, 몬스터계수[[#Data],[타입]],0),1)*C246,
IF(E246="체력형",INDEX(몬스터계수[[#Data],[행운계수]],MATCH(E246, 몬스터계수[[#Data],[타입]],0),1)*C246,0))))</f>
        <v>608.25</v>
      </c>
      <c r="K246" s="34">
        <f>ROUND(
(($F246)*참고!$D$5)
+(($G246)*참고!$D$6)
+(($H246)*참고!$D$7)
+(($I246)*참고!$D$8)
+(($J246))*참고!$D$9,0)</f>
        <v>94583</v>
      </c>
      <c r="L246" s="34">
        <f>ROUND(
(($F246)*참고!$E$5)
+(($G246)*참고!$E$6)
+(($H246)*참고!$E$7)
+(($I246)*참고!$E$8)
+(($J246))*참고!$E$9,0)</f>
        <v>54134</v>
      </c>
      <c r="M246" s="34">
        <f>ROUND(
(($F246)*참고!$F$5)
+(($G246)*참고!$F$6)
+(($H246)*참고!$F$7)
+(($I246)*참고!$F$8)
+(($J246))*참고!$F$9,0)</f>
        <v>15206</v>
      </c>
      <c r="N246" s="34">
        <f>ROUND(
(($F246)*참고!$G$5)
+(($G246)*참고!$G$6)
+(($H246)*참고!$G$7)
+(($I246)*참고!$G$8)
+(($J246))*참고!$G$9,0)</f>
        <v>426</v>
      </c>
      <c r="O246" s="34">
        <f>ROUND(
(($F246)*참고!$H$5)
+(($G246)*참고!$H$6)
+(($H246)*참고!$H$7)
+(($I246)*참고!$H$8)
+(($J246))*참고!$H$9,0)</f>
        <v>10036</v>
      </c>
      <c r="P246" s="34">
        <f>ROUND(
(($F246)*참고!$I$5)
+(($G246)*참고!$I$6)
+(($H246)*참고!$I$7)
+(($I246)*참고!$I$8)
+(($J246))*참고!$I$9,0)</f>
        <v>17639</v>
      </c>
      <c r="Q246" s="34">
        <f>ROUND(
(($F246)*참고!$J$5)
+(($G246)*참고!$J$6)
+(($H246)*참고!$J$7)
+(($I246)*참고!$J$8)
+(($J246))*참고!$J$9,0)</f>
        <v>12165</v>
      </c>
      <c r="R246" s="34">
        <f>IF(E246="공격형",(INDEX(몬스터계수[[#Data],[속도]],MATCH(E246, 몬스터계수[[#Data],[타입]],0),1)*속도핸들러_곱계수)*(INT(몬스터밸런스[[#This Row],[Lv]]/속도핸들러_합계수+1)),
IF(E246="방어형",(INDEX(몬스터계수[[#Data],[속도]],MATCH(E246, 몬스터계수[[#Data],[타입]],0),1)*속도핸들러_곱계수)*(INT(몬스터밸런스[[#This Row],[Lv]]/속도핸들러_합계수+1)),
IF(E246="회피형",(INDEX(몬스터계수[[#Data],[속도]],MATCH(E246, 몬스터계수[[#Data],[타입]],0),1)*속도핸들러_곱계수)*(INT(몬스터밸런스[[#This Row],[Lv]]/속도핸들러_합계수+1)),
IF(E246="기본형",(INDEX(몬스터계수[[#Data],[속도]],MATCH(E246, 몬스터계수[[#Data],[타입]],0),1)*속도핸들러_곱계수)*(INT(몬스터밸런스[[#This Row],[Lv]]/속도핸들러_합계수+1)),0))))</f>
        <v>0</v>
      </c>
      <c r="S246">
        <f t="shared" si="10"/>
        <v>3247346.5</v>
      </c>
      <c r="U246">
        <v>4</v>
      </c>
      <c r="V246">
        <v>244</v>
      </c>
      <c r="W246">
        <f>$Z$1*몬스터밸런스9[[#This Row],[단계]]</f>
        <v>20</v>
      </c>
      <c r="X246" t="s">
        <v>53</v>
      </c>
      <c r="AE246" s="34">
        <f>몬스터밸런스[[#This Row],[생명]]*0.1</f>
        <v>608.25</v>
      </c>
      <c r="AF246" s="34">
        <f>몬스터밸런스[[#This Row],[Attack]]*0.1</f>
        <v>5413.4000000000005</v>
      </c>
      <c r="AG246" s="34">
        <f>몬스터밸런스[[#This Row],[Defense]]*0.1</f>
        <v>1520.6000000000001</v>
      </c>
      <c r="AH246" s="34"/>
      <c r="AI246" s="34">
        <f>몬스터밸런스[[#This Row],[CriticalDamage]]*0.2</f>
        <v>2007.2</v>
      </c>
      <c r="AJ246" s="34"/>
      <c r="AK246" s="34"/>
      <c r="AL246">
        <f t="shared" si="12"/>
        <v>130620.77500000001</v>
      </c>
    </row>
    <row r="247" spans="1:38">
      <c r="A247">
        <v>2440</v>
      </c>
      <c r="B247">
        <v>245</v>
      </c>
      <c r="C247">
        <f>$F$1*몬스터밸런스[[#This Row],[Lv]]+15</f>
        <v>12215</v>
      </c>
      <c r="E247" t="s">
        <v>479</v>
      </c>
      <c r="F247">
        <f>IF(E247="공격형",INDEX(몬스터계수[[#Data],[생명계수]],MATCH(E247,몬스터계수[[#Data],[타입]],0),1)*C247,
IF(E247="방어형",INDEX(몬스터계수[[#Data],[생명계수]],MATCH(E247,몬스터계수[[#Data],[타입]],0),1)*C247,
IF(E247="회피형",INDEX(몬스터계수[[#Data],[생명계수]],MATCH(E247,몬스터계수[[#Data],[타입]],0),1)*C247,
IF(E247="체력형",INDEX(몬스터계수[[#Data],[생명계수]],MATCH(E247,몬스터계수[[#Data],[타입]],0),1)*C247,0))))*IF(몬스터밸런스[[#This Row],[보스]]=TRUE,2,1)</f>
        <v>6107.5</v>
      </c>
      <c r="G247">
        <f>IF(E247="공격형",INDEX(몬스터계수[[#Data],[힘계수]],MATCH(E247, 몬스터계수[[#Data],[타입]],0),1)*C247,
IF(E247="방어형",INDEX(몬스터계수[[#Data],[힘계수]],MATCH(E247, 몬스터계수[[#Data],[타입]],0),1)*C247,
IF(E247="회피형",INDEX(몬스터계수[[#Data],[힘계수]],MATCH(E247, 몬스터계수[[#Data],[타입]],0),1)*C247,
IF(E247="체력형",INDEX(몬스터계수[[#Data],[힘계수]],MATCH(E247, 몬스터계수[[#Data],[타입]],0),1)*C247,0))))</f>
        <v>3053.75</v>
      </c>
      <c r="H247">
        <f>IF(E247="공격형",INDEX(몬스터계수[[#Data],[근력게수]],MATCH(E247,몬스터계수[[#Data],[타입]],0),1)*C247,
IF(E247="방어형",INDEX(몬스터계수[[#Data],[근력게수]],MATCH(E247,몬스터계수[[#Data],[타입]],0),1)*C247,
IF(E247="회피형",INDEX(몬스터계수[[#Data],[근력게수]],MATCH(E247,몬스터계수[[#Data],[타입]],0),1)*C247,
IF(E247="체력형",INDEX(몬스터계수[[#Data],[근력게수]],MATCH(E247,몬스터계수[[#Data],[타입]],0),1)*C247,0))))</f>
        <v>610.75</v>
      </c>
      <c r="I247">
        <f>IF(E247="공격형",INDEX(몬스터계수[[#Data],[숙련도계수]],MATCH(E247,몬스터계수[[#Data],[타입]],0),1)*C247,
IF(E247="방어형",INDEX(몬스터계수[[#Data],[숙련도계수]],MATCH(E247,몬스터계수[[#Data],[타입]],0),1)*C247,
IF(E247="회피형",INDEX(몬스터계수[[#Data],[숙련도계수]],MATCH(E247,몬스터계수[[#Data],[타입]],0),1)*C247,
IF(E247="체력형",INDEX(몬스터계수[[#Data],[숙련도계수]],MATCH(E247,몬스터계수[[#Data],[타입]],0),1)*C247,0))))</f>
        <v>1832.25</v>
      </c>
      <c r="J247">
        <f>IF(E247="공격형",INDEX(몬스터계수[[#Data],[행운계수]],MATCH(E247, 몬스터계수[[#Data],[타입]],0),1)*C247,
IF(E247="방어형",INDEX(몬스터계수[[#Data],[행운계수]],MATCH(E247, 몬스터계수[[#Data],[타입]],0),1)*C247,
IF(E247="회피형",INDEX(몬스터계수[[#Data],[행운계수]],MATCH(E247, 몬스터계수[[#Data],[타입]],0),1)*C247,
IF(E247="체력형",INDEX(몬스터계수[[#Data],[행운계수]],MATCH(E247, 몬스터계수[[#Data],[타입]],0),1)*C247,0))))</f>
        <v>610.75</v>
      </c>
      <c r="K247" s="34">
        <f>ROUND(
(($F247)*참고!$D$5)
+(($G247)*참고!$D$6)
+(($H247)*참고!$D$7)
+(($I247)*참고!$D$8)
+(($J247))*참고!$D$9,0)</f>
        <v>94972</v>
      </c>
      <c r="L247" s="34">
        <f>ROUND(
(($F247)*참고!$E$5)
+(($G247)*참고!$E$6)
+(($H247)*참고!$E$7)
+(($I247)*참고!$E$8)
+(($J247))*참고!$E$9,0)</f>
        <v>54357</v>
      </c>
      <c r="M247" s="34">
        <f>ROUND(
(($F247)*참고!$F$5)
+(($G247)*참고!$F$6)
+(($H247)*참고!$F$7)
+(($I247)*참고!$F$8)
+(($J247))*참고!$F$9,0)</f>
        <v>15269</v>
      </c>
      <c r="N247" s="34">
        <f>ROUND(
(($F247)*참고!$G$5)
+(($G247)*참고!$G$6)
+(($H247)*참고!$G$7)
+(($I247)*참고!$G$8)
+(($J247))*참고!$G$9,0)</f>
        <v>428</v>
      </c>
      <c r="O247" s="34">
        <f>ROUND(
(($F247)*참고!$H$5)
+(($G247)*참고!$H$6)
+(($H247)*참고!$H$7)
+(($I247)*참고!$H$8)
+(($J247))*참고!$H$9,0)</f>
        <v>10077</v>
      </c>
      <c r="P247" s="34">
        <f>ROUND(
(($F247)*참고!$I$5)
+(($G247)*참고!$I$6)
+(($H247)*참고!$I$7)
+(($I247)*참고!$I$8)
+(($J247))*참고!$I$9,0)</f>
        <v>17712</v>
      </c>
      <c r="Q247" s="34">
        <f>ROUND(
(($F247)*참고!$J$5)
+(($G247)*참고!$J$6)
+(($H247)*참고!$J$7)
+(($I247)*참고!$J$8)
+(($J247))*참고!$J$9,0)</f>
        <v>12215</v>
      </c>
      <c r="R247" s="34">
        <f>IF(E247="공격형",(INDEX(몬스터계수[[#Data],[속도]],MATCH(E247, 몬스터계수[[#Data],[타입]],0),1)*속도핸들러_곱계수)*(INT(몬스터밸런스[[#This Row],[Lv]]/속도핸들러_합계수+1)),
IF(E247="방어형",(INDEX(몬스터계수[[#Data],[속도]],MATCH(E247, 몬스터계수[[#Data],[타입]],0),1)*속도핸들러_곱계수)*(INT(몬스터밸런스[[#This Row],[Lv]]/속도핸들러_합계수+1)),
IF(E247="회피형",(INDEX(몬스터계수[[#Data],[속도]],MATCH(E247, 몬스터계수[[#Data],[타입]],0),1)*속도핸들러_곱계수)*(INT(몬스터밸런스[[#This Row],[Lv]]/속도핸들러_합계수+1)),
IF(E247="기본형",(INDEX(몬스터계수[[#Data],[속도]],MATCH(E247, 몬스터계수[[#Data],[타입]],0),1)*속도핸들러_곱계수)*(INT(몬스터밸런스[[#This Row],[Lv]]/속도핸들러_합계수+1)),0))))</f>
        <v>0</v>
      </c>
      <c r="S247">
        <f t="shared" si="10"/>
        <v>3260718.5</v>
      </c>
      <c r="U247">
        <v>4</v>
      </c>
      <c r="V247">
        <v>245</v>
      </c>
      <c r="W247">
        <f>$Z$1*몬스터밸런스9[[#This Row],[단계]]</f>
        <v>20</v>
      </c>
      <c r="X247" t="s">
        <v>53</v>
      </c>
      <c r="AE247" s="34">
        <f>몬스터밸런스[[#This Row],[생명]]*0.2</f>
        <v>1221.5</v>
      </c>
      <c r="AF247" s="34"/>
      <c r="AG247" s="34">
        <f>몬스터밸런스[[#This Row],[Defense]]*0.1</f>
        <v>1526.9</v>
      </c>
      <c r="AH247" s="34"/>
      <c r="AI247" s="34">
        <f>몬스터밸런스[[#This Row],[CriticalDamage]]*0.2</f>
        <v>2015.4</v>
      </c>
      <c r="AJ247" s="34"/>
      <c r="AK247" s="34"/>
      <c r="AL247">
        <f t="shared" si="12"/>
        <v>54875.950000000004</v>
      </c>
    </row>
    <row r="248" spans="1:38">
      <c r="A248">
        <v>2450</v>
      </c>
      <c r="B248">
        <v>246</v>
      </c>
      <c r="C248">
        <f>$F$1*몬스터밸런스[[#This Row],[Lv]]+15</f>
        <v>12265</v>
      </c>
      <c r="E248" t="s">
        <v>479</v>
      </c>
      <c r="F248">
        <f>IF(E248="공격형",INDEX(몬스터계수[[#Data],[생명계수]],MATCH(E248,몬스터계수[[#Data],[타입]],0),1)*C248,
IF(E248="방어형",INDEX(몬스터계수[[#Data],[생명계수]],MATCH(E248,몬스터계수[[#Data],[타입]],0),1)*C248,
IF(E248="회피형",INDEX(몬스터계수[[#Data],[생명계수]],MATCH(E248,몬스터계수[[#Data],[타입]],0),1)*C248,
IF(E248="체력형",INDEX(몬스터계수[[#Data],[생명계수]],MATCH(E248,몬스터계수[[#Data],[타입]],0),1)*C248,0))))*IF(몬스터밸런스[[#This Row],[보스]]=TRUE,2,1)</f>
        <v>6132.5</v>
      </c>
      <c r="G248">
        <f>IF(E248="공격형",INDEX(몬스터계수[[#Data],[힘계수]],MATCH(E248, 몬스터계수[[#Data],[타입]],0),1)*C248,
IF(E248="방어형",INDEX(몬스터계수[[#Data],[힘계수]],MATCH(E248, 몬스터계수[[#Data],[타입]],0),1)*C248,
IF(E248="회피형",INDEX(몬스터계수[[#Data],[힘계수]],MATCH(E248, 몬스터계수[[#Data],[타입]],0),1)*C248,
IF(E248="체력형",INDEX(몬스터계수[[#Data],[힘계수]],MATCH(E248, 몬스터계수[[#Data],[타입]],0),1)*C248,0))))</f>
        <v>3066.25</v>
      </c>
      <c r="H248">
        <f>IF(E248="공격형",INDEX(몬스터계수[[#Data],[근력게수]],MATCH(E248,몬스터계수[[#Data],[타입]],0),1)*C248,
IF(E248="방어형",INDEX(몬스터계수[[#Data],[근력게수]],MATCH(E248,몬스터계수[[#Data],[타입]],0),1)*C248,
IF(E248="회피형",INDEX(몬스터계수[[#Data],[근력게수]],MATCH(E248,몬스터계수[[#Data],[타입]],0),1)*C248,
IF(E248="체력형",INDEX(몬스터계수[[#Data],[근력게수]],MATCH(E248,몬스터계수[[#Data],[타입]],0),1)*C248,0))))</f>
        <v>613.25</v>
      </c>
      <c r="I248">
        <f>IF(E248="공격형",INDEX(몬스터계수[[#Data],[숙련도계수]],MATCH(E248,몬스터계수[[#Data],[타입]],0),1)*C248,
IF(E248="방어형",INDEX(몬스터계수[[#Data],[숙련도계수]],MATCH(E248,몬스터계수[[#Data],[타입]],0),1)*C248,
IF(E248="회피형",INDEX(몬스터계수[[#Data],[숙련도계수]],MATCH(E248,몬스터계수[[#Data],[타입]],0),1)*C248,
IF(E248="체력형",INDEX(몬스터계수[[#Data],[숙련도계수]],MATCH(E248,몬스터계수[[#Data],[타입]],0),1)*C248,0))))</f>
        <v>1839.75</v>
      </c>
      <c r="J248">
        <f>IF(E248="공격형",INDEX(몬스터계수[[#Data],[행운계수]],MATCH(E248, 몬스터계수[[#Data],[타입]],0),1)*C248,
IF(E248="방어형",INDEX(몬스터계수[[#Data],[행운계수]],MATCH(E248, 몬스터계수[[#Data],[타입]],0),1)*C248,
IF(E248="회피형",INDEX(몬스터계수[[#Data],[행운계수]],MATCH(E248, 몬스터계수[[#Data],[타입]],0),1)*C248,
IF(E248="체력형",INDEX(몬스터계수[[#Data],[행운계수]],MATCH(E248, 몬스터계수[[#Data],[타입]],0),1)*C248,0))))</f>
        <v>613.25</v>
      </c>
      <c r="K248" s="34">
        <f>ROUND(
(($F248)*참고!$D$5)
+(($G248)*참고!$D$6)
+(($H248)*참고!$D$7)
+(($I248)*참고!$D$8)
+(($J248))*참고!$D$9,0)</f>
        <v>95360</v>
      </c>
      <c r="L248" s="34">
        <f>ROUND(
(($F248)*참고!$E$5)
+(($G248)*참고!$E$6)
+(($H248)*참고!$E$7)
+(($I248)*참고!$E$8)
+(($J248))*참고!$E$9,0)</f>
        <v>54579</v>
      </c>
      <c r="M248" s="34">
        <f>ROUND(
(($F248)*참고!$F$5)
+(($G248)*참고!$F$6)
+(($H248)*참고!$F$7)
+(($I248)*참고!$F$8)
+(($J248))*참고!$F$9,0)</f>
        <v>15331</v>
      </c>
      <c r="N248" s="34">
        <f>ROUND(
(($F248)*참고!$G$5)
+(($G248)*참고!$G$6)
+(($H248)*참고!$G$7)
+(($I248)*참고!$G$8)
+(($J248))*참고!$G$9,0)</f>
        <v>429</v>
      </c>
      <c r="O248" s="34">
        <f>ROUND(
(($F248)*참고!$H$5)
+(($G248)*참고!$H$6)
+(($H248)*참고!$H$7)
+(($I248)*참고!$H$8)
+(($J248))*참고!$H$9,0)</f>
        <v>10119</v>
      </c>
      <c r="P248" s="34">
        <f>ROUND(
(($F248)*참고!$I$5)
+(($G248)*참고!$I$6)
+(($H248)*참고!$I$7)
+(($I248)*참고!$I$8)
+(($J248))*참고!$I$9,0)</f>
        <v>17784</v>
      </c>
      <c r="Q248" s="34">
        <f>ROUND(
(($F248)*참고!$J$5)
+(($G248)*참고!$J$6)
+(($H248)*참고!$J$7)
+(($I248)*참고!$J$8)
+(($J248))*참고!$J$9,0)</f>
        <v>12265</v>
      </c>
      <c r="R248" s="34">
        <f>IF(E248="공격형",(INDEX(몬스터계수[[#Data],[속도]],MATCH(E248, 몬스터계수[[#Data],[타입]],0),1)*속도핸들러_곱계수)*(INT(몬스터밸런스[[#This Row],[Lv]]/속도핸들러_합계수+1)),
IF(E248="방어형",(INDEX(몬스터계수[[#Data],[속도]],MATCH(E248, 몬스터계수[[#Data],[타입]],0),1)*속도핸들러_곱계수)*(INT(몬스터밸런스[[#This Row],[Lv]]/속도핸들러_합계수+1)),
IF(E248="회피형",(INDEX(몬스터계수[[#Data],[속도]],MATCH(E248, 몬스터계수[[#Data],[타입]],0),1)*속도핸들러_곱계수)*(INT(몬스터밸런스[[#This Row],[Lv]]/속도핸들러_합계수+1)),
IF(E248="기본형",(INDEX(몬스터계수[[#Data],[속도]],MATCH(E248, 몬스터계수[[#Data],[타입]],0),1)*속도핸들러_곱계수)*(INT(몬스터밸런스[[#This Row],[Lv]]/속도핸들러_합계수+1)),0))))</f>
        <v>0</v>
      </c>
      <c r="S248">
        <f t="shared" si="10"/>
        <v>3274034</v>
      </c>
      <c r="U248">
        <v>5</v>
      </c>
      <c r="V248">
        <v>246</v>
      </c>
      <c r="W248">
        <f>$Z$1*몬스터밸런스9[[#This Row],[단계]]</f>
        <v>25</v>
      </c>
      <c r="X248" t="s">
        <v>53</v>
      </c>
      <c r="AE248" s="34">
        <f>몬스터밸런스[[#This Row],[생명]]*0.2</f>
        <v>1226.5</v>
      </c>
      <c r="AF248" s="34"/>
      <c r="AG248" s="34">
        <f>몬스터밸런스[[#This Row],[Defense]]*0.1</f>
        <v>1533.1000000000001</v>
      </c>
      <c r="AH248" s="34"/>
      <c r="AI248" s="34">
        <f>몬스터밸런스[[#This Row],[CriticalDamage]]*0.2</f>
        <v>2023.8000000000002</v>
      </c>
      <c r="AJ248" s="34"/>
      <c r="AK248" s="34"/>
      <c r="AL248">
        <f t="shared" si="12"/>
        <v>55100.450000000004</v>
      </c>
    </row>
    <row r="249" spans="1:38">
      <c r="A249">
        <v>2460</v>
      </c>
      <c r="B249">
        <v>247</v>
      </c>
      <c r="C249">
        <f>$F$1*몬스터밸런스[[#This Row],[Lv]]+15</f>
        <v>12315</v>
      </c>
      <c r="E249" t="s">
        <v>479</v>
      </c>
      <c r="F249">
        <f>IF(E249="공격형",INDEX(몬스터계수[[#Data],[생명계수]],MATCH(E249,몬스터계수[[#Data],[타입]],0),1)*C249,
IF(E249="방어형",INDEX(몬스터계수[[#Data],[생명계수]],MATCH(E249,몬스터계수[[#Data],[타입]],0),1)*C249,
IF(E249="회피형",INDEX(몬스터계수[[#Data],[생명계수]],MATCH(E249,몬스터계수[[#Data],[타입]],0),1)*C249,
IF(E249="체력형",INDEX(몬스터계수[[#Data],[생명계수]],MATCH(E249,몬스터계수[[#Data],[타입]],0),1)*C249,0))))*IF(몬스터밸런스[[#This Row],[보스]]=TRUE,2,1)</f>
        <v>6157.5</v>
      </c>
      <c r="G249">
        <f>IF(E249="공격형",INDEX(몬스터계수[[#Data],[힘계수]],MATCH(E249, 몬스터계수[[#Data],[타입]],0),1)*C249,
IF(E249="방어형",INDEX(몬스터계수[[#Data],[힘계수]],MATCH(E249, 몬스터계수[[#Data],[타입]],0),1)*C249,
IF(E249="회피형",INDEX(몬스터계수[[#Data],[힘계수]],MATCH(E249, 몬스터계수[[#Data],[타입]],0),1)*C249,
IF(E249="체력형",INDEX(몬스터계수[[#Data],[힘계수]],MATCH(E249, 몬스터계수[[#Data],[타입]],0),1)*C249,0))))</f>
        <v>3078.75</v>
      </c>
      <c r="H249">
        <f>IF(E249="공격형",INDEX(몬스터계수[[#Data],[근력게수]],MATCH(E249,몬스터계수[[#Data],[타입]],0),1)*C249,
IF(E249="방어형",INDEX(몬스터계수[[#Data],[근력게수]],MATCH(E249,몬스터계수[[#Data],[타입]],0),1)*C249,
IF(E249="회피형",INDEX(몬스터계수[[#Data],[근력게수]],MATCH(E249,몬스터계수[[#Data],[타입]],0),1)*C249,
IF(E249="체력형",INDEX(몬스터계수[[#Data],[근력게수]],MATCH(E249,몬스터계수[[#Data],[타입]],0),1)*C249,0))))</f>
        <v>615.75</v>
      </c>
      <c r="I249">
        <f>IF(E249="공격형",INDEX(몬스터계수[[#Data],[숙련도계수]],MATCH(E249,몬스터계수[[#Data],[타입]],0),1)*C249,
IF(E249="방어형",INDEX(몬스터계수[[#Data],[숙련도계수]],MATCH(E249,몬스터계수[[#Data],[타입]],0),1)*C249,
IF(E249="회피형",INDEX(몬스터계수[[#Data],[숙련도계수]],MATCH(E249,몬스터계수[[#Data],[타입]],0),1)*C249,
IF(E249="체력형",INDEX(몬스터계수[[#Data],[숙련도계수]],MATCH(E249,몬스터계수[[#Data],[타입]],0),1)*C249,0))))</f>
        <v>1847.25</v>
      </c>
      <c r="J249">
        <f>IF(E249="공격형",INDEX(몬스터계수[[#Data],[행운계수]],MATCH(E249, 몬스터계수[[#Data],[타입]],0),1)*C249,
IF(E249="방어형",INDEX(몬스터계수[[#Data],[행운계수]],MATCH(E249, 몬스터계수[[#Data],[타입]],0),1)*C249,
IF(E249="회피형",INDEX(몬스터계수[[#Data],[행운계수]],MATCH(E249, 몬스터계수[[#Data],[타입]],0),1)*C249,
IF(E249="체력형",INDEX(몬스터계수[[#Data],[행운계수]],MATCH(E249, 몬스터계수[[#Data],[타입]],0),1)*C249,0))))</f>
        <v>615.75</v>
      </c>
      <c r="K249" s="34">
        <f>ROUND(
(($F249)*참고!$D$5)
+(($G249)*참고!$D$6)
+(($H249)*참고!$D$7)
+(($I249)*참고!$D$8)
+(($J249))*참고!$D$9,0)</f>
        <v>95749</v>
      </c>
      <c r="L249" s="34">
        <f>ROUND(
(($F249)*참고!$E$5)
+(($G249)*참고!$E$6)
+(($H249)*참고!$E$7)
+(($I249)*참고!$E$8)
+(($J249))*참고!$E$9,0)</f>
        <v>54802</v>
      </c>
      <c r="M249" s="34">
        <f>ROUND(
(($F249)*참고!$F$5)
+(($G249)*참고!$F$6)
+(($H249)*참고!$F$7)
+(($I249)*참고!$F$8)
+(($J249))*참고!$F$9,0)</f>
        <v>15394</v>
      </c>
      <c r="N249" s="34">
        <f>ROUND(
(($F249)*참고!$G$5)
+(($G249)*참고!$G$6)
+(($H249)*참고!$G$7)
+(($I249)*참고!$G$8)
+(($J249))*참고!$G$9,0)</f>
        <v>431</v>
      </c>
      <c r="O249" s="34">
        <f>ROUND(
(($F249)*참고!$H$5)
+(($G249)*참고!$H$6)
+(($H249)*참고!$H$7)
+(($I249)*참고!$H$8)
+(($J249))*참고!$H$9,0)</f>
        <v>10160</v>
      </c>
      <c r="P249" s="34">
        <f>ROUND(
(($F249)*참고!$I$5)
+(($G249)*참고!$I$6)
+(($H249)*참고!$I$7)
+(($I249)*참고!$I$8)
+(($J249))*참고!$I$9,0)</f>
        <v>17857</v>
      </c>
      <c r="Q249" s="34">
        <f>ROUND(
(($F249)*참고!$J$5)
+(($G249)*참고!$J$6)
+(($H249)*참고!$J$7)
+(($I249)*참고!$J$8)
+(($J249))*참고!$J$9,0)</f>
        <v>12315</v>
      </c>
      <c r="R249" s="34">
        <f>IF(E249="공격형",(INDEX(몬스터계수[[#Data],[속도]],MATCH(E249, 몬스터계수[[#Data],[타입]],0),1)*속도핸들러_곱계수)*(INT(몬스터밸런스[[#This Row],[Lv]]/속도핸들러_합계수+1)),
IF(E249="방어형",(INDEX(몬스터계수[[#Data],[속도]],MATCH(E249, 몬스터계수[[#Data],[타입]],0),1)*속도핸들러_곱계수)*(INT(몬스터밸런스[[#This Row],[Lv]]/속도핸들러_합계수+1)),
IF(E249="회피형",(INDEX(몬스터계수[[#Data],[속도]],MATCH(E249, 몬스터계수[[#Data],[타입]],0),1)*속도핸들러_곱계수)*(INT(몬스터밸런스[[#This Row],[Lv]]/속도핸들러_합계수+1)),
IF(E249="기본형",(INDEX(몬스터계수[[#Data],[속도]],MATCH(E249, 몬스터계수[[#Data],[타입]],0),1)*속도핸들러_곱계수)*(INT(몬스터밸런스[[#This Row],[Lv]]/속도핸들러_합계수+1)),0))))</f>
        <v>0</v>
      </c>
      <c r="S249">
        <f t="shared" si="10"/>
        <v>3287406</v>
      </c>
      <c r="U249">
        <v>5</v>
      </c>
      <c r="V249">
        <v>247</v>
      </c>
      <c r="W249">
        <f>$Z$1*몬스터밸런스9[[#This Row],[단계]]</f>
        <v>25</v>
      </c>
      <c r="X249" t="s">
        <v>53</v>
      </c>
      <c r="AE249" s="34">
        <f>몬스터밸런스[[#This Row],[생명]]*0.2</f>
        <v>1231.5</v>
      </c>
      <c r="AF249" s="34"/>
      <c r="AG249" s="34">
        <f>몬스터밸런스[[#This Row],[Defense]]*0.1</f>
        <v>1539.4</v>
      </c>
      <c r="AH249" s="34"/>
      <c r="AI249" s="34">
        <f>몬스터밸런스[[#This Row],[CriticalDamage]]*0.2</f>
        <v>2032</v>
      </c>
      <c r="AJ249" s="34"/>
      <c r="AK249" s="34"/>
      <c r="AL249">
        <f t="shared" si="12"/>
        <v>55325.65</v>
      </c>
    </row>
    <row r="250" spans="1:38">
      <c r="A250">
        <v>2470</v>
      </c>
      <c r="B250">
        <v>248</v>
      </c>
      <c r="C250">
        <f>$F$1*몬스터밸런스[[#This Row],[Lv]]+15</f>
        <v>12365</v>
      </c>
      <c r="E250" t="s">
        <v>479</v>
      </c>
      <c r="F250">
        <f>IF(E250="공격형",INDEX(몬스터계수[[#Data],[생명계수]],MATCH(E250,몬스터계수[[#Data],[타입]],0),1)*C250,
IF(E250="방어형",INDEX(몬스터계수[[#Data],[생명계수]],MATCH(E250,몬스터계수[[#Data],[타입]],0),1)*C250,
IF(E250="회피형",INDEX(몬스터계수[[#Data],[생명계수]],MATCH(E250,몬스터계수[[#Data],[타입]],0),1)*C250,
IF(E250="체력형",INDEX(몬스터계수[[#Data],[생명계수]],MATCH(E250,몬스터계수[[#Data],[타입]],0),1)*C250,0))))*IF(몬스터밸런스[[#This Row],[보스]]=TRUE,2,1)</f>
        <v>6182.5</v>
      </c>
      <c r="G250">
        <f>IF(E250="공격형",INDEX(몬스터계수[[#Data],[힘계수]],MATCH(E250, 몬스터계수[[#Data],[타입]],0),1)*C250,
IF(E250="방어형",INDEX(몬스터계수[[#Data],[힘계수]],MATCH(E250, 몬스터계수[[#Data],[타입]],0),1)*C250,
IF(E250="회피형",INDEX(몬스터계수[[#Data],[힘계수]],MATCH(E250, 몬스터계수[[#Data],[타입]],0),1)*C250,
IF(E250="체력형",INDEX(몬스터계수[[#Data],[힘계수]],MATCH(E250, 몬스터계수[[#Data],[타입]],0),1)*C250,0))))</f>
        <v>3091.25</v>
      </c>
      <c r="H250">
        <f>IF(E250="공격형",INDEX(몬스터계수[[#Data],[근력게수]],MATCH(E250,몬스터계수[[#Data],[타입]],0),1)*C250,
IF(E250="방어형",INDEX(몬스터계수[[#Data],[근력게수]],MATCH(E250,몬스터계수[[#Data],[타입]],0),1)*C250,
IF(E250="회피형",INDEX(몬스터계수[[#Data],[근력게수]],MATCH(E250,몬스터계수[[#Data],[타입]],0),1)*C250,
IF(E250="체력형",INDEX(몬스터계수[[#Data],[근력게수]],MATCH(E250,몬스터계수[[#Data],[타입]],0),1)*C250,0))))</f>
        <v>618.25</v>
      </c>
      <c r="I250">
        <f>IF(E250="공격형",INDEX(몬스터계수[[#Data],[숙련도계수]],MATCH(E250,몬스터계수[[#Data],[타입]],0),1)*C250,
IF(E250="방어형",INDEX(몬스터계수[[#Data],[숙련도계수]],MATCH(E250,몬스터계수[[#Data],[타입]],0),1)*C250,
IF(E250="회피형",INDEX(몬스터계수[[#Data],[숙련도계수]],MATCH(E250,몬스터계수[[#Data],[타입]],0),1)*C250,
IF(E250="체력형",INDEX(몬스터계수[[#Data],[숙련도계수]],MATCH(E250,몬스터계수[[#Data],[타입]],0),1)*C250,0))))</f>
        <v>1854.75</v>
      </c>
      <c r="J250">
        <f>IF(E250="공격형",INDEX(몬스터계수[[#Data],[행운계수]],MATCH(E250, 몬스터계수[[#Data],[타입]],0),1)*C250,
IF(E250="방어형",INDEX(몬스터계수[[#Data],[행운계수]],MATCH(E250, 몬스터계수[[#Data],[타입]],0),1)*C250,
IF(E250="회피형",INDEX(몬스터계수[[#Data],[행운계수]],MATCH(E250, 몬스터계수[[#Data],[타입]],0),1)*C250,
IF(E250="체력형",INDEX(몬스터계수[[#Data],[행운계수]],MATCH(E250, 몬스터계수[[#Data],[타입]],0),1)*C250,0))))</f>
        <v>618.25</v>
      </c>
      <c r="K250" s="34">
        <f>ROUND(
(($F250)*참고!$D$5)
+(($G250)*참고!$D$6)
+(($H250)*참고!$D$7)
+(($I250)*참고!$D$8)
+(($J250))*참고!$D$9,0)</f>
        <v>96138</v>
      </c>
      <c r="L250" s="34">
        <f>ROUND(
(($F250)*참고!$E$5)
+(($G250)*참고!$E$6)
+(($H250)*참고!$E$7)
+(($I250)*참고!$E$8)
+(($J250))*참고!$E$9,0)</f>
        <v>55024</v>
      </c>
      <c r="M250" s="34">
        <f>ROUND(
(($F250)*참고!$F$5)
+(($G250)*참고!$F$6)
+(($H250)*참고!$F$7)
+(($I250)*참고!$F$8)
+(($J250))*참고!$F$9,0)</f>
        <v>15456</v>
      </c>
      <c r="N250" s="34">
        <f>ROUND(
(($F250)*참고!$G$5)
+(($G250)*참고!$G$6)
+(($H250)*참고!$G$7)
+(($I250)*참고!$G$8)
+(($J250))*참고!$G$9,0)</f>
        <v>433</v>
      </c>
      <c r="O250" s="34">
        <f>ROUND(
(($F250)*참고!$H$5)
+(($G250)*참고!$H$6)
+(($H250)*참고!$H$7)
+(($I250)*참고!$H$8)
+(($J250))*참고!$H$9,0)</f>
        <v>10201</v>
      </c>
      <c r="P250" s="34">
        <f>ROUND(
(($F250)*참고!$I$5)
+(($G250)*참고!$I$6)
+(($H250)*참고!$I$7)
+(($I250)*참고!$I$8)
+(($J250))*참고!$I$9,0)</f>
        <v>17929</v>
      </c>
      <c r="Q250" s="34">
        <f>ROUND(
(($F250)*참고!$J$5)
+(($G250)*참고!$J$6)
+(($H250)*참고!$J$7)
+(($I250)*참고!$J$8)
+(($J250))*참고!$J$9,0)</f>
        <v>12365</v>
      </c>
      <c r="R250" s="34">
        <f>IF(E250="공격형",(INDEX(몬스터계수[[#Data],[속도]],MATCH(E250, 몬스터계수[[#Data],[타입]],0),1)*속도핸들러_곱계수)*(INT(몬스터밸런스[[#This Row],[Lv]]/속도핸들러_합계수+1)),
IF(E250="방어형",(INDEX(몬스터계수[[#Data],[속도]],MATCH(E250, 몬스터계수[[#Data],[타입]],0),1)*속도핸들러_곱계수)*(INT(몬스터밸런스[[#This Row],[Lv]]/속도핸들러_합계수+1)),
IF(E250="회피형",(INDEX(몬스터계수[[#Data],[속도]],MATCH(E250, 몬스터계수[[#Data],[타입]],0),1)*속도핸들러_곱계수)*(INT(몬스터밸런스[[#This Row],[Lv]]/속도핸들러_합계수+1)),
IF(E250="기본형",(INDEX(몬스터계수[[#Data],[속도]],MATCH(E250, 몬스터계수[[#Data],[타입]],0),1)*속도핸들러_곱계수)*(INT(몬스터밸런스[[#This Row],[Lv]]/속도핸들러_합계수+1)),0))))</f>
        <v>0</v>
      </c>
      <c r="S250">
        <f t="shared" si="10"/>
        <v>3300735</v>
      </c>
      <c r="U250">
        <v>5</v>
      </c>
      <c r="V250">
        <v>248</v>
      </c>
      <c r="W250">
        <f>$Z$1*몬스터밸런스9[[#This Row],[단계]]</f>
        <v>25</v>
      </c>
      <c r="X250" t="s">
        <v>53</v>
      </c>
      <c r="AE250" s="34">
        <f>몬스터밸런스[[#This Row],[생명]]*0.2</f>
        <v>1236.5</v>
      </c>
      <c r="AF250" s="34"/>
      <c r="AG250" s="34">
        <f>몬스터밸런스[[#This Row],[Defense]]*0.1</f>
        <v>1545.6000000000001</v>
      </c>
      <c r="AH250" s="34"/>
      <c r="AI250" s="34">
        <f>몬스터밸런스[[#This Row],[CriticalDamage]]*0.2</f>
        <v>2040.2</v>
      </c>
      <c r="AJ250" s="34"/>
      <c r="AK250" s="34"/>
      <c r="AL250">
        <f t="shared" si="12"/>
        <v>55549.250000000007</v>
      </c>
    </row>
    <row r="251" spans="1:38">
      <c r="A251">
        <v>2480</v>
      </c>
      <c r="B251">
        <v>249</v>
      </c>
      <c r="C251">
        <f>$F$1*몬스터밸런스[[#This Row],[Lv]]+15</f>
        <v>12415</v>
      </c>
      <c r="E251" t="s">
        <v>479</v>
      </c>
      <c r="F251">
        <f>IF(E251="공격형",INDEX(몬스터계수[[#Data],[생명계수]],MATCH(E251,몬스터계수[[#Data],[타입]],0),1)*C251,
IF(E251="방어형",INDEX(몬스터계수[[#Data],[생명계수]],MATCH(E251,몬스터계수[[#Data],[타입]],0),1)*C251,
IF(E251="회피형",INDEX(몬스터계수[[#Data],[생명계수]],MATCH(E251,몬스터계수[[#Data],[타입]],0),1)*C251,
IF(E251="체력형",INDEX(몬스터계수[[#Data],[생명계수]],MATCH(E251,몬스터계수[[#Data],[타입]],0),1)*C251,0))))*IF(몬스터밸런스[[#This Row],[보스]]=TRUE,2,1)</f>
        <v>6207.5</v>
      </c>
      <c r="G251">
        <f>IF(E251="공격형",INDEX(몬스터계수[[#Data],[힘계수]],MATCH(E251, 몬스터계수[[#Data],[타입]],0),1)*C251,
IF(E251="방어형",INDEX(몬스터계수[[#Data],[힘계수]],MATCH(E251, 몬스터계수[[#Data],[타입]],0),1)*C251,
IF(E251="회피형",INDEX(몬스터계수[[#Data],[힘계수]],MATCH(E251, 몬스터계수[[#Data],[타입]],0),1)*C251,
IF(E251="체력형",INDEX(몬스터계수[[#Data],[힘계수]],MATCH(E251, 몬스터계수[[#Data],[타입]],0),1)*C251,0))))</f>
        <v>3103.75</v>
      </c>
      <c r="H251">
        <f>IF(E251="공격형",INDEX(몬스터계수[[#Data],[근력게수]],MATCH(E251,몬스터계수[[#Data],[타입]],0),1)*C251,
IF(E251="방어형",INDEX(몬스터계수[[#Data],[근력게수]],MATCH(E251,몬스터계수[[#Data],[타입]],0),1)*C251,
IF(E251="회피형",INDEX(몬스터계수[[#Data],[근력게수]],MATCH(E251,몬스터계수[[#Data],[타입]],0),1)*C251,
IF(E251="체력형",INDEX(몬스터계수[[#Data],[근력게수]],MATCH(E251,몬스터계수[[#Data],[타입]],0),1)*C251,0))))</f>
        <v>620.75</v>
      </c>
      <c r="I251">
        <f>IF(E251="공격형",INDEX(몬스터계수[[#Data],[숙련도계수]],MATCH(E251,몬스터계수[[#Data],[타입]],0),1)*C251,
IF(E251="방어형",INDEX(몬스터계수[[#Data],[숙련도계수]],MATCH(E251,몬스터계수[[#Data],[타입]],0),1)*C251,
IF(E251="회피형",INDEX(몬스터계수[[#Data],[숙련도계수]],MATCH(E251,몬스터계수[[#Data],[타입]],0),1)*C251,
IF(E251="체력형",INDEX(몬스터계수[[#Data],[숙련도계수]],MATCH(E251,몬스터계수[[#Data],[타입]],0),1)*C251,0))))</f>
        <v>1862.25</v>
      </c>
      <c r="J251">
        <f>IF(E251="공격형",INDEX(몬스터계수[[#Data],[행운계수]],MATCH(E251, 몬스터계수[[#Data],[타입]],0),1)*C251,
IF(E251="방어형",INDEX(몬스터계수[[#Data],[행운계수]],MATCH(E251, 몬스터계수[[#Data],[타입]],0),1)*C251,
IF(E251="회피형",INDEX(몬스터계수[[#Data],[행운계수]],MATCH(E251, 몬스터계수[[#Data],[타입]],0),1)*C251,
IF(E251="체력형",INDEX(몬스터계수[[#Data],[행운계수]],MATCH(E251, 몬스터계수[[#Data],[타입]],0),1)*C251,0))))</f>
        <v>620.75</v>
      </c>
      <c r="K251" s="34">
        <f>ROUND(
(($F251)*참고!$D$5)
+(($G251)*참고!$D$6)
+(($H251)*참고!$D$7)
+(($I251)*참고!$D$8)
+(($J251))*참고!$D$9,0)</f>
        <v>96527</v>
      </c>
      <c r="L251" s="34">
        <f>ROUND(
(($F251)*참고!$E$5)
+(($G251)*참고!$E$6)
+(($H251)*참고!$E$7)
+(($I251)*참고!$E$8)
+(($J251))*참고!$E$9,0)</f>
        <v>55247</v>
      </c>
      <c r="M251" s="34">
        <f>ROUND(
(($F251)*참고!$F$5)
+(($G251)*참고!$F$6)
+(($H251)*참고!$F$7)
+(($I251)*참고!$F$8)
+(($J251))*참고!$F$9,0)</f>
        <v>15519</v>
      </c>
      <c r="N251" s="34">
        <f>ROUND(
(($F251)*참고!$G$5)
+(($G251)*참고!$G$6)
+(($H251)*참고!$G$7)
+(($I251)*참고!$G$8)
+(($J251))*참고!$G$9,0)</f>
        <v>435</v>
      </c>
      <c r="O251" s="34">
        <f>ROUND(
(($F251)*참고!$H$5)
+(($G251)*참고!$H$6)
+(($H251)*참고!$H$7)
+(($I251)*참고!$H$8)
+(($J251))*참고!$H$9,0)</f>
        <v>10242</v>
      </c>
      <c r="P251" s="34">
        <f>ROUND(
(($F251)*참고!$I$5)
+(($G251)*참고!$I$6)
+(($H251)*참고!$I$7)
+(($I251)*참고!$I$8)
+(($J251))*참고!$I$9,0)</f>
        <v>18002</v>
      </c>
      <c r="Q251" s="34">
        <f>ROUND(
(($F251)*참고!$J$5)
+(($G251)*참고!$J$6)
+(($H251)*참고!$J$7)
+(($I251)*참고!$J$8)
+(($J251))*참고!$J$9,0)</f>
        <v>12415</v>
      </c>
      <c r="R251" s="34">
        <f>IF(E251="공격형",(INDEX(몬스터계수[[#Data],[속도]],MATCH(E251, 몬스터계수[[#Data],[타입]],0),1)*속도핸들러_곱계수)*(INT(몬스터밸런스[[#This Row],[Lv]]/속도핸들러_합계수+1)),
IF(E251="방어형",(INDEX(몬스터계수[[#Data],[속도]],MATCH(E251, 몬스터계수[[#Data],[타입]],0),1)*속도핸들러_곱계수)*(INT(몬스터밸런스[[#This Row],[Lv]]/속도핸들러_합계수+1)),
IF(E251="회피형",(INDEX(몬스터계수[[#Data],[속도]],MATCH(E251, 몬스터계수[[#Data],[타입]],0),1)*속도핸들러_곱계수)*(INT(몬스터밸런스[[#This Row],[Lv]]/속도핸들러_합계수+1)),
IF(E251="기본형",(INDEX(몬스터계수[[#Data],[속도]],MATCH(E251, 몬스터계수[[#Data],[타입]],0),1)*속도핸들러_곱계수)*(INT(몬스터밸런스[[#This Row],[Lv]]/속도핸들러_합계수+1)),0))))</f>
        <v>0</v>
      </c>
      <c r="S251">
        <f t="shared" si="10"/>
        <v>3314107</v>
      </c>
      <c r="U251">
        <v>5</v>
      </c>
      <c r="V251">
        <v>249</v>
      </c>
      <c r="W251">
        <f>$Z$1*몬스터밸런스9[[#This Row],[단계]]</f>
        <v>25</v>
      </c>
      <c r="X251" t="s">
        <v>53</v>
      </c>
      <c r="AE251" s="34">
        <f>몬스터밸런스[[#This Row],[생명]]*0.2</f>
        <v>1241.5</v>
      </c>
      <c r="AF251" s="34"/>
      <c r="AG251" s="34">
        <f>몬스터밸런스[[#This Row],[Defense]]*0.1</f>
        <v>1551.9</v>
      </c>
      <c r="AH251" s="34"/>
      <c r="AI251" s="34">
        <f>몬스터밸런스[[#This Row],[CriticalDamage]]*0.2</f>
        <v>2048.4</v>
      </c>
      <c r="AJ251" s="34"/>
      <c r="AK251" s="34"/>
      <c r="AL251">
        <f t="shared" si="12"/>
        <v>55774.450000000004</v>
      </c>
    </row>
    <row r="252" spans="1:38">
      <c r="A252">
        <v>2490</v>
      </c>
      <c r="B252">
        <v>250</v>
      </c>
      <c r="C252">
        <f>$F$1*몬스터밸런스[[#This Row],[Lv]]+15</f>
        <v>12465</v>
      </c>
      <c r="E252" t="s">
        <v>479</v>
      </c>
      <c r="F252">
        <f>IF(E252="공격형",INDEX(몬스터계수[[#Data],[생명계수]],MATCH(E252,몬스터계수[[#Data],[타입]],0),1)*C252,
IF(E252="방어형",INDEX(몬스터계수[[#Data],[생명계수]],MATCH(E252,몬스터계수[[#Data],[타입]],0),1)*C252,
IF(E252="회피형",INDEX(몬스터계수[[#Data],[생명계수]],MATCH(E252,몬스터계수[[#Data],[타입]],0),1)*C252,
IF(E252="체력형",INDEX(몬스터계수[[#Data],[생명계수]],MATCH(E252,몬스터계수[[#Data],[타입]],0),1)*C252,0))))*IF(몬스터밸런스[[#This Row],[보스]]=TRUE,2,1)</f>
        <v>6232.5</v>
      </c>
      <c r="G252">
        <f>IF(E252="공격형",INDEX(몬스터계수[[#Data],[힘계수]],MATCH(E252, 몬스터계수[[#Data],[타입]],0),1)*C252,
IF(E252="방어형",INDEX(몬스터계수[[#Data],[힘계수]],MATCH(E252, 몬스터계수[[#Data],[타입]],0),1)*C252,
IF(E252="회피형",INDEX(몬스터계수[[#Data],[힘계수]],MATCH(E252, 몬스터계수[[#Data],[타입]],0),1)*C252,
IF(E252="체력형",INDEX(몬스터계수[[#Data],[힘계수]],MATCH(E252, 몬스터계수[[#Data],[타입]],0),1)*C252,0))))</f>
        <v>3116.25</v>
      </c>
      <c r="H252">
        <f>IF(E252="공격형",INDEX(몬스터계수[[#Data],[근력게수]],MATCH(E252,몬스터계수[[#Data],[타입]],0),1)*C252,
IF(E252="방어형",INDEX(몬스터계수[[#Data],[근력게수]],MATCH(E252,몬스터계수[[#Data],[타입]],0),1)*C252,
IF(E252="회피형",INDEX(몬스터계수[[#Data],[근력게수]],MATCH(E252,몬스터계수[[#Data],[타입]],0),1)*C252,
IF(E252="체력형",INDEX(몬스터계수[[#Data],[근력게수]],MATCH(E252,몬스터계수[[#Data],[타입]],0),1)*C252,0))))</f>
        <v>623.25</v>
      </c>
      <c r="I252">
        <f>IF(E252="공격형",INDEX(몬스터계수[[#Data],[숙련도계수]],MATCH(E252,몬스터계수[[#Data],[타입]],0),1)*C252,
IF(E252="방어형",INDEX(몬스터계수[[#Data],[숙련도계수]],MATCH(E252,몬스터계수[[#Data],[타입]],0),1)*C252,
IF(E252="회피형",INDEX(몬스터계수[[#Data],[숙련도계수]],MATCH(E252,몬스터계수[[#Data],[타입]],0),1)*C252,
IF(E252="체력형",INDEX(몬스터계수[[#Data],[숙련도계수]],MATCH(E252,몬스터계수[[#Data],[타입]],0),1)*C252,0))))</f>
        <v>1869.75</v>
      </c>
      <c r="J252">
        <f>IF(E252="공격형",INDEX(몬스터계수[[#Data],[행운계수]],MATCH(E252, 몬스터계수[[#Data],[타입]],0),1)*C252,
IF(E252="방어형",INDEX(몬스터계수[[#Data],[행운계수]],MATCH(E252, 몬스터계수[[#Data],[타입]],0),1)*C252,
IF(E252="회피형",INDEX(몬스터계수[[#Data],[행운계수]],MATCH(E252, 몬스터계수[[#Data],[타입]],0),1)*C252,
IF(E252="체력형",INDEX(몬스터계수[[#Data],[행운계수]],MATCH(E252, 몬스터계수[[#Data],[타입]],0),1)*C252,0))))</f>
        <v>623.25</v>
      </c>
      <c r="K252" s="34">
        <f>ROUND(
(($F252)*참고!$D$5)
+(($G252)*참고!$D$6)
+(($H252)*참고!$D$7)
+(($I252)*참고!$D$8)
+(($J252))*참고!$D$9,0)</f>
        <v>96915</v>
      </c>
      <c r="L252" s="34">
        <f>ROUND(
(($F252)*참고!$E$5)
+(($G252)*참고!$E$6)
+(($H252)*참고!$E$7)
+(($I252)*참고!$E$8)
+(($J252))*참고!$E$9,0)</f>
        <v>55469</v>
      </c>
      <c r="M252" s="34">
        <f>ROUND(
(($F252)*참고!$F$5)
+(($G252)*참고!$F$6)
+(($H252)*참고!$F$7)
+(($I252)*참고!$F$8)
+(($J252))*참고!$F$9,0)</f>
        <v>15581</v>
      </c>
      <c r="N252" s="34">
        <f>ROUND(
(($F252)*참고!$G$5)
+(($G252)*참고!$G$6)
+(($H252)*참고!$G$7)
+(($I252)*참고!$G$8)
+(($J252))*참고!$G$9,0)</f>
        <v>436</v>
      </c>
      <c r="O252" s="34">
        <f>ROUND(
(($F252)*참고!$H$5)
+(($G252)*참고!$H$6)
+(($H252)*참고!$H$7)
+(($I252)*참고!$H$8)
+(($J252))*참고!$H$9,0)</f>
        <v>10284</v>
      </c>
      <c r="P252" s="34">
        <f>ROUND(
(($F252)*참고!$I$5)
+(($G252)*참고!$I$6)
+(($H252)*참고!$I$7)
+(($I252)*참고!$I$8)
+(($J252))*참고!$I$9,0)</f>
        <v>18074</v>
      </c>
      <c r="Q252" s="34">
        <f>ROUND(
(($F252)*참고!$J$5)
+(($G252)*참고!$J$6)
+(($H252)*참고!$J$7)
+(($I252)*참고!$J$8)
+(($J252))*참고!$J$9,0)</f>
        <v>12465</v>
      </c>
      <c r="R252" s="34">
        <f>IF(E252="공격형",(INDEX(몬스터계수[[#Data],[속도]],MATCH(E252, 몬스터계수[[#Data],[타입]],0),1)*속도핸들러_곱계수)*(INT(몬스터밸런스[[#This Row],[Lv]]/속도핸들러_합계수+1)),
IF(E252="방어형",(INDEX(몬스터계수[[#Data],[속도]],MATCH(E252, 몬스터계수[[#Data],[타입]],0),1)*속도핸들러_곱계수)*(INT(몬스터밸런스[[#This Row],[Lv]]/속도핸들러_합계수+1)),
IF(E252="회피형",(INDEX(몬스터계수[[#Data],[속도]],MATCH(E252, 몬스터계수[[#Data],[타입]],0),1)*속도핸들러_곱계수)*(INT(몬스터밸런스[[#This Row],[Lv]]/속도핸들러_합계수+1)),
IF(E252="기본형",(INDEX(몬스터계수[[#Data],[속도]],MATCH(E252, 몬스터계수[[#Data],[타입]],0),1)*속도핸들러_곱계수)*(INT(몬스터밸런스[[#This Row],[Lv]]/속도핸들러_합계수+1)),0))))</f>
        <v>0</v>
      </c>
      <c r="S252">
        <f t="shared" si="10"/>
        <v>3327422.5</v>
      </c>
      <c r="U252">
        <v>5</v>
      </c>
      <c r="V252">
        <v>250</v>
      </c>
      <c r="W252">
        <f>$Z$1*몬스터밸런스9[[#This Row],[단계]]</f>
        <v>25</v>
      </c>
      <c r="X252" t="s">
        <v>53</v>
      </c>
      <c r="AE252" s="34">
        <f>몬스터밸런스[[#This Row],[생명]]*0.2</f>
        <v>1246.5</v>
      </c>
      <c r="AF252" s="34"/>
      <c r="AG252" s="34">
        <f>몬스터밸런스[[#This Row],[Defense]]*0.1</f>
        <v>1558.1000000000001</v>
      </c>
      <c r="AH252" s="34"/>
      <c r="AI252" s="34">
        <f>몬스터밸런스[[#This Row],[CriticalDamage]]*0.2</f>
        <v>2056.8000000000002</v>
      </c>
      <c r="AJ252" s="34"/>
      <c r="AK252" s="34"/>
      <c r="AL252">
        <f t="shared" si="12"/>
        <v>55998.950000000004</v>
      </c>
    </row>
    <row r="253" spans="1:38">
      <c r="A253">
        <v>2500</v>
      </c>
      <c r="B253">
        <v>251</v>
      </c>
      <c r="C253">
        <f>$F$1*몬스터밸런스[[#This Row],[Lv]]+15</f>
        <v>12515</v>
      </c>
      <c r="E253" t="s">
        <v>479</v>
      </c>
      <c r="F253">
        <f>IF(E253="공격형",INDEX(몬스터계수[[#Data],[생명계수]],MATCH(E253,몬스터계수[[#Data],[타입]],0),1)*C253,
IF(E253="방어형",INDEX(몬스터계수[[#Data],[생명계수]],MATCH(E253,몬스터계수[[#Data],[타입]],0),1)*C253,
IF(E253="회피형",INDEX(몬스터계수[[#Data],[생명계수]],MATCH(E253,몬스터계수[[#Data],[타입]],0),1)*C253,
IF(E253="체력형",INDEX(몬스터계수[[#Data],[생명계수]],MATCH(E253,몬스터계수[[#Data],[타입]],0),1)*C253,0))))*IF(몬스터밸런스[[#This Row],[보스]]=TRUE,2,1)</f>
        <v>6257.5</v>
      </c>
      <c r="G253">
        <f>IF(E253="공격형",INDEX(몬스터계수[[#Data],[힘계수]],MATCH(E253, 몬스터계수[[#Data],[타입]],0),1)*C253,
IF(E253="방어형",INDEX(몬스터계수[[#Data],[힘계수]],MATCH(E253, 몬스터계수[[#Data],[타입]],0),1)*C253,
IF(E253="회피형",INDEX(몬스터계수[[#Data],[힘계수]],MATCH(E253, 몬스터계수[[#Data],[타입]],0),1)*C253,
IF(E253="체력형",INDEX(몬스터계수[[#Data],[힘계수]],MATCH(E253, 몬스터계수[[#Data],[타입]],0),1)*C253,0))))</f>
        <v>3128.75</v>
      </c>
      <c r="H253">
        <f>IF(E253="공격형",INDEX(몬스터계수[[#Data],[근력게수]],MATCH(E253,몬스터계수[[#Data],[타입]],0),1)*C253,
IF(E253="방어형",INDEX(몬스터계수[[#Data],[근력게수]],MATCH(E253,몬스터계수[[#Data],[타입]],0),1)*C253,
IF(E253="회피형",INDEX(몬스터계수[[#Data],[근력게수]],MATCH(E253,몬스터계수[[#Data],[타입]],0),1)*C253,
IF(E253="체력형",INDEX(몬스터계수[[#Data],[근력게수]],MATCH(E253,몬스터계수[[#Data],[타입]],0),1)*C253,0))))</f>
        <v>625.75</v>
      </c>
      <c r="I253">
        <f>IF(E253="공격형",INDEX(몬스터계수[[#Data],[숙련도계수]],MATCH(E253,몬스터계수[[#Data],[타입]],0),1)*C253,
IF(E253="방어형",INDEX(몬스터계수[[#Data],[숙련도계수]],MATCH(E253,몬스터계수[[#Data],[타입]],0),1)*C253,
IF(E253="회피형",INDEX(몬스터계수[[#Data],[숙련도계수]],MATCH(E253,몬스터계수[[#Data],[타입]],0),1)*C253,
IF(E253="체력형",INDEX(몬스터계수[[#Data],[숙련도계수]],MATCH(E253,몬스터계수[[#Data],[타입]],0),1)*C253,0))))</f>
        <v>1877.25</v>
      </c>
      <c r="J253">
        <f>IF(E253="공격형",INDEX(몬스터계수[[#Data],[행운계수]],MATCH(E253, 몬스터계수[[#Data],[타입]],0),1)*C253,
IF(E253="방어형",INDEX(몬스터계수[[#Data],[행운계수]],MATCH(E253, 몬스터계수[[#Data],[타입]],0),1)*C253,
IF(E253="회피형",INDEX(몬스터계수[[#Data],[행운계수]],MATCH(E253, 몬스터계수[[#Data],[타입]],0),1)*C253,
IF(E253="체력형",INDEX(몬스터계수[[#Data],[행운계수]],MATCH(E253, 몬스터계수[[#Data],[타입]],0),1)*C253,0))))</f>
        <v>625.75</v>
      </c>
      <c r="K253" s="34">
        <f>ROUND(
(($F253)*참고!$D$5)
+(($G253)*참고!$D$6)
+(($H253)*참고!$D$7)
+(($I253)*참고!$D$8)
+(($J253))*참고!$D$9,0)</f>
        <v>97304</v>
      </c>
      <c r="L253" s="34">
        <f>ROUND(
(($F253)*참고!$E$5)
+(($G253)*참고!$E$6)
+(($H253)*참고!$E$7)
+(($I253)*참고!$E$8)
+(($J253))*참고!$E$9,0)</f>
        <v>55692</v>
      </c>
      <c r="M253" s="34">
        <f>ROUND(
(($F253)*참고!$F$5)
+(($G253)*참고!$F$6)
+(($H253)*참고!$F$7)
+(($I253)*참고!$F$8)
+(($J253))*참고!$F$9,0)</f>
        <v>15644</v>
      </c>
      <c r="N253" s="34">
        <f>ROUND(
(($F253)*참고!$G$5)
+(($G253)*참고!$G$6)
+(($H253)*참고!$G$7)
+(($I253)*참고!$G$8)
+(($J253))*참고!$G$9,0)</f>
        <v>438</v>
      </c>
      <c r="O253" s="34">
        <f>ROUND(
(($F253)*참고!$H$5)
+(($G253)*참고!$H$6)
+(($H253)*참고!$H$7)
+(($I253)*참고!$H$8)
+(($J253))*참고!$H$9,0)</f>
        <v>10325</v>
      </c>
      <c r="P253" s="34">
        <f>ROUND(
(($F253)*참고!$I$5)
+(($G253)*참고!$I$6)
+(($H253)*참고!$I$7)
+(($I253)*참고!$I$8)
+(($J253))*참고!$I$9,0)</f>
        <v>18147</v>
      </c>
      <c r="Q253" s="34">
        <f>ROUND(
(($F253)*참고!$J$5)
+(($G253)*참고!$J$6)
+(($H253)*참고!$J$7)
+(($I253)*참고!$J$8)
+(($J253))*참고!$J$9,0)</f>
        <v>12515</v>
      </c>
      <c r="R253" s="34">
        <f>IF(E253="공격형",(INDEX(몬스터계수[[#Data],[속도]],MATCH(E253, 몬스터계수[[#Data],[타입]],0),1)*속도핸들러_곱계수)*(INT(몬스터밸런스[[#This Row],[Lv]]/속도핸들러_합계수+1)),
IF(E253="방어형",(INDEX(몬스터계수[[#Data],[속도]],MATCH(E253, 몬스터계수[[#Data],[타입]],0),1)*속도핸들러_곱계수)*(INT(몬스터밸런스[[#This Row],[Lv]]/속도핸들러_합계수+1)),
IF(E253="회피형",(INDEX(몬스터계수[[#Data],[속도]],MATCH(E253, 몬스터계수[[#Data],[타입]],0),1)*속도핸들러_곱계수)*(INT(몬스터밸런스[[#This Row],[Lv]]/속도핸들러_합계수+1)),
IF(E253="기본형",(INDEX(몬스터계수[[#Data],[속도]],MATCH(E253, 몬스터계수[[#Data],[타입]],0),1)*속도핸들러_곱계수)*(INT(몬스터밸런스[[#This Row],[Lv]]/속도핸들러_합계수+1)),0))))</f>
        <v>0</v>
      </c>
      <c r="S253">
        <f t="shared" si="10"/>
        <v>3340794.5</v>
      </c>
      <c r="U253">
        <v>1</v>
      </c>
      <c r="V253">
        <v>251</v>
      </c>
      <c r="W253">
        <f>$Z$1*몬스터밸런스9[[#This Row],[단계]]</f>
        <v>5</v>
      </c>
      <c r="X253" t="s">
        <v>67</v>
      </c>
      <c r="AE253" s="34">
        <f>몬스터밸런스[[#This Row],[생명]]*0.1</f>
        <v>625.75</v>
      </c>
      <c r="AF253" s="34"/>
      <c r="AG253" s="34">
        <f>몬스터밸런스[[#This Row],[Defense]]*0.4</f>
        <v>6257.6</v>
      </c>
      <c r="AH253" s="34"/>
      <c r="AI253" s="34"/>
      <c r="AJ253" s="34"/>
      <c r="AK253" s="34"/>
    </row>
    <row r="254" spans="1:38">
      <c r="A254">
        <v>2510</v>
      </c>
      <c r="B254">
        <v>252</v>
      </c>
      <c r="C254">
        <f>$F$1*몬스터밸런스[[#This Row],[Lv]]+15</f>
        <v>12565</v>
      </c>
      <c r="E254" t="s">
        <v>479</v>
      </c>
      <c r="F254">
        <f>IF(E254="공격형",INDEX(몬스터계수[[#Data],[생명계수]],MATCH(E254,몬스터계수[[#Data],[타입]],0),1)*C254,
IF(E254="방어형",INDEX(몬스터계수[[#Data],[생명계수]],MATCH(E254,몬스터계수[[#Data],[타입]],0),1)*C254,
IF(E254="회피형",INDEX(몬스터계수[[#Data],[생명계수]],MATCH(E254,몬스터계수[[#Data],[타입]],0),1)*C254,
IF(E254="체력형",INDEX(몬스터계수[[#Data],[생명계수]],MATCH(E254,몬스터계수[[#Data],[타입]],0),1)*C254,0))))*IF(몬스터밸런스[[#This Row],[보스]]=TRUE,2,1)</f>
        <v>6282.5</v>
      </c>
      <c r="G254">
        <f>IF(E254="공격형",INDEX(몬스터계수[[#Data],[힘계수]],MATCH(E254, 몬스터계수[[#Data],[타입]],0),1)*C254,
IF(E254="방어형",INDEX(몬스터계수[[#Data],[힘계수]],MATCH(E254, 몬스터계수[[#Data],[타입]],0),1)*C254,
IF(E254="회피형",INDEX(몬스터계수[[#Data],[힘계수]],MATCH(E254, 몬스터계수[[#Data],[타입]],0),1)*C254,
IF(E254="체력형",INDEX(몬스터계수[[#Data],[힘계수]],MATCH(E254, 몬스터계수[[#Data],[타입]],0),1)*C254,0))))</f>
        <v>3141.25</v>
      </c>
      <c r="H254">
        <f>IF(E254="공격형",INDEX(몬스터계수[[#Data],[근력게수]],MATCH(E254,몬스터계수[[#Data],[타입]],0),1)*C254,
IF(E254="방어형",INDEX(몬스터계수[[#Data],[근력게수]],MATCH(E254,몬스터계수[[#Data],[타입]],0),1)*C254,
IF(E254="회피형",INDEX(몬스터계수[[#Data],[근력게수]],MATCH(E254,몬스터계수[[#Data],[타입]],0),1)*C254,
IF(E254="체력형",INDEX(몬스터계수[[#Data],[근력게수]],MATCH(E254,몬스터계수[[#Data],[타입]],0),1)*C254,0))))</f>
        <v>628.25</v>
      </c>
      <c r="I254">
        <f>IF(E254="공격형",INDEX(몬스터계수[[#Data],[숙련도계수]],MATCH(E254,몬스터계수[[#Data],[타입]],0),1)*C254,
IF(E254="방어형",INDEX(몬스터계수[[#Data],[숙련도계수]],MATCH(E254,몬스터계수[[#Data],[타입]],0),1)*C254,
IF(E254="회피형",INDEX(몬스터계수[[#Data],[숙련도계수]],MATCH(E254,몬스터계수[[#Data],[타입]],0),1)*C254,
IF(E254="체력형",INDEX(몬스터계수[[#Data],[숙련도계수]],MATCH(E254,몬스터계수[[#Data],[타입]],0),1)*C254,0))))</f>
        <v>1884.75</v>
      </c>
      <c r="J254">
        <f>IF(E254="공격형",INDEX(몬스터계수[[#Data],[행운계수]],MATCH(E254, 몬스터계수[[#Data],[타입]],0),1)*C254,
IF(E254="방어형",INDEX(몬스터계수[[#Data],[행운계수]],MATCH(E254, 몬스터계수[[#Data],[타입]],0),1)*C254,
IF(E254="회피형",INDEX(몬스터계수[[#Data],[행운계수]],MATCH(E254, 몬스터계수[[#Data],[타입]],0),1)*C254,
IF(E254="체력형",INDEX(몬스터계수[[#Data],[행운계수]],MATCH(E254, 몬스터계수[[#Data],[타입]],0),1)*C254,0))))</f>
        <v>628.25</v>
      </c>
      <c r="K254" s="34">
        <f>ROUND(
(($F254)*참고!$D$5)
+(($G254)*참고!$D$6)
+(($H254)*참고!$D$7)
+(($I254)*참고!$D$8)
+(($J254))*참고!$D$9,0)</f>
        <v>97693</v>
      </c>
      <c r="L254" s="34">
        <f>ROUND(
(($F254)*참고!$E$5)
+(($G254)*참고!$E$6)
+(($H254)*참고!$E$7)
+(($I254)*참고!$E$8)
+(($J254))*참고!$E$9,0)</f>
        <v>55914</v>
      </c>
      <c r="M254" s="34">
        <f>ROUND(
(($F254)*참고!$F$5)
+(($G254)*참고!$F$6)
+(($H254)*참고!$F$7)
+(($I254)*참고!$F$8)
+(($J254))*참고!$F$9,0)</f>
        <v>15706</v>
      </c>
      <c r="N254" s="34">
        <f>ROUND(
(($F254)*참고!$G$5)
+(($G254)*참고!$G$6)
+(($H254)*참고!$G$7)
+(($I254)*참고!$G$8)
+(($J254))*참고!$G$9,0)</f>
        <v>440</v>
      </c>
      <c r="O254" s="34">
        <f>ROUND(
(($F254)*참고!$H$5)
+(($G254)*참고!$H$6)
+(($H254)*참고!$H$7)
+(($I254)*참고!$H$8)
+(($J254))*참고!$H$9,0)</f>
        <v>10366</v>
      </c>
      <c r="P254" s="34">
        <f>ROUND(
(($F254)*참고!$I$5)
+(($G254)*참고!$I$6)
+(($H254)*참고!$I$7)
+(($I254)*참고!$I$8)
+(($J254))*참고!$I$9,0)</f>
        <v>18219</v>
      </c>
      <c r="Q254" s="34">
        <f>ROUND(
(($F254)*참고!$J$5)
+(($G254)*참고!$J$6)
+(($H254)*참고!$J$7)
+(($I254)*참고!$J$8)
+(($J254))*참고!$J$9,0)</f>
        <v>12565</v>
      </c>
      <c r="R254" s="34">
        <f>IF(E254="공격형",(INDEX(몬스터계수[[#Data],[속도]],MATCH(E254, 몬스터계수[[#Data],[타입]],0),1)*속도핸들러_곱계수)*(INT(몬스터밸런스[[#This Row],[Lv]]/속도핸들러_합계수+1)),
IF(E254="방어형",(INDEX(몬스터계수[[#Data],[속도]],MATCH(E254, 몬스터계수[[#Data],[타입]],0),1)*속도핸들러_곱계수)*(INT(몬스터밸런스[[#This Row],[Lv]]/속도핸들러_합계수+1)),
IF(E254="회피형",(INDEX(몬스터계수[[#Data],[속도]],MATCH(E254, 몬스터계수[[#Data],[타입]],0),1)*속도핸들러_곱계수)*(INT(몬스터밸런스[[#This Row],[Lv]]/속도핸들러_합계수+1)),
IF(E254="기본형",(INDEX(몬스터계수[[#Data],[속도]],MATCH(E254, 몬스터계수[[#Data],[타입]],0),1)*속도핸들러_곱계수)*(INT(몬스터밸런스[[#This Row],[Lv]]/속도핸들러_합계수+1)),0))))</f>
        <v>0</v>
      </c>
      <c r="S254">
        <f t="shared" si="10"/>
        <v>3354123.5</v>
      </c>
      <c r="U254">
        <v>1</v>
      </c>
      <c r="V254">
        <v>252</v>
      </c>
      <c r="W254">
        <f>$Z$1*몬스터밸런스9[[#This Row],[단계]]</f>
        <v>5</v>
      </c>
      <c r="X254" t="s">
        <v>67</v>
      </c>
      <c r="AE254" s="34">
        <f>몬스터밸런스[[#This Row],[생명]]*0.1</f>
        <v>628.25</v>
      </c>
      <c r="AF254" s="34"/>
      <c r="AG254" s="34">
        <f>몬스터밸런스[[#This Row],[Defense]]*0.4</f>
        <v>6282.4000000000005</v>
      </c>
      <c r="AH254" s="34"/>
      <c r="AI254" s="34"/>
      <c r="AJ254" s="34"/>
      <c r="AK254" s="34"/>
    </row>
    <row r="255" spans="1:38">
      <c r="A255">
        <v>2520</v>
      </c>
      <c r="B255">
        <v>253</v>
      </c>
      <c r="C255">
        <f>$F$1*몬스터밸런스[[#This Row],[Lv]]+15</f>
        <v>12615</v>
      </c>
      <c r="E255" t="s">
        <v>479</v>
      </c>
      <c r="F255">
        <f>IF(E255="공격형",INDEX(몬스터계수[[#Data],[생명계수]],MATCH(E255,몬스터계수[[#Data],[타입]],0),1)*C255,
IF(E255="방어형",INDEX(몬스터계수[[#Data],[생명계수]],MATCH(E255,몬스터계수[[#Data],[타입]],0),1)*C255,
IF(E255="회피형",INDEX(몬스터계수[[#Data],[생명계수]],MATCH(E255,몬스터계수[[#Data],[타입]],0),1)*C255,
IF(E255="체력형",INDEX(몬스터계수[[#Data],[생명계수]],MATCH(E255,몬스터계수[[#Data],[타입]],0),1)*C255,0))))*IF(몬스터밸런스[[#This Row],[보스]]=TRUE,2,1)</f>
        <v>6307.5</v>
      </c>
      <c r="G255">
        <f>IF(E255="공격형",INDEX(몬스터계수[[#Data],[힘계수]],MATCH(E255, 몬스터계수[[#Data],[타입]],0),1)*C255,
IF(E255="방어형",INDEX(몬스터계수[[#Data],[힘계수]],MATCH(E255, 몬스터계수[[#Data],[타입]],0),1)*C255,
IF(E255="회피형",INDEX(몬스터계수[[#Data],[힘계수]],MATCH(E255, 몬스터계수[[#Data],[타입]],0),1)*C255,
IF(E255="체력형",INDEX(몬스터계수[[#Data],[힘계수]],MATCH(E255, 몬스터계수[[#Data],[타입]],0),1)*C255,0))))</f>
        <v>3153.75</v>
      </c>
      <c r="H255">
        <f>IF(E255="공격형",INDEX(몬스터계수[[#Data],[근력게수]],MATCH(E255,몬스터계수[[#Data],[타입]],0),1)*C255,
IF(E255="방어형",INDEX(몬스터계수[[#Data],[근력게수]],MATCH(E255,몬스터계수[[#Data],[타입]],0),1)*C255,
IF(E255="회피형",INDEX(몬스터계수[[#Data],[근력게수]],MATCH(E255,몬스터계수[[#Data],[타입]],0),1)*C255,
IF(E255="체력형",INDEX(몬스터계수[[#Data],[근력게수]],MATCH(E255,몬스터계수[[#Data],[타입]],0),1)*C255,0))))</f>
        <v>630.75</v>
      </c>
      <c r="I255">
        <f>IF(E255="공격형",INDEX(몬스터계수[[#Data],[숙련도계수]],MATCH(E255,몬스터계수[[#Data],[타입]],0),1)*C255,
IF(E255="방어형",INDEX(몬스터계수[[#Data],[숙련도계수]],MATCH(E255,몬스터계수[[#Data],[타입]],0),1)*C255,
IF(E255="회피형",INDEX(몬스터계수[[#Data],[숙련도계수]],MATCH(E255,몬스터계수[[#Data],[타입]],0),1)*C255,
IF(E255="체력형",INDEX(몬스터계수[[#Data],[숙련도계수]],MATCH(E255,몬스터계수[[#Data],[타입]],0),1)*C255,0))))</f>
        <v>1892.25</v>
      </c>
      <c r="J255">
        <f>IF(E255="공격형",INDEX(몬스터계수[[#Data],[행운계수]],MATCH(E255, 몬스터계수[[#Data],[타입]],0),1)*C255,
IF(E255="방어형",INDEX(몬스터계수[[#Data],[행운계수]],MATCH(E255, 몬스터계수[[#Data],[타입]],0),1)*C255,
IF(E255="회피형",INDEX(몬스터계수[[#Data],[행운계수]],MATCH(E255, 몬스터계수[[#Data],[타입]],0),1)*C255,
IF(E255="체력형",INDEX(몬스터계수[[#Data],[행운계수]],MATCH(E255, 몬스터계수[[#Data],[타입]],0),1)*C255,0))))</f>
        <v>630.75</v>
      </c>
      <c r="K255" s="34">
        <f>ROUND(
(($F255)*참고!$D$5)
+(($G255)*참고!$D$6)
+(($H255)*참고!$D$7)
+(($I255)*참고!$D$8)
+(($J255))*참고!$D$9,0)</f>
        <v>98082</v>
      </c>
      <c r="L255" s="34">
        <f>ROUND(
(($F255)*참고!$E$5)
+(($G255)*참고!$E$6)
+(($H255)*참고!$E$7)
+(($I255)*참고!$E$8)
+(($J255))*참고!$E$9,0)</f>
        <v>56137</v>
      </c>
      <c r="M255" s="34">
        <f>ROUND(
(($F255)*참고!$F$5)
+(($G255)*참고!$F$6)
+(($H255)*참고!$F$7)
+(($I255)*참고!$F$8)
+(($J255))*참고!$F$9,0)</f>
        <v>15769</v>
      </c>
      <c r="N255" s="34">
        <f>ROUND(
(($F255)*참고!$G$5)
+(($G255)*참고!$G$6)
+(($H255)*참고!$G$7)
+(($I255)*참고!$G$8)
+(($J255))*참고!$G$9,0)</f>
        <v>442</v>
      </c>
      <c r="O255" s="34">
        <f>ROUND(
(($F255)*참고!$H$5)
+(($G255)*참고!$H$6)
+(($H255)*참고!$H$7)
+(($I255)*참고!$H$8)
+(($J255))*참고!$H$9,0)</f>
        <v>10407</v>
      </c>
      <c r="P255" s="34">
        <f>ROUND(
(($F255)*참고!$I$5)
+(($G255)*참고!$I$6)
+(($H255)*참고!$I$7)
+(($I255)*참고!$I$8)
+(($J255))*참고!$I$9,0)</f>
        <v>18292</v>
      </c>
      <c r="Q255" s="34">
        <f>ROUND(
(($F255)*참고!$J$5)
+(($G255)*참고!$J$6)
+(($H255)*참고!$J$7)
+(($I255)*참고!$J$8)
+(($J255))*참고!$J$9,0)</f>
        <v>12615</v>
      </c>
      <c r="R255" s="34">
        <f>IF(E255="공격형",(INDEX(몬스터계수[[#Data],[속도]],MATCH(E255, 몬스터계수[[#Data],[타입]],0),1)*속도핸들러_곱계수)*(INT(몬스터밸런스[[#This Row],[Lv]]/속도핸들러_합계수+1)),
IF(E255="방어형",(INDEX(몬스터계수[[#Data],[속도]],MATCH(E255, 몬스터계수[[#Data],[타입]],0),1)*속도핸들러_곱계수)*(INT(몬스터밸런스[[#This Row],[Lv]]/속도핸들러_합계수+1)),
IF(E255="회피형",(INDEX(몬스터계수[[#Data],[속도]],MATCH(E255, 몬스터계수[[#Data],[타입]],0),1)*속도핸들러_곱계수)*(INT(몬스터밸런스[[#This Row],[Lv]]/속도핸들러_합계수+1)),
IF(E255="기본형",(INDEX(몬스터계수[[#Data],[속도]],MATCH(E255, 몬스터계수[[#Data],[타입]],0),1)*속도핸들러_곱계수)*(INT(몬스터밸런스[[#This Row],[Lv]]/속도핸들러_합계수+1)),0))))</f>
        <v>0</v>
      </c>
      <c r="S255">
        <f t="shared" si="10"/>
        <v>3367495.5</v>
      </c>
      <c r="U255">
        <v>1</v>
      </c>
      <c r="V255">
        <v>253</v>
      </c>
      <c r="W255">
        <f>$Z$1*몬스터밸런스9[[#This Row],[단계]]</f>
        <v>5</v>
      </c>
      <c r="X255" t="s">
        <v>67</v>
      </c>
      <c r="AE255" s="34">
        <f>몬스터밸런스[[#This Row],[생명]]*0.1</f>
        <v>630.75</v>
      </c>
      <c r="AF255" s="34"/>
      <c r="AG255" s="34">
        <f>몬스터밸런스[[#This Row],[Defense]]*0.4</f>
        <v>6307.6</v>
      </c>
      <c r="AH255" s="34"/>
      <c r="AI255" s="34"/>
      <c r="AJ255" s="34"/>
      <c r="AK255" s="34"/>
    </row>
    <row r="256" spans="1:38">
      <c r="A256">
        <v>2530</v>
      </c>
      <c r="B256">
        <v>254</v>
      </c>
      <c r="C256">
        <f>$F$1*몬스터밸런스[[#This Row],[Lv]]+15</f>
        <v>12665</v>
      </c>
      <c r="E256" t="s">
        <v>479</v>
      </c>
      <c r="F256">
        <f>IF(E256="공격형",INDEX(몬스터계수[[#Data],[생명계수]],MATCH(E256,몬스터계수[[#Data],[타입]],0),1)*C256,
IF(E256="방어형",INDEX(몬스터계수[[#Data],[생명계수]],MATCH(E256,몬스터계수[[#Data],[타입]],0),1)*C256,
IF(E256="회피형",INDEX(몬스터계수[[#Data],[생명계수]],MATCH(E256,몬스터계수[[#Data],[타입]],0),1)*C256,
IF(E256="체력형",INDEX(몬스터계수[[#Data],[생명계수]],MATCH(E256,몬스터계수[[#Data],[타입]],0),1)*C256,0))))*IF(몬스터밸런스[[#This Row],[보스]]=TRUE,2,1)</f>
        <v>6332.5</v>
      </c>
      <c r="G256">
        <f>IF(E256="공격형",INDEX(몬스터계수[[#Data],[힘계수]],MATCH(E256, 몬스터계수[[#Data],[타입]],0),1)*C256,
IF(E256="방어형",INDEX(몬스터계수[[#Data],[힘계수]],MATCH(E256, 몬스터계수[[#Data],[타입]],0),1)*C256,
IF(E256="회피형",INDEX(몬스터계수[[#Data],[힘계수]],MATCH(E256, 몬스터계수[[#Data],[타입]],0),1)*C256,
IF(E256="체력형",INDEX(몬스터계수[[#Data],[힘계수]],MATCH(E256, 몬스터계수[[#Data],[타입]],0),1)*C256,0))))</f>
        <v>3166.25</v>
      </c>
      <c r="H256">
        <f>IF(E256="공격형",INDEX(몬스터계수[[#Data],[근력게수]],MATCH(E256,몬스터계수[[#Data],[타입]],0),1)*C256,
IF(E256="방어형",INDEX(몬스터계수[[#Data],[근력게수]],MATCH(E256,몬스터계수[[#Data],[타입]],0),1)*C256,
IF(E256="회피형",INDEX(몬스터계수[[#Data],[근력게수]],MATCH(E256,몬스터계수[[#Data],[타입]],0),1)*C256,
IF(E256="체력형",INDEX(몬스터계수[[#Data],[근력게수]],MATCH(E256,몬스터계수[[#Data],[타입]],0),1)*C256,0))))</f>
        <v>633.25</v>
      </c>
      <c r="I256">
        <f>IF(E256="공격형",INDEX(몬스터계수[[#Data],[숙련도계수]],MATCH(E256,몬스터계수[[#Data],[타입]],0),1)*C256,
IF(E256="방어형",INDEX(몬스터계수[[#Data],[숙련도계수]],MATCH(E256,몬스터계수[[#Data],[타입]],0),1)*C256,
IF(E256="회피형",INDEX(몬스터계수[[#Data],[숙련도계수]],MATCH(E256,몬스터계수[[#Data],[타입]],0),1)*C256,
IF(E256="체력형",INDEX(몬스터계수[[#Data],[숙련도계수]],MATCH(E256,몬스터계수[[#Data],[타입]],0),1)*C256,0))))</f>
        <v>1899.75</v>
      </c>
      <c r="J256">
        <f>IF(E256="공격형",INDEX(몬스터계수[[#Data],[행운계수]],MATCH(E256, 몬스터계수[[#Data],[타입]],0),1)*C256,
IF(E256="방어형",INDEX(몬스터계수[[#Data],[행운계수]],MATCH(E256, 몬스터계수[[#Data],[타입]],0),1)*C256,
IF(E256="회피형",INDEX(몬스터계수[[#Data],[행운계수]],MATCH(E256, 몬스터계수[[#Data],[타입]],0),1)*C256,
IF(E256="체력형",INDEX(몬스터계수[[#Data],[행운계수]],MATCH(E256, 몬스터계수[[#Data],[타입]],0),1)*C256,0))))</f>
        <v>633.25</v>
      </c>
      <c r="K256" s="34">
        <f>ROUND(
(($F256)*참고!$D$5)
+(($G256)*참고!$D$6)
+(($H256)*참고!$D$7)
+(($I256)*참고!$D$8)
+(($J256))*참고!$D$9,0)</f>
        <v>98470</v>
      </c>
      <c r="L256" s="34">
        <f>ROUND(
(($F256)*참고!$E$5)
+(($G256)*참고!$E$6)
+(($H256)*참고!$E$7)
+(($I256)*참고!$E$8)
+(($J256))*참고!$E$9,0)</f>
        <v>56359</v>
      </c>
      <c r="M256" s="34">
        <f>ROUND(
(($F256)*참고!$F$5)
+(($G256)*참고!$F$6)
+(($H256)*참고!$F$7)
+(($I256)*참고!$F$8)
+(($J256))*참고!$F$9,0)</f>
        <v>15831</v>
      </c>
      <c r="N256" s="34">
        <f>ROUND(
(($F256)*참고!$G$5)
+(($G256)*참고!$G$6)
+(($H256)*참고!$G$7)
+(($I256)*참고!$G$8)
+(($J256))*참고!$G$9,0)</f>
        <v>443</v>
      </c>
      <c r="O256" s="34">
        <f>ROUND(
(($F256)*참고!$H$5)
+(($G256)*참고!$H$6)
+(($H256)*참고!$H$7)
+(($I256)*참고!$H$8)
+(($J256))*참고!$H$9,0)</f>
        <v>10449</v>
      </c>
      <c r="P256" s="34">
        <f>ROUND(
(($F256)*참고!$I$5)
+(($G256)*참고!$I$6)
+(($H256)*참고!$I$7)
+(($I256)*참고!$I$8)
+(($J256))*참고!$I$9,0)</f>
        <v>18364</v>
      </c>
      <c r="Q256" s="34">
        <f>ROUND(
(($F256)*참고!$J$5)
+(($G256)*참고!$J$6)
+(($H256)*참고!$J$7)
+(($I256)*참고!$J$8)
+(($J256))*참고!$J$9,0)</f>
        <v>12665</v>
      </c>
      <c r="R256" s="34">
        <f>IF(E256="공격형",(INDEX(몬스터계수[[#Data],[속도]],MATCH(E256, 몬스터계수[[#Data],[타입]],0),1)*속도핸들러_곱계수)*(INT(몬스터밸런스[[#This Row],[Lv]]/속도핸들러_합계수+1)),
IF(E256="방어형",(INDEX(몬스터계수[[#Data],[속도]],MATCH(E256, 몬스터계수[[#Data],[타입]],0),1)*속도핸들러_곱계수)*(INT(몬스터밸런스[[#This Row],[Lv]]/속도핸들러_합계수+1)),
IF(E256="회피형",(INDEX(몬스터계수[[#Data],[속도]],MATCH(E256, 몬스터계수[[#Data],[타입]],0),1)*속도핸들러_곱계수)*(INT(몬스터밸런스[[#This Row],[Lv]]/속도핸들러_합계수+1)),
IF(E256="기본형",(INDEX(몬스터계수[[#Data],[속도]],MATCH(E256, 몬스터계수[[#Data],[타입]],0),1)*속도핸들러_곱계수)*(INT(몬스터밸런스[[#This Row],[Lv]]/속도핸들러_합계수+1)),0))))</f>
        <v>0</v>
      </c>
      <c r="S256">
        <f t="shared" si="10"/>
        <v>3380811</v>
      </c>
      <c r="U256">
        <v>1</v>
      </c>
      <c r="V256">
        <v>254</v>
      </c>
      <c r="W256">
        <f>$Z$1*몬스터밸런스9[[#This Row],[단계]]</f>
        <v>5</v>
      </c>
      <c r="X256" t="s">
        <v>67</v>
      </c>
      <c r="AE256" s="34">
        <f>몬스터밸런스[[#This Row],[생명]]*0.1</f>
        <v>633.25</v>
      </c>
      <c r="AF256" s="34"/>
      <c r="AG256" s="34">
        <f>몬스터밸런스[[#This Row],[Defense]]*0.4</f>
        <v>6332.4000000000005</v>
      </c>
      <c r="AH256" s="34"/>
      <c r="AI256" s="34"/>
      <c r="AJ256" s="34"/>
      <c r="AK256" s="34"/>
    </row>
    <row r="257" spans="1:37">
      <c r="A257">
        <v>2540</v>
      </c>
      <c r="B257">
        <v>255</v>
      </c>
      <c r="C257">
        <f>$F$1*몬스터밸런스[[#This Row],[Lv]]+15</f>
        <v>12715</v>
      </c>
      <c r="E257" t="s">
        <v>479</v>
      </c>
      <c r="F257">
        <f>IF(E257="공격형",INDEX(몬스터계수[[#Data],[생명계수]],MATCH(E257,몬스터계수[[#Data],[타입]],0),1)*C257,
IF(E257="방어형",INDEX(몬스터계수[[#Data],[생명계수]],MATCH(E257,몬스터계수[[#Data],[타입]],0),1)*C257,
IF(E257="회피형",INDEX(몬스터계수[[#Data],[생명계수]],MATCH(E257,몬스터계수[[#Data],[타입]],0),1)*C257,
IF(E257="체력형",INDEX(몬스터계수[[#Data],[생명계수]],MATCH(E257,몬스터계수[[#Data],[타입]],0),1)*C257,0))))*IF(몬스터밸런스[[#This Row],[보스]]=TRUE,2,1)</f>
        <v>6357.5</v>
      </c>
      <c r="G257">
        <f>IF(E257="공격형",INDEX(몬스터계수[[#Data],[힘계수]],MATCH(E257, 몬스터계수[[#Data],[타입]],0),1)*C257,
IF(E257="방어형",INDEX(몬스터계수[[#Data],[힘계수]],MATCH(E257, 몬스터계수[[#Data],[타입]],0),1)*C257,
IF(E257="회피형",INDEX(몬스터계수[[#Data],[힘계수]],MATCH(E257, 몬스터계수[[#Data],[타입]],0),1)*C257,
IF(E257="체력형",INDEX(몬스터계수[[#Data],[힘계수]],MATCH(E257, 몬스터계수[[#Data],[타입]],0),1)*C257,0))))</f>
        <v>3178.75</v>
      </c>
      <c r="H257">
        <f>IF(E257="공격형",INDEX(몬스터계수[[#Data],[근력게수]],MATCH(E257,몬스터계수[[#Data],[타입]],0),1)*C257,
IF(E257="방어형",INDEX(몬스터계수[[#Data],[근력게수]],MATCH(E257,몬스터계수[[#Data],[타입]],0),1)*C257,
IF(E257="회피형",INDEX(몬스터계수[[#Data],[근력게수]],MATCH(E257,몬스터계수[[#Data],[타입]],0),1)*C257,
IF(E257="체력형",INDEX(몬스터계수[[#Data],[근력게수]],MATCH(E257,몬스터계수[[#Data],[타입]],0),1)*C257,0))))</f>
        <v>635.75</v>
      </c>
      <c r="I257">
        <f>IF(E257="공격형",INDEX(몬스터계수[[#Data],[숙련도계수]],MATCH(E257,몬스터계수[[#Data],[타입]],0),1)*C257,
IF(E257="방어형",INDEX(몬스터계수[[#Data],[숙련도계수]],MATCH(E257,몬스터계수[[#Data],[타입]],0),1)*C257,
IF(E257="회피형",INDEX(몬스터계수[[#Data],[숙련도계수]],MATCH(E257,몬스터계수[[#Data],[타입]],0),1)*C257,
IF(E257="체력형",INDEX(몬스터계수[[#Data],[숙련도계수]],MATCH(E257,몬스터계수[[#Data],[타입]],0),1)*C257,0))))</f>
        <v>1907.25</v>
      </c>
      <c r="J257">
        <f>IF(E257="공격형",INDEX(몬스터계수[[#Data],[행운계수]],MATCH(E257, 몬스터계수[[#Data],[타입]],0),1)*C257,
IF(E257="방어형",INDEX(몬스터계수[[#Data],[행운계수]],MATCH(E257, 몬스터계수[[#Data],[타입]],0),1)*C257,
IF(E257="회피형",INDEX(몬스터계수[[#Data],[행운계수]],MATCH(E257, 몬스터계수[[#Data],[타입]],0),1)*C257,
IF(E257="체력형",INDEX(몬스터계수[[#Data],[행운계수]],MATCH(E257, 몬스터계수[[#Data],[타입]],0),1)*C257,0))))</f>
        <v>635.75</v>
      </c>
      <c r="K257" s="34">
        <f>ROUND(
(($F257)*참고!$D$5)
+(($G257)*참고!$D$6)
+(($H257)*참고!$D$7)
+(($I257)*참고!$D$8)
+(($J257))*참고!$D$9,0)</f>
        <v>98859</v>
      </c>
      <c r="L257" s="34">
        <f>ROUND(
(($F257)*참고!$E$5)
+(($G257)*참고!$E$6)
+(($H257)*참고!$E$7)
+(($I257)*참고!$E$8)
+(($J257))*참고!$E$9,0)</f>
        <v>56582</v>
      </c>
      <c r="M257" s="34">
        <f>ROUND(
(($F257)*참고!$F$5)
+(($G257)*참고!$F$6)
+(($H257)*참고!$F$7)
+(($I257)*참고!$F$8)
+(($J257))*참고!$F$9,0)</f>
        <v>15894</v>
      </c>
      <c r="N257" s="34">
        <f>ROUND(
(($F257)*참고!$G$5)
+(($G257)*참고!$G$6)
+(($H257)*참고!$G$7)
+(($I257)*참고!$G$8)
+(($J257))*참고!$G$9,0)</f>
        <v>445</v>
      </c>
      <c r="O257" s="34">
        <f>ROUND(
(($F257)*참고!$H$5)
+(($G257)*참고!$H$6)
+(($H257)*참고!$H$7)
+(($I257)*참고!$H$8)
+(($J257))*참고!$H$9,0)</f>
        <v>10490</v>
      </c>
      <c r="P257" s="34">
        <f>ROUND(
(($F257)*참고!$I$5)
+(($G257)*참고!$I$6)
+(($H257)*참고!$I$7)
+(($I257)*참고!$I$8)
+(($J257))*참고!$I$9,0)</f>
        <v>18437</v>
      </c>
      <c r="Q257" s="34">
        <f>ROUND(
(($F257)*참고!$J$5)
+(($G257)*참고!$J$6)
+(($H257)*참고!$J$7)
+(($I257)*참고!$J$8)
+(($J257))*참고!$J$9,0)</f>
        <v>12715</v>
      </c>
      <c r="R257" s="34">
        <f>IF(E257="공격형",(INDEX(몬스터계수[[#Data],[속도]],MATCH(E257, 몬스터계수[[#Data],[타입]],0),1)*속도핸들러_곱계수)*(INT(몬스터밸런스[[#This Row],[Lv]]/속도핸들러_합계수+1)),
IF(E257="방어형",(INDEX(몬스터계수[[#Data],[속도]],MATCH(E257, 몬스터계수[[#Data],[타입]],0),1)*속도핸들러_곱계수)*(INT(몬스터밸런스[[#This Row],[Lv]]/속도핸들러_합계수+1)),
IF(E257="회피형",(INDEX(몬스터계수[[#Data],[속도]],MATCH(E257, 몬스터계수[[#Data],[타입]],0),1)*속도핸들러_곱계수)*(INT(몬스터밸런스[[#This Row],[Lv]]/속도핸들러_합계수+1)),
IF(E257="기본형",(INDEX(몬스터계수[[#Data],[속도]],MATCH(E257, 몬스터계수[[#Data],[타입]],0),1)*속도핸들러_곱계수)*(INT(몬스터밸런스[[#This Row],[Lv]]/속도핸들러_합계수+1)),0))))</f>
        <v>0</v>
      </c>
      <c r="S257">
        <f t="shared" si="10"/>
        <v>3394183</v>
      </c>
      <c r="U257">
        <v>1</v>
      </c>
      <c r="V257">
        <v>255</v>
      </c>
      <c r="W257">
        <f>$Z$1*몬스터밸런스9[[#This Row],[단계]]</f>
        <v>5</v>
      </c>
      <c r="X257" t="s">
        <v>67</v>
      </c>
      <c r="AE257" s="34">
        <f>몬스터밸런스[[#This Row],[생명]]*0.1</f>
        <v>635.75</v>
      </c>
      <c r="AF257" s="34"/>
      <c r="AG257" s="34">
        <f>몬스터밸런스[[#This Row],[Defense]]*0.4</f>
        <v>6357.6</v>
      </c>
      <c r="AH257" s="34"/>
      <c r="AI257" s="34"/>
      <c r="AJ257" s="34"/>
      <c r="AK257" s="34"/>
    </row>
    <row r="258" spans="1:37">
      <c r="A258">
        <v>2550</v>
      </c>
      <c r="B258">
        <v>256</v>
      </c>
      <c r="C258">
        <f>$F$1*몬스터밸런스[[#This Row],[Lv]]+15</f>
        <v>12765</v>
      </c>
      <c r="E258" t="s">
        <v>479</v>
      </c>
      <c r="F258">
        <f>IF(E258="공격형",INDEX(몬스터계수[[#Data],[생명계수]],MATCH(E258,몬스터계수[[#Data],[타입]],0),1)*C258,
IF(E258="방어형",INDEX(몬스터계수[[#Data],[생명계수]],MATCH(E258,몬스터계수[[#Data],[타입]],0),1)*C258,
IF(E258="회피형",INDEX(몬스터계수[[#Data],[생명계수]],MATCH(E258,몬스터계수[[#Data],[타입]],0),1)*C258,
IF(E258="체력형",INDEX(몬스터계수[[#Data],[생명계수]],MATCH(E258,몬스터계수[[#Data],[타입]],0),1)*C258,0))))*IF(몬스터밸런스[[#This Row],[보스]]=TRUE,2,1)</f>
        <v>6382.5</v>
      </c>
      <c r="G258">
        <f>IF(E258="공격형",INDEX(몬스터계수[[#Data],[힘계수]],MATCH(E258, 몬스터계수[[#Data],[타입]],0),1)*C258,
IF(E258="방어형",INDEX(몬스터계수[[#Data],[힘계수]],MATCH(E258, 몬스터계수[[#Data],[타입]],0),1)*C258,
IF(E258="회피형",INDEX(몬스터계수[[#Data],[힘계수]],MATCH(E258, 몬스터계수[[#Data],[타입]],0),1)*C258,
IF(E258="체력형",INDEX(몬스터계수[[#Data],[힘계수]],MATCH(E258, 몬스터계수[[#Data],[타입]],0),1)*C258,0))))</f>
        <v>3191.25</v>
      </c>
      <c r="H258">
        <f>IF(E258="공격형",INDEX(몬스터계수[[#Data],[근력게수]],MATCH(E258,몬스터계수[[#Data],[타입]],0),1)*C258,
IF(E258="방어형",INDEX(몬스터계수[[#Data],[근력게수]],MATCH(E258,몬스터계수[[#Data],[타입]],0),1)*C258,
IF(E258="회피형",INDEX(몬스터계수[[#Data],[근력게수]],MATCH(E258,몬스터계수[[#Data],[타입]],0),1)*C258,
IF(E258="체력형",INDEX(몬스터계수[[#Data],[근력게수]],MATCH(E258,몬스터계수[[#Data],[타입]],0),1)*C258,0))))</f>
        <v>638.25</v>
      </c>
      <c r="I258">
        <f>IF(E258="공격형",INDEX(몬스터계수[[#Data],[숙련도계수]],MATCH(E258,몬스터계수[[#Data],[타입]],0),1)*C258,
IF(E258="방어형",INDEX(몬스터계수[[#Data],[숙련도계수]],MATCH(E258,몬스터계수[[#Data],[타입]],0),1)*C258,
IF(E258="회피형",INDEX(몬스터계수[[#Data],[숙련도계수]],MATCH(E258,몬스터계수[[#Data],[타입]],0),1)*C258,
IF(E258="체력형",INDEX(몬스터계수[[#Data],[숙련도계수]],MATCH(E258,몬스터계수[[#Data],[타입]],0),1)*C258,0))))</f>
        <v>1914.75</v>
      </c>
      <c r="J258">
        <f>IF(E258="공격형",INDEX(몬스터계수[[#Data],[행운계수]],MATCH(E258, 몬스터계수[[#Data],[타입]],0),1)*C258,
IF(E258="방어형",INDEX(몬스터계수[[#Data],[행운계수]],MATCH(E258, 몬스터계수[[#Data],[타입]],0),1)*C258,
IF(E258="회피형",INDEX(몬스터계수[[#Data],[행운계수]],MATCH(E258, 몬스터계수[[#Data],[타입]],0),1)*C258,
IF(E258="체력형",INDEX(몬스터계수[[#Data],[행운계수]],MATCH(E258, 몬스터계수[[#Data],[타입]],0),1)*C258,0))))</f>
        <v>638.25</v>
      </c>
      <c r="K258" s="34">
        <f>ROUND(
(($F258)*참고!$D$5)
+(($G258)*참고!$D$6)
+(($H258)*참고!$D$7)
+(($I258)*참고!$D$8)
+(($J258))*참고!$D$9,0)</f>
        <v>99248</v>
      </c>
      <c r="L258" s="34">
        <f>ROUND(
(($F258)*참고!$E$5)
+(($G258)*참고!$E$6)
+(($H258)*참고!$E$7)
+(($I258)*참고!$E$8)
+(($J258))*참고!$E$9,0)</f>
        <v>56804</v>
      </c>
      <c r="M258" s="34">
        <f>ROUND(
(($F258)*참고!$F$5)
+(($G258)*참고!$F$6)
+(($H258)*참고!$F$7)
+(($I258)*참고!$F$8)
+(($J258))*참고!$F$9,0)</f>
        <v>15956</v>
      </c>
      <c r="N258" s="34">
        <f>ROUND(
(($F258)*참고!$G$5)
+(($G258)*참고!$G$6)
+(($H258)*참고!$G$7)
+(($I258)*참고!$G$8)
+(($J258))*참고!$G$9,0)</f>
        <v>447</v>
      </c>
      <c r="O258" s="34">
        <f>ROUND(
(($F258)*참고!$H$5)
+(($G258)*참고!$H$6)
+(($H258)*참고!$H$7)
+(($I258)*참고!$H$8)
+(($J258))*참고!$H$9,0)</f>
        <v>10531</v>
      </c>
      <c r="P258" s="34">
        <f>ROUND(
(($F258)*참고!$I$5)
+(($G258)*참고!$I$6)
+(($H258)*참고!$I$7)
+(($I258)*참고!$I$8)
+(($J258))*참고!$I$9,0)</f>
        <v>18509</v>
      </c>
      <c r="Q258" s="34">
        <f>ROUND(
(($F258)*참고!$J$5)
+(($G258)*참고!$J$6)
+(($H258)*참고!$J$7)
+(($I258)*참고!$J$8)
+(($J258))*참고!$J$9,0)</f>
        <v>12765</v>
      </c>
      <c r="R258" s="34">
        <f>IF(E258="공격형",(INDEX(몬스터계수[[#Data],[속도]],MATCH(E258, 몬스터계수[[#Data],[타입]],0),1)*속도핸들러_곱계수)*(INT(몬스터밸런스[[#This Row],[Lv]]/속도핸들러_합계수+1)),
IF(E258="방어형",(INDEX(몬스터계수[[#Data],[속도]],MATCH(E258, 몬스터계수[[#Data],[타입]],0),1)*속도핸들러_곱계수)*(INT(몬스터밸런스[[#This Row],[Lv]]/속도핸들러_합계수+1)),
IF(E258="회피형",(INDEX(몬스터계수[[#Data],[속도]],MATCH(E258, 몬스터계수[[#Data],[타입]],0),1)*속도핸들러_곱계수)*(INT(몬스터밸런스[[#This Row],[Lv]]/속도핸들러_합계수+1)),
IF(E258="기본형",(INDEX(몬스터계수[[#Data],[속도]],MATCH(E258, 몬스터계수[[#Data],[타입]],0),1)*속도핸들러_곱계수)*(INT(몬스터밸런스[[#This Row],[Lv]]/속도핸들러_합계수+1)),0))))</f>
        <v>0</v>
      </c>
      <c r="S258">
        <f t="shared" si="10"/>
        <v>3407512</v>
      </c>
      <c r="U258">
        <v>2</v>
      </c>
      <c r="V258">
        <v>256</v>
      </c>
      <c r="W258">
        <f>$Z$1*몬스터밸런스9[[#This Row],[단계]]</f>
        <v>10</v>
      </c>
      <c r="X258" t="s">
        <v>67</v>
      </c>
      <c r="AE258" s="34">
        <f>몬스터밸런스[[#This Row],[생명]]*0.1</f>
        <v>638.25</v>
      </c>
      <c r="AF258" s="34"/>
      <c r="AG258" s="34">
        <f>몬스터밸런스[[#This Row],[Defense]]*0.4</f>
        <v>6382.4000000000005</v>
      </c>
      <c r="AH258" s="34"/>
      <c r="AI258" s="34"/>
      <c r="AJ258" s="34"/>
      <c r="AK258" s="34"/>
    </row>
    <row r="259" spans="1:37">
      <c r="A259">
        <v>2560</v>
      </c>
      <c r="B259">
        <v>257</v>
      </c>
      <c r="C259">
        <f>$F$1*몬스터밸런스[[#This Row],[Lv]]+15</f>
        <v>12815</v>
      </c>
      <c r="E259" t="s">
        <v>479</v>
      </c>
      <c r="F259">
        <f>IF(E259="공격형",INDEX(몬스터계수[[#Data],[생명계수]],MATCH(E259,몬스터계수[[#Data],[타입]],0),1)*C259,
IF(E259="방어형",INDEX(몬스터계수[[#Data],[생명계수]],MATCH(E259,몬스터계수[[#Data],[타입]],0),1)*C259,
IF(E259="회피형",INDEX(몬스터계수[[#Data],[생명계수]],MATCH(E259,몬스터계수[[#Data],[타입]],0),1)*C259,
IF(E259="체력형",INDEX(몬스터계수[[#Data],[생명계수]],MATCH(E259,몬스터계수[[#Data],[타입]],0),1)*C259,0))))*IF(몬스터밸런스[[#This Row],[보스]]=TRUE,2,1)</f>
        <v>6407.5</v>
      </c>
      <c r="G259">
        <f>IF(E259="공격형",INDEX(몬스터계수[[#Data],[힘계수]],MATCH(E259, 몬스터계수[[#Data],[타입]],0),1)*C259,
IF(E259="방어형",INDEX(몬스터계수[[#Data],[힘계수]],MATCH(E259, 몬스터계수[[#Data],[타입]],0),1)*C259,
IF(E259="회피형",INDEX(몬스터계수[[#Data],[힘계수]],MATCH(E259, 몬스터계수[[#Data],[타입]],0),1)*C259,
IF(E259="체력형",INDEX(몬스터계수[[#Data],[힘계수]],MATCH(E259, 몬스터계수[[#Data],[타입]],0),1)*C259,0))))</f>
        <v>3203.75</v>
      </c>
      <c r="H259">
        <f>IF(E259="공격형",INDEX(몬스터계수[[#Data],[근력게수]],MATCH(E259,몬스터계수[[#Data],[타입]],0),1)*C259,
IF(E259="방어형",INDEX(몬스터계수[[#Data],[근력게수]],MATCH(E259,몬스터계수[[#Data],[타입]],0),1)*C259,
IF(E259="회피형",INDEX(몬스터계수[[#Data],[근력게수]],MATCH(E259,몬스터계수[[#Data],[타입]],0),1)*C259,
IF(E259="체력형",INDEX(몬스터계수[[#Data],[근력게수]],MATCH(E259,몬스터계수[[#Data],[타입]],0),1)*C259,0))))</f>
        <v>640.75</v>
      </c>
      <c r="I259">
        <f>IF(E259="공격형",INDEX(몬스터계수[[#Data],[숙련도계수]],MATCH(E259,몬스터계수[[#Data],[타입]],0),1)*C259,
IF(E259="방어형",INDEX(몬스터계수[[#Data],[숙련도계수]],MATCH(E259,몬스터계수[[#Data],[타입]],0),1)*C259,
IF(E259="회피형",INDEX(몬스터계수[[#Data],[숙련도계수]],MATCH(E259,몬스터계수[[#Data],[타입]],0),1)*C259,
IF(E259="체력형",INDEX(몬스터계수[[#Data],[숙련도계수]],MATCH(E259,몬스터계수[[#Data],[타입]],0),1)*C259,0))))</f>
        <v>1922.25</v>
      </c>
      <c r="J259">
        <f>IF(E259="공격형",INDEX(몬스터계수[[#Data],[행운계수]],MATCH(E259, 몬스터계수[[#Data],[타입]],0),1)*C259,
IF(E259="방어형",INDEX(몬스터계수[[#Data],[행운계수]],MATCH(E259, 몬스터계수[[#Data],[타입]],0),1)*C259,
IF(E259="회피형",INDEX(몬스터계수[[#Data],[행운계수]],MATCH(E259, 몬스터계수[[#Data],[타입]],0),1)*C259,
IF(E259="체력형",INDEX(몬스터계수[[#Data],[행운계수]],MATCH(E259, 몬스터계수[[#Data],[타입]],0),1)*C259,0))))</f>
        <v>640.75</v>
      </c>
      <c r="K259" s="34">
        <f>ROUND(
(($F259)*참고!$D$5)
+(($G259)*참고!$D$6)
+(($H259)*참고!$D$7)
+(($I259)*참고!$D$8)
+(($J259))*참고!$D$9,0)</f>
        <v>99637</v>
      </c>
      <c r="L259" s="34">
        <f>ROUND(
(($F259)*참고!$E$5)
+(($G259)*참고!$E$6)
+(($H259)*참고!$E$7)
+(($I259)*참고!$E$8)
+(($J259))*참고!$E$9,0)</f>
        <v>57027</v>
      </c>
      <c r="M259" s="34">
        <f>ROUND(
(($F259)*참고!$F$5)
+(($G259)*참고!$F$6)
+(($H259)*참고!$F$7)
+(($I259)*참고!$F$8)
+(($J259))*참고!$F$9,0)</f>
        <v>16019</v>
      </c>
      <c r="N259" s="34">
        <f>ROUND(
(($F259)*참고!$G$5)
+(($G259)*참고!$G$6)
+(($H259)*참고!$G$7)
+(($I259)*참고!$G$8)
+(($J259))*참고!$G$9,0)</f>
        <v>449</v>
      </c>
      <c r="O259" s="34">
        <f>ROUND(
(($F259)*참고!$H$5)
+(($G259)*참고!$H$6)
+(($H259)*참고!$H$7)
+(($I259)*참고!$H$8)
+(($J259))*참고!$H$9,0)</f>
        <v>10572</v>
      </c>
      <c r="P259" s="34">
        <f>ROUND(
(($F259)*참고!$I$5)
+(($G259)*참고!$I$6)
+(($H259)*참고!$I$7)
+(($I259)*참고!$I$8)
+(($J259))*참고!$I$9,0)</f>
        <v>18582</v>
      </c>
      <c r="Q259" s="34">
        <f>ROUND(
(($F259)*참고!$J$5)
+(($G259)*참고!$J$6)
+(($H259)*참고!$J$7)
+(($I259)*참고!$J$8)
+(($J259))*참고!$J$9,0)</f>
        <v>12815</v>
      </c>
      <c r="R259" s="34">
        <f>IF(E259="공격형",(INDEX(몬스터계수[[#Data],[속도]],MATCH(E259, 몬스터계수[[#Data],[타입]],0),1)*속도핸들러_곱계수)*(INT(몬스터밸런스[[#This Row],[Lv]]/속도핸들러_합계수+1)),
IF(E259="방어형",(INDEX(몬스터계수[[#Data],[속도]],MATCH(E259, 몬스터계수[[#Data],[타입]],0),1)*속도핸들러_곱계수)*(INT(몬스터밸런스[[#This Row],[Lv]]/속도핸들러_합계수+1)),
IF(E259="회피형",(INDEX(몬스터계수[[#Data],[속도]],MATCH(E259, 몬스터계수[[#Data],[타입]],0),1)*속도핸들러_곱계수)*(INT(몬스터밸런스[[#This Row],[Lv]]/속도핸들러_합계수+1)),
IF(E259="기본형",(INDEX(몬스터계수[[#Data],[속도]],MATCH(E259, 몬스터계수[[#Data],[타입]],0),1)*속도핸들러_곱계수)*(INT(몬스터밸런스[[#This Row],[Lv]]/속도핸들러_합계수+1)),0))))</f>
        <v>0</v>
      </c>
      <c r="S259">
        <f t="shared" ref="S259:S292" si="13">(K259*HP계수) + (L259*attack계수) + (M259*Defense계수) + (N259*CriticalRate계수) + (O259*CriticalDamage계수) + (P259*Accuracy계수) + (Q259*DodgeRate계수)</f>
        <v>3420884</v>
      </c>
      <c r="U259">
        <v>2</v>
      </c>
      <c r="V259">
        <v>257</v>
      </c>
      <c r="W259">
        <f>$Z$1*몬스터밸런스9[[#This Row],[단계]]</f>
        <v>10</v>
      </c>
      <c r="X259" t="s">
        <v>67</v>
      </c>
      <c r="AE259" s="34">
        <f>몬스터밸런스[[#This Row],[생명]]*0.1</f>
        <v>640.75</v>
      </c>
      <c r="AF259" s="34"/>
      <c r="AG259" s="34">
        <f>몬스터밸런스[[#This Row],[Defense]]*0.4</f>
        <v>6407.6</v>
      </c>
      <c r="AH259" s="34"/>
      <c r="AI259" s="34"/>
      <c r="AJ259" s="34"/>
      <c r="AK259" s="34"/>
    </row>
    <row r="260" spans="1:37">
      <c r="A260">
        <v>2570</v>
      </c>
      <c r="B260">
        <v>258</v>
      </c>
      <c r="C260">
        <f>$F$1*몬스터밸런스[[#This Row],[Lv]]+15</f>
        <v>12865</v>
      </c>
      <c r="E260" t="s">
        <v>479</v>
      </c>
      <c r="F260">
        <f>IF(E260="공격형",INDEX(몬스터계수[[#Data],[생명계수]],MATCH(E260,몬스터계수[[#Data],[타입]],0),1)*C260,
IF(E260="방어형",INDEX(몬스터계수[[#Data],[생명계수]],MATCH(E260,몬스터계수[[#Data],[타입]],0),1)*C260,
IF(E260="회피형",INDEX(몬스터계수[[#Data],[생명계수]],MATCH(E260,몬스터계수[[#Data],[타입]],0),1)*C260,
IF(E260="체력형",INDEX(몬스터계수[[#Data],[생명계수]],MATCH(E260,몬스터계수[[#Data],[타입]],0),1)*C260,0))))*IF(몬스터밸런스[[#This Row],[보스]]=TRUE,2,1)</f>
        <v>6432.5</v>
      </c>
      <c r="G260">
        <f>IF(E260="공격형",INDEX(몬스터계수[[#Data],[힘계수]],MATCH(E260, 몬스터계수[[#Data],[타입]],0),1)*C260,
IF(E260="방어형",INDEX(몬스터계수[[#Data],[힘계수]],MATCH(E260, 몬스터계수[[#Data],[타입]],0),1)*C260,
IF(E260="회피형",INDEX(몬스터계수[[#Data],[힘계수]],MATCH(E260, 몬스터계수[[#Data],[타입]],0),1)*C260,
IF(E260="체력형",INDEX(몬스터계수[[#Data],[힘계수]],MATCH(E260, 몬스터계수[[#Data],[타입]],0),1)*C260,0))))</f>
        <v>3216.25</v>
      </c>
      <c r="H260">
        <f>IF(E260="공격형",INDEX(몬스터계수[[#Data],[근력게수]],MATCH(E260,몬스터계수[[#Data],[타입]],0),1)*C260,
IF(E260="방어형",INDEX(몬스터계수[[#Data],[근력게수]],MATCH(E260,몬스터계수[[#Data],[타입]],0),1)*C260,
IF(E260="회피형",INDEX(몬스터계수[[#Data],[근력게수]],MATCH(E260,몬스터계수[[#Data],[타입]],0),1)*C260,
IF(E260="체력형",INDEX(몬스터계수[[#Data],[근력게수]],MATCH(E260,몬스터계수[[#Data],[타입]],0),1)*C260,0))))</f>
        <v>643.25</v>
      </c>
      <c r="I260">
        <f>IF(E260="공격형",INDEX(몬스터계수[[#Data],[숙련도계수]],MATCH(E260,몬스터계수[[#Data],[타입]],0),1)*C260,
IF(E260="방어형",INDEX(몬스터계수[[#Data],[숙련도계수]],MATCH(E260,몬스터계수[[#Data],[타입]],0),1)*C260,
IF(E260="회피형",INDEX(몬스터계수[[#Data],[숙련도계수]],MATCH(E260,몬스터계수[[#Data],[타입]],0),1)*C260,
IF(E260="체력형",INDEX(몬스터계수[[#Data],[숙련도계수]],MATCH(E260,몬스터계수[[#Data],[타입]],0),1)*C260,0))))</f>
        <v>1929.75</v>
      </c>
      <c r="J260">
        <f>IF(E260="공격형",INDEX(몬스터계수[[#Data],[행운계수]],MATCH(E260, 몬스터계수[[#Data],[타입]],0),1)*C260,
IF(E260="방어형",INDEX(몬스터계수[[#Data],[행운계수]],MATCH(E260, 몬스터계수[[#Data],[타입]],0),1)*C260,
IF(E260="회피형",INDEX(몬스터계수[[#Data],[행운계수]],MATCH(E260, 몬스터계수[[#Data],[타입]],0),1)*C260,
IF(E260="체력형",INDEX(몬스터계수[[#Data],[행운계수]],MATCH(E260, 몬스터계수[[#Data],[타입]],0),1)*C260,0))))</f>
        <v>643.25</v>
      </c>
      <c r="K260" s="34">
        <f>ROUND(
(($F260)*참고!$D$5)
+(($G260)*참고!$D$6)
+(($H260)*참고!$D$7)
+(($I260)*참고!$D$8)
+(($J260))*참고!$D$9,0)</f>
        <v>100025</v>
      </c>
      <c r="L260" s="34">
        <f>ROUND(
(($F260)*참고!$E$5)
+(($G260)*참고!$E$6)
+(($H260)*참고!$E$7)
+(($I260)*참고!$E$8)
+(($J260))*참고!$E$9,0)</f>
        <v>57249</v>
      </c>
      <c r="M260" s="34">
        <f>ROUND(
(($F260)*참고!$F$5)
+(($G260)*참고!$F$6)
+(($H260)*참고!$F$7)
+(($I260)*참고!$F$8)
+(($J260))*참고!$F$9,0)</f>
        <v>16081</v>
      </c>
      <c r="N260" s="34">
        <f>ROUND(
(($F260)*참고!$G$5)
+(($G260)*참고!$G$6)
+(($H260)*참고!$G$7)
+(($I260)*참고!$G$8)
+(($J260))*참고!$G$9,0)</f>
        <v>450</v>
      </c>
      <c r="O260" s="34">
        <f>ROUND(
(($F260)*참고!$H$5)
+(($G260)*참고!$H$6)
+(($H260)*참고!$H$7)
+(($I260)*참고!$H$8)
+(($J260))*참고!$H$9,0)</f>
        <v>10614</v>
      </c>
      <c r="P260" s="34">
        <f>ROUND(
(($F260)*참고!$I$5)
+(($G260)*참고!$I$6)
+(($H260)*참고!$I$7)
+(($I260)*참고!$I$8)
+(($J260))*참고!$I$9,0)</f>
        <v>18654</v>
      </c>
      <c r="Q260" s="34">
        <f>ROUND(
(($F260)*참고!$J$5)
+(($G260)*참고!$J$6)
+(($H260)*참고!$J$7)
+(($I260)*참고!$J$8)
+(($J260))*참고!$J$9,0)</f>
        <v>12865</v>
      </c>
      <c r="R260" s="34">
        <f>IF(E260="공격형",(INDEX(몬스터계수[[#Data],[속도]],MATCH(E260, 몬스터계수[[#Data],[타입]],0),1)*속도핸들러_곱계수)*(INT(몬스터밸런스[[#This Row],[Lv]]/속도핸들러_합계수+1)),
IF(E260="방어형",(INDEX(몬스터계수[[#Data],[속도]],MATCH(E260, 몬스터계수[[#Data],[타입]],0),1)*속도핸들러_곱계수)*(INT(몬스터밸런스[[#This Row],[Lv]]/속도핸들러_합계수+1)),
IF(E260="회피형",(INDEX(몬스터계수[[#Data],[속도]],MATCH(E260, 몬스터계수[[#Data],[타입]],0),1)*속도핸들러_곱계수)*(INT(몬스터밸런스[[#This Row],[Lv]]/속도핸들러_합계수+1)),
IF(E260="기본형",(INDEX(몬스터계수[[#Data],[속도]],MATCH(E260, 몬스터계수[[#Data],[타입]],0),1)*속도핸들러_곱계수)*(INT(몬스터밸런스[[#This Row],[Lv]]/속도핸들러_합계수+1)),0))))</f>
        <v>0</v>
      </c>
      <c r="S260">
        <f t="shared" si="13"/>
        <v>3434199.5</v>
      </c>
      <c r="U260">
        <v>2</v>
      </c>
      <c r="V260">
        <v>258</v>
      </c>
      <c r="W260">
        <f>$Z$1*몬스터밸런스9[[#This Row],[단계]]</f>
        <v>10</v>
      </c>
      <c r="X260" t="s">
        <v>67</v>
      </c>
      <c r="AE260" s="34">
        <f>몬스터밸런스[[#This Row],[생명]]*0.1</f>
        <v>643.25</v>
      </c>
      <c r="AF260" s="34"/>
      <c r="AG260" s="34">
        <f>몬스터밸런스[[#This Row],[Defense]]*0.4</f>
        <v>6432.4000000000005</v>
      </c>
      <c r="AH260" s="34"/>
      <c r="AI260" s="34"/>
      <c r="AJ260" s="34"/>
      <c r="AK260" s="34"/>
    </row>
    <row r="261" spans="1:37">
      <c r="A261">
        <v>2580</v>
      </c>
      <c r="B261">
        <v>259</v>
      </c>
      <c r="C261">
        <f>$F$1*몬스터밸런스[[#This Row],[Lv]]+15</f>
        <v>12915</v>
      </c>
      <c r="E261" t="s">
        <v>479</v>
      </c>
      <c r="F261">
        <f>IF(E261="공격형",INDEX(몬스터계수[[#Data],[생명계수]],MATCH(E261,몬스터계수[[#Data],[타입]],0),1)*C261,
IF(E261="방어형",INDEX(몬스터계수[[#Data],[생명계수]],MATCH(E261,몬스터계수[[#Data],[타입]],0),1)*C261,
IF(E261="회피형",INDEX(몬스터계수[[#Data],[생명계수]],MATCH(E261,몬스터계수[[#Data],[타입]],0),1)*C261,
IF(E261="체력형",INDEX(몬스터계수[[#Data],[생명계수]],MATCH(E261,몬스터계수[[#Data],[타입]],0),1)*C261,0))))*IF(몬스터밸런스[[#This Row],[보스]]=TRUE,2,1)</f>
        <v>6457.5</v>
      </c>
      <c r="G261">
        <f>IF(E261="공격형",INDEX(몬스터계수[[#Data],[힘계수]],MATCH(E261, 몬스터계수[[#Data],[타입]],0),1)*C261,
IF(E261="방어형",INDEX(몬스터계수[[#Data],[힘계수]],MATCH(E261, 몬스터계수[[#Data],[타입]],0),1)*C261,
IF(E261="회피형",INDEX(몬스터계수[[#Data],[힘계수]],MATCH(E261, 몬스터계수[[#Data],[타입]],0),1)*C261,
IF(E261="체력형",INDEX(몬스터계수[[#Data],[힘계수]],MATCH(E261, 몬스터계수[[#Data],[타입]],0),1)*C261,0))))</f>
        <v>3228.75</v>
      </c>
      <c r="H261">
        <f>IF(E261="공격형",INDEX(몬스터계수[[#Data],[근력게수]],MATCH(E261,몬스터계수[[#Data],[타입]],0),1)*C261,
IF(E261="방어형",INDEX(몬스터계수[[#Data],[근력게수]],MATCH(E261,몬스터계수[[#Data],[타입]],0),1)*C261,
IF(E261="회피형",INDEX(몬스터계수[[#Data],[근력게수]],MATCH(E261,몬스터계수[[#Data],[타입]],0),1)*C261,
IF(E261="체력형",INDEX(몬스터계수[[#Data],[근력게수]],MATCH(E261,몬스터계수[[#Data],[타입]],0),1)*C261,0))))</f>
        <v>645.75</v>
      </c>
      <c r="I261">
        <f>IF(E261="공격형",INDEX(몬스터계수[[#Data],[숙련도계수]],MATCH(E261,몬스터계수[[#Data],[타입]],0),1)*C261,
IF(E261="방어형",INDEX(몬스터계수[[#Data],[숙련도계수]],MATCH(E261,몬스터계수[[#Data],[타입]],0),1)*C261,
IF(E261="회피형",INDEX(몬스터계수[[#Data],[숙련도계수]],MATCH(E261,몬스터계수[[#Data],[타입]],0),1)*C261,
IF(E261="체력형",INDEX(몬스터계수[[#Data],[숙련도계수]],MATCH(E261,몬스터계수[[#Data],[타입]],0),1)*C261,0))))</f>
        <v>1937.25</v>
      </c>
      <c r="J261">
        <f>IF(E261="공격형",INDEX(몬스터계수[[#Data],[행운계수]],MATCH(E261, 몬스터계수[[#Data],[타입]],0),1)*C261,
IF(E261="방어형",INDEX(몬스터계수[[#Data],[행운계수]],MATCH(E261, 몬스터계수[[#Data],[타입]],0),1)*C261,
IF(E261="회피형",INDEX(몬스터계수[[#Data],[행운계수]],MATCH(E261, 몬스터계수[[#Data],[타입]],0),1)*C261,
IF(E261="체력형",INDEX(몬스터계수[[#Data],[행운계수]],MATCH(E261, 몬스터계수[[#Data],[타입]],0),1)*C261,0))))</f>
        <v>645.75</v>
      </c>
      <c r="K261" s="34">
        <f>ROUND(
(($F261)*참고!$D$5)
+(($G261)*참고!$D$6)
+(($H261)*참고!$D$7)
+(($I261)*참고!$D$8)
+(($J261))*참고!$D$9,0)</f>
        <v>100414</v>
      </c>
      <c r="L261" s="34">
        <f>ROUND(
(($F261)*참고!$E$5)
+(($G261)*참고!$E$6)
+(($H261)*참고!$E$7)
+(($I261)*참고!$E$8)
+(($J261))*참고!$E$9,0)</f>
        <v>57472</v>
      </c>
      <c r="M261" s="34">
        <f>ROUND(
(($F261)*참고!$F$5)
+(($G261)*참고!$F$6)
+(($H261)*참고!$F$7)
+(($I261)*참고!$F$8)
+(($J261))*참고!$F$9,0)</f>
        <v>16144</v>
      </c>
      <c r="N261" s="34">
        <f>ROUND(
(($F261)*참고!$G$5)
+(($G261)*참고!$G$6)
+(($H261)*참고!$G$7)
+(($I261)*참고!$G$8)
+(($J261))*참고!$G$9,0)</f>
        <v>452</v>
      </c>
      <c r="O261" s="34">
        <f>ROUND(
(($F261)*참고!$H$5)
+(($G261)*참고!$H$6)
+(($H261)*참고!$H$7)
+(($I261)*참고!$H$8)
+(($J261))*참고!$H$9,0)</f>
        <v>10655</v>
      </c>
      <c r="P261" s="34">
        <f>ROUND(
(($F261)*참고!$I$5)
+(($G261)*참고!$I$6)
+(($H261)*참고!$I$7)
+(($I261)*참고!$I$8)
+(($J261))*참고!$I$9,0)</f>
        <v>18727</v>
      </c>
      <c r="Q261" s="34">
        <f>ROUND(
(($F261)*참고!$J$5)
+(($G261)*참고!$J$6)
+(($H261)*참고!$J$7)
+(($I261)*참고!$J$8)
+(($J261))*참고!$J$9,0)</f>
        <v>12915</v>
      </c>
      <c r="R261" s="34">
        <f>IF(E261="공격형",(INDEX(몬스터계수[[#Data],[속도]],MATCH(E261, 몬스터계수[[#Data],[타입]],0),1)*속도핸들러_곱계수)*(INT(몬스터밸런스[[#This Row],[Lv]]/속도핸들러_합계수+1)),
IF(E261="방어형",(INDEX(몬스터계수[[#Data],[속도]],MATCH(E261, 몬스터계수[[#Data],[타입]],0),1)*속도핸들러_곱계수)*(INT(몬스터밸런스[[#This Row],[Lv]]/속도핸들러_합계수+1)),
IF(E261="회피형",(INDEX(몬스터계수[[#Data],[속도]],MATCH(E261, 몬스터계수[[#Data],[타입]],0),1)*속도핸들러_곱계수)*(INT(몬스터밸런스[[#This Row],[Lv]]/속도핸들러_합계수+1)),
IF(E261="기본형",(INDEX(몬스터계수[[#Data],[속도]],MATCH(E261, 몬스터계수[[#Data],[타입]],0),1)*속도핸들러_곱계수)*(INT(몬스터밸런스[[#This Row],[Lv]]/속도핸들러_합계수+1)),0))))</f>
        <v>0</v>
      </c>
      <c r="S261">
        <f t="shared" si="13"/>
        <v>3447571.5</v>
      </c>
      <c r="U261">
        <v>2</v>
      </c>
      <c r="V261">
        <v>259</v>
      </c>
      <c r="W261">
        <f>$Z$1*몬스터밸런스9[[#This Row],[단계]]</f>
        <v>10</v>
      </c>
      <c r="X261" t="s">
        <v>67</v>
      </c>
      <c r="AE261" s="34">
        <f>몬스터밸런스[[#This Row],[생명]]*0.1</f>
        <v>645.75</v>
      </c>
      <c r="AF261" s="34"/>
      <c r="AG261" s="34">
        <f>몬스터밸런스[[#This Row],[Defense]]*0.4</f>
        <v>6457.6</v>
      </c>
      <c r="AH261" s="34"/>
      <c r="AI261" s="34"/>
      <c r="AJ261" s="34"/>
      <c r="AK261" s="34"/>
    </row>
    <row r="262" spans="1:37">
      <c r="A262">
        <v>2590</v>
      </c>
      <c r="B262">
        <v>260</v>
      </c>
      <c r="C262">
        <f>$F$1*몬스터밸런스[[#This Row],[Lv]]+15</f>
        <v>12965</v>
      </c>
      <c r="E262" t="s">
        <v>479</v>
      </c>
      <c r="F262">
        <f>IF(E262="공격형",INDEX(몬스터계수[[#Data],[생명계수]],MATCH(E262,몬스터계수[[#Data],[타입]],0),1)*C262,
IF(E262="방어형",INDEX(몬스터계수[[#Data],[생명계수]],MATCH(E262,몬스터계수[[#Data],[타입]],0),1)*C262,
IF(E262="회피형",INDEX(몬스터계수[[#Data],[생명계수]],MATCH(E262,몬스터계수[[#Data],[타입]],0),1)*C262,
IF(E262="체력형",INDEX(몬스터계수[[#Data],[생명계수]],MATCH(E262,몬스터계수[[#Data],[타입]],0),1)*C262,0))))*IF(몬스터밸런스[[#This Row],[보스]]=TRUE,2,1)</f>
        <v>6482.5</v>
      </c>
      <c r="G262">
        <f>IF(E262="공격형",INDEX(몬스터계수[[#Data],[힘계수]],MATCH(E262, 몬스터계수[[#Data],[타입]],0),1)*C262,
IF(E262="방어형",INDEX(몬스터계수[[#Data],[힘계수]],MATCH(E262, 몬스터계수[[#Data],[타입]],0),1)*C262,
IF(E262="회피형",INDEX(몬스터계수[[#Data],[힘계수]],MATCH(E262, 몬스터계수[[#Data],[타입]],0),1)*C262,
IF(E262="체력형",INDEX(몬스터계수[[#Data],[힘계수]],MATCH(E262, 몬스터계수[[#Data],[타입]],0),1)*C262,0))))</f>
        <v>3241.25</v>
      </c>
      <c r="H262">
        <f>IF(E262="공격형",INDEX(몬스터계수[[#Data],[근력게수]],MATCH(E262,몬스터계수[[#Data],[타입]],0),1)*C262,
IF(E262="방어형",INDEX(몬스터계수[[#Data],[근력게수]],MATCH(E262,몬스터계수[[#Data],[타입]],0),1)*C262,
IF(E262="회피형",INDEX(몬스터계수[[#Data],[근력게수]],MATCH(E262,몬스터계수[[#Data],[타입]],0),1)*C262,
IF(E262="체력형",INDEX(몬스터계수[[#Data],[근력게수]],MATCH(E262,몬스터계수[[#Data],[타입]],0),1)*C262,0))))</f>
        <v>648.25</v>
      </c>
      <c r="I262">
        <f>IF(E262="공격형",INDEX(몬스터계수[[#Data],[숙련도계수]],MATCH(E262,몬스터계수[[#Data],[타입]],0),1)*C262,
IF(E262="방어형",INDEX(몬스터계수[[#Data],[숙련도계수]],MATCH(E262,몬스터계수[[#Data],[타입]],0),1)*C262,
IF(E262="회피형",INDEX(몬스터계수[[#Data],[숙련도계수]],MATCH(E262,몬스터계수[[#Data],[타입]],0),1)*C262,
IF(E262="체력형",INDEX(몬스터계수[[#Data],[숙련도계수]],MATCH(E262,몬스터계수[[#Data],[타입]],0),1)*C262,0))))</f>
        <v>1944.75</v>
      </c>
      <c r="J262">
        <f>IF(E262="공격형",INDEX(몬스터계수[[#Data],[행운계수]],MATCH(E262, 몬스터계수[[#Data],[타입]],0),1)*C262,
IF(E262="방어형",INDEX(몬스터계수[[#Data],[행운계수]],MATCH(E262, 몬스터계수[[#Data],[타입]],0),1)*C262,
IF(E262="회피형",INDEX(몬스터계수[[#Data],[행운계수]],MATCH(E262, 몬스터계수[[#Data],[타입]],0),1)*C262,
IF(E262="체력형",INDEX(몬스터계수[[#Data],[행운계수]],MATCH(E262, 몬스터계수[[#Data],[타입]],0),1)*C262,0))))</f>
        <v>648.25</v>
      </c>
      <c r="K262" s="34">
        <f>ROUND(
(($F262)*참고!$D$5)
+(($G262)*참고!$D$6)
+(($H262)*참고!$D$7)
+(($I262)*참고!$D$8)
+(($J262))*참고!$D$9,0)</f>
        <v>100803</v>
      </c>
      <c r="L262" s="34">
        <f>ROUND(
(($F262)*참고!$E$5)
+(($G262)*참고!$E$6)
+(($H262)*참고!$E$7)
+(($I262)*참고!$E$8)
+(($J262))*참고!$E$9,0)</f>
        <v>57694</v>
      </c>
      <c r="M262" s="34">
        <f>ROUND(
(($F262)*참고!$F$5)
+(($G262)*참고!$F$6)
+(($H262)*참고!$F$7)
+(($I262)*참고!$F$8)
+(($J262))*참고!$F$9,0)</f>
        <v>16206</v>
      </c>
      <c r="N262" s="34">
        <f>ROUND(
(($F262)*참고!$G$5)
+(($G262)*참고!$G$6)
+(($H262)*참고!$G$7)
+(($I262)*참고!$G$8)
+(($J262))*참고!$G$9,0)</f>
        <v>454</v>
      </c>
      <c r="O262" s="34">
        <f>ROUND(
(($F262)*참고!$H$5)
+(($G262)*참고!$H$6)
+(($H262)*참고!$H$7)
+(($I262)*참고!$H$8)
+(($J262))*참고!$H$9,0)</f>
        <v>10696</v>
      </c>
      <c r="P262" s="34">
        <f>ROUND(
(($F262)*참고!$I$5)
+(($G262)*참고!$I$6)
+(($H262)*참고!$I$7)
+(($I262)*참고!$I$8)
+(($J262))*참고!$I$9,0)</f>
        <v>18799</v>
      </c>
      <c r="Q262" s="34">
        <f>ROUND(
(($F262)*참고!$J$5)
+(($G262)*참고!$J$6)
+(($H262)*참고!$J$7)
+(($I262)*참고!$J$8)
+(($J262))*참고!$J$9,0)</f>
        <v>12965</v>
      </c>
      <c r="R262" s="34">
        <f>IF(E262="공격형",(INDEX(몬스터계수[[#Data],[속도]],MATCH(E262, 몬스터계수[[#Data],[타입]],0),1)*속도핸들러_곱계수)*(INT(몬스터밸런스[[#This Row],[Lv]]/속도핸들러_합계수+1)),
IF(E262="방어형",(INDEX(몬스터계수[[#Data],[속도]],MATCH(E262, 몬스터계수[[#Data],[타입]],0),1)*속도핸들러_곱계수)*(INT(몬스터밸런스[[#This Row],[Lv]]/속도핸들러_합계수+1)),
IF(E262="회피형",(INDEX(몬스터계수[[#Data],[속도]],MATCH(E262, 몬스터계수[[#Data],[타입]],0),1)*속도핸들러_곱계수)*(INT(몬스터밸런스[[#This Row],[Lv]]/속도핸들러_합계수+1)),
IF(E262="기본형",(INDEX(몬스터계수[[#Data],[속도]],MATCH(E262, 몬스터계수[[#Data],[타입]],0),1)*속도핸들러_곱계수)*(INT(몬스터밸런스[[#This Row],[Lv]]/속도핸들러_합계수+1)),0))))</f>
        <v>0</v>
      </c>
      <c r="S262">
        <f t="shared" si="13"/>
        <v>3460900.5</v>
      </c>
      <c r="U262">
        <v>2</v>
      </c>
      <c r="V262">
        <v>260</v>
      </c>
      <c r="W262">
        <f>$Z$1*몬스터밸런스9[[#This Row],[단계]]</f>
        <v>10</v>
      </c>
      <c r="X262" t="s">
        <v>67</v>
      </c>
      <c r="AE262" s="34">
        <f>몬스터밸런스[[#This Row],[생명]]*0.1</f>
        <v>648.25</v>
      </c>
      <c r="AF262" s="34"/>
      <c r="AG262" s="34">
        <f>몬스터밸런스[[#This Row],[Defense]]*0.4</f>
        <v>6482.4000000000005</v>
      </c>
      <c r="AH262" s="34"/>
      <c r="AI262" s="34"/>
      <c r="AJ262" s="34"/>
      <c r="AK262" s="34"/>
    </row>
    <row r="263" spans="1:37">
      <c r="A263">
        <v>2600</v>
      </c>
      <c r="B263">
        <v>261</v>
      </c>
      <c r="C263">
        <f>$F$1*몬스터밸런스[[#This Row],[Lv]]+15</f>
        <v>13015</v>
      </c>
      <c r="E263" t="s">
        <v>479</v>
      </c>
      <c r="F263">
        <f>IF(E263="공격형",INDEX(몬스터계수[[#Data],[생명계수]],MATCH(E263,몬스터계수[[#Data],[타입]],0),1)*C263,
IF(E263="방어형",INDEX(몬스터계수[[#Data],[생명계수]],MATCH(E263,몬스터계수[[#Data],[타입]],0),1)*C263,
IF(E263="회피형",INDEX(몬스터계수[[#Data],[생명계수]],MATCH(E263,몬스터계수[[#Data],[타입]],0),1)*C263,
IF(E263="체력형",INDEX(몬스터계수[[#Data],[생명계수]],MATCH(E263,몬스터계수[[#Data],[타입]],0),1)*C263,0))))*IF(몬스터밸런스[[#This Row],[보스]]=TRUE,2,1)</f>
        <v>6507.5</v>
      </c>
      <c r="G263">
        <f>IF(E263="공격형",INDEX(몬스터계수[[#Data],[힘계수]],MATCH(E263, 몬스터계수[[#Data],[타입]],0),1)*C263,
IF(E263="방어형",INDEX(몬스터계수[[#Data],[힘계수]],MATCH(E263, 몬스터계수[[#Data],[타입]],0),1)*C263,
IF(E263="회피형",INDEX(몬스터계수[[#Data],[힘계수]],MATCH(E263, 몬스터계수[[#Data],[타입]],0),1)*C263,
IF(E263="체력형",INDEX(몬스터계수[[#Data],[힘계수]],MATCH(E263, 몬스터계수[[#Data],[타입]],0),1)*C263,0))))</f>
        <v>3253.75</v>
      </c>
      <c r="H263">
        <f>IF(E263="공격형",INDEX(몬스터계수[[#Data],[근력게수]],MATCH(E263,몬스터계수[[#Data],[타입]],0),1)*C263,
IF(E263="방어형",INDEX(몬스터계수[[#Data],[근력게수]],MATCH(E263,몬스터계수[[#Data],[타입]],0),1)*C263,
IF(E263="회피형",INDEX(몬스터계수[[#Data],[근력게수]],MATCH(E263,몬스터계수[[#Data],[타입]],0),1)*C263,
IF(E263="체력형",INDEX(몬스터계수[[#Data],[근력게수]],MATCH(E263,몬스터계수[[#Data],[타입]],0),1)*C263,0))))</f>
        <v>650.75</v>
      </c>
      <c r="I263">
        <f>IF(E263="공격형",INDEX(몬스터계수[[#Data],[숙련도계수]],MATCH(E263,몬스터계수[[#Data],[타입]],0),1)*C263,
IF(E263="방어형",INDEX(몬스터계수[[#Data],[숙련도계수]],MATCH(E263,몬스터계수[[#Data],[타입]],0),1)*C263,
IF(E263="회피형",INDEX(몬스터계수[[#Data],[숙련도계수]],MATCH(E263,몬스터계수[[#Data],[타입]],0),1)*C263,
IF(E263="체력형",INDEX(몬스터계수[[#Data],[숙련도계수]],MATCH(E263,몬스터계수[[#Data],[타입]],0),1)*C263,0))))</f>
        <v>1952.25</v>
      </c>
      <c r="J263">
        <f>IF(E263="공격형",INDEX(몬스터계수[[#Data],[행운계수]],MATCH(E263, 몬스터계수[[#Data],[타입]],0),1)*C263,
IF(E263="방어형",INDEX(몬스터계수[[#Data],[행운계수]],MATCH(E263, 몬스터계수[[#Data],[타입]],0),1)*C263,
IF(E263="회피형",INDEX(몬스터계수[[#Data],[행운계수]],MATCH(E263, 몬스터계수[[#Data],[타입]],0),1)*C263,
IF(E263="체력형",INDEX(몬스터계수[[#Data],[행운계수]],MATCH(E263, 몬스터계수[[#Data],[타입]],0),1)*C263,0))))</f>
        <v>650.75</v>
      </c>
      <c r="K263" s="34">
        <f>ROUND(
(($F263)*참고!$D$5)
+(($G263)*참고!$D$6)
+(($H263)*참고!$D$7)
+(($I263)*참고!$D$8)
+(($J263))*참고!$D$9,0)</f>
        <v>101192</v>
      </c>
      <c r="L263" s="34">
        <f>ROUND(
(($F263)*참고!$E$5)
+(($G263)*참고!$E$6)
+(($H263)*참고!$E$7)
+(($I263)*참고!$E$8)
+(($J263))*참고!$E$9,0)</f>
        <v>57917</v>
      </c>
      <c r="M263" s="34">
        <f>ROUND(
(($F263)*참고!$F$5)
+(($G263)*참고!$F$6)
+(($H263)*참고!$F$7)
+(($I263)*참고!$F$8)
+(($J263))*참고!$F$9,0)</f>
        <v>16269</v>
      </c>
      <c r="N263" s="34">
        <f>ROUND(
(($F263)*참고!$G$5)
+(($G263)*참고!$G$6)
+(($H263)*참고!$G$7)
+(($I263)*참고!$G$8)
+(($J263))*참고!$G$9,0)</f>
        <v>456</v>
      </c>
      <c r="O263" s="34">
        <f>ROUND(
(($F263)*참고!$H$5)
+(($G263)*참고!$H$6)
+(($H263)*참고!$H$7)
+(($I263)*참고!$H$8)
+(($J263))*참고!$H$9,0)</f>
        <v>10737</v>
      </c>
      <c r="P263" s="34">
        <f>ROUND(
(($F263)*참고!$I$5)
+(($G263)*참고!$I$6)
+(($H263)*참고!$I$7)
+(($I263)*참고!$I$8)
+(($J263))*참고!$I$9,0)</f>
        <v>18872</v>
      </c>
      <c r="Q263" s="34">
        <f>ROUND(
(($F263)*참고!$J$5)
+(($G263)*참고!$J$6)
+(($H263)*참고!$J$7)
+(($I263)*참고!$J$8)
+(($J263))*참고!$J$9,0)</f>
        <v>13015</v>
      </c>
      <c r="R263" s="34">
        <f>IF(E263="공격형",(INDEX(몬스터계수[[#Data],[속도]],MATCH(E263, 몬스터계수[[#Data],[타입]],0),1)*속도핸들러_곱계수)*(INT(몬스터밸런스[[#This Row],[Lv]]/속도핸들러_합계수+1)),
IF(E263="방어형",(INDEX(몬스터계수[[#Data],[속도]],MATCH(E263, 몬스터계수[[#Data],[타입]],0),1)*속도핸들러_곱계수)*(INT(몬스터밸런스[[#This Row],[Lv]]/속도핸들러_합계수+1)),
IF(E263="회피형",(INDEX(몬스터계수[[#Data],[속도]],MATCH(E263, 몬스터계수[[#Data],[타입]],0),1)*속도핸들러_곱계수)*(INT(몬스터밸런스[[#This Row],[Lv]]/속도핸들러_합계수+1)),
IF(E263="기본형",(INDEX(몬스터계수[[#Data],[속도]],MATCH(E263, 몬스터계수[[#Data],[타입]],0),1)*속도핸들러_곱계수)*(INT(몬스터밸런스[[#This Row],[Lv]]/속도핸들러_합계수+1)),0))))</f>
        <v>0</v>
      </c>
      <c r="S263">
        <f t="shared" si="13"/>
        <v>3474272.5</v>
      </c>
      <c r="U263">
        <v>3</v>
      </c>
      <c r="V263">
        <v>261</v>
      </c>
      <c r="W263">
        <f>$Z$1*몬스터밸런스9[[#This Row],[단계]]</f>
        <v>15</v>
      </c>
      <c r="X263" t="s">
        <v>67</v>
      </c>
      <c r="AE263" s="34">
        <f>몬스터밸런스[[#This Row],[생명]]*0.1</f>
        <v>650.75</v>
      </c>
      <c r="AF263" s="34"/>
      <c r="AG263" s="34">
        <f>몬스터밸런스[[#This Row],[Defense]]*0.4</f>
        <v>6507.6</v>
      </c>
      <c r="AH263" s="34"/>
      <c r="AI263" s="34"/>
      <c r="AJ263" s="34"/>
      <c r="AK263" s="34"/>
    </row>
    <row r="264" spans="1:37">
      <c r="A264">
        <v>2610</v>
      </c>
      <c r="B264">
        <v>262</v>
      </c>
      <c r="C264">
        <f>$F$1*몬스터밸런스[[#This Row],[Lv]]+15</f>
        <v>13065</v>
      </c>
      <c r="E264" t="s">
        <v>479</v>
      </c>
      <c r="F264">
        <f>IF(E264="공격형",INDEX(몬스터계수[[#Data],[생명계수]],MATCH(E264,몬스터계수[[#Data],[타입]],0),1)*C264,
IF(E264="방어형",INDEX(몬스터계수[[#Data],[생명계수]],MATCH(E264,몬스터계수[[#Data],[타입]],0),1)*C264,
IF(E264="회피형",INDEX(몬스터계수[[#Data],[생명계수]],MATCH(E264,몬스터계수[[#Data],[타입]],0),1)*C264,
IF(E264="체력형",INDEX(몬스터계수[[#Data],[생명계수]],MATCH(E264,몬스터계수[[#Data],[타입]],0),1)*C264,0))))*IF(몬스터밸런스[[#This Row],[보스]]=TRUE,2,1)</f>
        <v>6532.5</v>
      </c>
      <c r="G264">
        <f>IF(E264="공격형",INDEX(몬스터계수[[#Data],[힘계수]],MATCH(E264, 몬스터계수[[#Data],[타입]],0),1)*C264,
IF(E264="방어형",INDEX(몬스터계수[[#Data],[힘계수]],MATCH(E264, 몬스터계수[[#Data],[타입]],0),1)*C264,
IF(E264="회피형",INDEX(몬스터계수[[#Data],[힘계수]],MATCH(E264, 몬스터계수[[#Data],[타입]],0),1)*C264,
IF(E264="체력형",INDEX(몬스터계수[[#Data],[힘계수]],MATCH(E264, 몬스터계수[[#Data],[타입]],0),1)*C264,0))))</f>
        <v>3266.25</v>
      </c>
      <c r="H264">
        <f>IF(E264="공격형",INDEX(몬스터계수[[#Data],[근력게수]],MATCH(E264,몬스터계수[[#Data],[타입]],0),1)*C264,
IF(E264="방어형",INDEX(몬스터계수[[#Data],[근력게수]],MATCH(E264,몬스터계수[[#Data],[타입]],0),1)*C264,
IF(E264="회피형",INDEX(몬스터계수[[#Data],[근력게수]],MATCH(E264,몬스터계수[[#Data],[타입]],0),1)*C264,
IF(E264="체력형",INDEX(몬스터계수[[#Data],[근력게수]],MATCH(E264,몬스터계수[[#Data],[타입]],0),1)*C264,0))))</f>
        <v>653.25</v>
      </c>
      <c r="I264">
        <f>IF(E264="공격형",INDEX(몬스터계수[[#Data],[숙련도계수]],MATCH(E264,몬스터계수[[#Data],[타입]],0),1)*C264,
IF(E264="방어형",INDEX(몬스터계수[[#Data],[숙련도계수]],MATCH(E264,몬스터계수[[#Data],[타입]],0),1)*C264,
IF(E264="회피형",INDEX(몬스터계수[[#Data],[숙련도계수]],MATCH(E264,몬스터계수[[#Data],[타입]],0),1)*C264,
IF(E264="체력형",INDEX(몬스터계수[[#Data],[숙련도계수]],MATCH(E264,몬스터계수[[#Data],[타입]],0),1)*C264,0))))</f>
        <v>1959.75</v>
      </c>
      <c r="J264">
        <f>IF(E264="공격형",INDEX(몬스터계수[[#Data],[행운계수]],MATCH(E264, 몬스터계수[[#Data],[타입]],0),1)*C264,
IF(E264="방어형",INDEX(몬스터계수[[#Data],[행운계수]],MATCH(E264, 몬스터계수[[#Data],[타입]],0),1)*C264,
IF(E264="회피형",INDEX(몬스터계수[[#Data],[행운계수]],MATCH(E264, 몬스터계수[[#Data],[타입]],0),1)*C264,
IF(E264="체력형",INDEX(몬스터계수[[#Data],[행운계수]],MATCH(E264, 몬스터계수[[#Data],[타입]],0),1)*C264,0))))</f>
        <v>653.25</v>
      </c>
      <c r="K264" s="34">
        <f>ROUND(
(($F264)*참고!$D$5)
+(($G264)*참고!$D$6)
+(($H264)*참고!$D$7)
+(($I264)*참고!$D$8)
+(($J264))*참고!$D$9,0)</f>
        <v>101580</v>
      </c>
      <c r="L264" s="34">
        <f>ROUND(
(($F264)*참고!$E$5)
+(($G264)*참고!$E$6)
+(($H264)*참고!$E$7)
+(($I264)*참고!$E$8)
+(($J264))*참고!$E$9,0)</f>
        <v>58139</v>
      </c>
      <c r="M264" s="34">
        <f>ROUND(
(($F264)*참고!$F$5)
+(($G264)*참고!$F$6)
+(($H264)*참고!$F$7)
+(($I264)*참고!$F$8)
+(($J264))*참고!$F$9,0)</f>
        <v>16331</v>
      </c>
      <c r="N264" s="34">
        <f>ROUND(
(($F264)*참고!$G$5)
+(($G264)*참고!$G$6)
+(($H264)*참고!$G$7)
+(($I264)*참고!$G$8)
+(($J264))*참고!$G$9,0)</f>
        <v>457</v>
      </c>
      <c r="O264" s="34">
        <f>ROUND(
(($F264)*참고!$H$5)
+(($G264)*참고!$H$6)
+(($H264)*참고!$H$7)
+(($I264)*참고!$H$8)
+(($J264))*참고!$H$9,0)</f>
        <v>10779</v>
      </c>
      <c r="P264" s="34">
        <f>ROUND(
(($F264)*참고!$I$5)
+(($G264)*참고!$I$6)
+(($H264)*참고!$I$7)
+(($I264)*참고!$I$8)
+(($J264))*참고!$I$9,0)</f>
        <v>18944</v>
      </c>
      <c r="Q264" s="34">
        <f>ROUND(
(($F264)*참고!$J$5)
+(($G264)*참고!$J$6)
+(($H264)*참고!$J$7)
+(($I264)*참고!$J$8)
+(($J264))*참고!$J$9,0)</f>
        <v>13065</v>
      </c>
      <c r="R264" s="34">
        <f>IF(E264="공격형",(INDEX(몬스터계수[[#Data],[속도]],MATCH(E264, 몬스터계수[[#Data],[타입]],0),1)*속도핸들러_곱계수)*(INT(몬스터밸런스[[#This Row],[Lv]]/속도핸들러_합계수+1)),
IF(E264="방어형",(INDEX(몬스터계수[[#Data],[속도]],MATCH(E264, 몬스터계수[[#Data],[타입]],0),1)*속도핸들러_곱계수)*(INT(몬스터밸런스[[#This Row],[Lv]]/속도핸들러_합계수+1)),
IF(E264="회피형",(INDEX(몬스터계수[[#Data],[속도]],MATCH(E264, 몬스터계수[[#Data],[타입]],0),1)*속도핸들러_곱계수)*(INT(몬스터밸런스[[#This Row],[Lv]]/속도핸들러_합계수+1)),
IF(E264="기본형",(INDEX(몬스터계수[[#Data],[속도]],MATCH(E264, 몬스터계수[[#Data],[타입]],0),1)*속도핸들러_곱계수)*(INT(몬스터밸런스[[#This Row],[Lv]]/속도핸들러_합계수+1)),0))))</f>
        <v>0</v>
      </c>
      <c r="S264">
        <f t="shared" si="13"/>
        <v>3487588</v>
      </c>
      <c r="U264">
        <v>3</v>
      </c>
      <c r="V264">
        <v>262</v>
      </c>
      <c r="W264">
        <f>$Z$1*몬스터밸런스9[[#This Row],[단계]]</f>
        <v>15</v>
      </c>
      <c r="X264" t="s">
        <v>67</v>
      </c>
      <c r="AE264" s="34">
        <f>몬스터밸런스[[#This Row],[생명]]*0.1</f>
        <v>653.25</v>
      </c>
      <c r="AF264" s="34"/>
      <c r="AG264" s="34">
        <f>몬스터밸런스[[#This Row],[Defense]]*0.4</f>
        <v>6532.4000000000005</v>
      </c>
      <c r="AH264" s="34"/>
      <c r="AI264" s="34"/>
      <c r="AJ264" s="34"/>
      <c r="AK264" s="34"/>
    </row>
    <row r="265" spans="1:37">
      <c r="A265">
        <v>2620</v>
      </c>
      <c r="B265">
        <v>263</v>
      </c>
      <c r="C265">
        <f>$F$1*몬스터밸런스[[#This Row],[Lv]]+15</f>
        <v>13115</v>
      </c>
      <c r="E265" t="s">
        <v>479</v>
      </c>
      <c r="F265">
        <f>IF(E265="공격형",INDEX(몬스터계수[[#Data],[생명계수]],MATCH(E265,몬스터계수[[#Data],[타입]],0),1)*C265,
IF(E265="방어형",INDEX(몬스터계수[[#Data],[생명계수]],MATCH(E265,몬스터계수[[#Data],[타입]],0),1)*C265,
IF(E265="회피형",INDEX(몬스터계수[[#Data],[생명계수]],MATCH(E265,몬스터계수[[#Data],[타입]],0),1)*C265,
IF(E265="체력형",INDEX(몬스터계수[[#Data],[생명계수]],MATCH(E265,몬스터계수[[#Data],[타입]],0),1)*C265,0))))*IF(몬스터밸런스[[#This Row],[보스]]=TRUE,2,1)</f>
        <v>6557.5</v>
      </c>
      <c r="G265">
        <f>IF(E265="공격형",INDEX(몬스터계수[[#Data],[힘계수]],MATCH(E265, 몬스터계수[[#Data],[타입]],0),1)*C265,
IF(E265="방어형",INDEX(몬스터계수[[#Data],[힘계수]],MATCH(E265, 몬스터계수[[#Data],[타입]],0),1)*C265,
IF(E265="회피형",INDEX(몬스터계수[[#Data],[힘계수]],MATCH(E265, 몬스터계수[[#Data],[타입]],0),1)*C265,
IF(E265="체력형",INDEX(몬스터계수[[#Data],[힘계수]],MATCH(E265, 몬스터계수[[#Data],[타입]],0),1)*C265,0))))</f>
        <v>3278.75</v>
      </c>
      <c r="H265">
        <f>IF(E265="공격형",INDEX(몬스터계수[[#Data],[근력게수]],MATCH(E265,몬스터계수[[#Data],[타입]],0),1)*C265,
IF(E265="방어형",INDEX(몬스터계수[[#Data],[근력게수]],MATCH(E265,몬스터계수[[#Data],[타입]],0),1)*C265,
IF(E265="회피형",INDEX(몬스터계수[[#Data],[근력게수]],MATCH(E265,몬스터계수[[#Data],[타입]],0),1)*C265,
IF(E265="체력형",INDEX(몬스터계수[[#Data],[근력게수]],MATCH(E265,몬스터계수[[#Data],[타입]],0),1)*C265,0))))</f>
        <v>655.75</v>
      </c>
      <c r="I265">
        <f>IF(E265="공격형",INDEX(몬스터계수[[#Data],[숙련도계수]],MATCH(E265,몬스터계수[[#Data],[타입]],0),1)*C265,
IF(E265="방어형",INDEX(몬스터계수[[#Data],[숙련도계수]],MATCH(E265,몬스터계수[[#Data],[타입]],0),1)*C265,
IF(E265="회피형",INDEX(몬스터계수[[#Data],[숙련도계수]],MATCH(E265,몬스터계수[[#Data],[타입]],0),1)*C265,
IF(E265="체력형",INDEX(몬스터계수[[#Data],[숙련도계수]],MATCH(E265,몬스터계수[[#Data],[타입]],0),1)*C265,0))))</f>
        <v>1967.25</v>
      </c>
      <c r="J265">
        <f>IF(E265="공격형",INDEX(몬스터계수[[#Data],[행운계수]],MATCH(E265, 몬스터계수[[#Data],[타입]],0),1)*C265,
IF(E265="방어형",INDEX(몬스터계수[[#Data],[행운계수]],MATCH(E265, 몬스터계수[[#Data],[타입]],0),1)*C265,
IF(E265="회피형",INDEX(몬스터계수[[#Data],[행운계수]],MATCH(E265, 몬스터계수[[#Data],[타입]],0),1)*C265,
IF(E265="체력형",INDEX(몬스터계수[[#Data],[행운계수]],MATCH(E265, 몬스터계수[[#Data],[타입]],0),1)*C265,0))))</f>
        <v>655.75</v>
      </c>
      <c r="K265" s="34">
        <f>ROUND(
(($F265)*참고!$D$5)
+(($G265)*참고!$D$6)
+(($H265)*참고!$D$7)
+(($I265)*참고!$D$8)
+(($J265))*참고!$D$9,0)</f>
        <v>101969</v>
      </c>
      <c r="L265" s="34">
        <f>ROUND(
(($F265)*참고!$E$5)
+(($G265)*참고!$E$6)
+(($H265)*참고!$E$7)
+(($I265)*참고!$E$8)
+(($J265))*참고!$E$9,0)</f>
        <v>58362</v>
      </c>
      <c r="M265" s="34">
        <f>ROUND(
(($F265)*참고!$F$5)
+(($G265)*참고!$F$6)
+(($H265)*참고!$F$7)
+(($I265)*참고!$F$8)
+(($J265))*참고!$F$9,0)</f>
        <v>16394</v>
      </c>
      <c r="N265" s="34">
        <f>ROUND(
(($F265)*참고!$G$5)
+(($G265)*참고!$G$6)
+(($H265)*참고!$G$7)
+(($I265)*참고!$G$8)
+(($J265))*참고!$G$9,0)</f>
        <v>459</v>
      </c>
      <c r="O265" s="34">
        <f>ROUND(
(($F265)*참고!$H$5)
+(($G265)*참고!$H$6)
+(($H265)*참고!$H$7)
+(($I265)*참고!$H$8)
+(($J265))*참고!$H$9,0)</f>
        <v>10820</v>
      </c>
      <c r="P265" s="34">
        <f>ROUND(
(($F265)*참고!$I$5)
+(($G265)*참고!$I$6)
+(($H265)*참고!$I$7)
+(($I265)*참고!$I$8)
+(($J265))*참고!$I$9,0)</f>
        <v>19017</v>
      </c>
      <c r="Q265" s="34">
        <f>ROUND(
(($F265)*참고!$J$5)
+(($G265)*참고!$J$6)
+(($H265)*참고!$J$7)
+(($I265)*참고!$J$8)
+(($J265))*참고!$J$9,0)</f>
        <v>13115</v>
      </c>
      <c r="R265" s="34">
        <f>IF(E265="공격형",(INDEX(몬스터계수[[#Data],[속도]],MATCH(E265, 몬스터계수[[#Data],[타입]],0),1)*속도핸들러_곱계수)*(INT(몬스터밸런스[[#This Row],[Lv]]/속도핸들러_합계수+1)),
IF(E265="방어형",(INDEX(몬스터계수[[#Data],[속도]],MATCH(E265, 몬스터계수[[#Data],[타입]],0),1)*속도핸들러_곱계수)*(INT(몬스터밸런스[[#This Row],[Lv]]/속도핸들러_합계수+1)),
IF(E265="회피형",(INDEX(몬스터계수[[#Data],[속도]],MATCH(E265, 몬스터계수[[#Data],[타입]],0),1)*속도핸들러_곱계수)*(INT(몬스터밸런스[[#This Row],[Lv]]/속도핸들러_합계수+1)),
IF(E265="기본형",(INDEX(몬스터계수[[#Data],[속도]],MATCH(E265, 몬스터계수[[#Data],[타입]],0),1)*속도핸들러_곱계수)*(INT(몬스터밸런스[[#This Row],[Lv]]/속도핸들러_합계수+1)),0))))</f>
        <v>0</v>
      </c>
      <c r="S265">
        <f t="shared" si="13"/>
        <v>3500960</v>
      </c>
      <c r="U265">
        <v>3</v>
      </c>
      <c r="V265">
        <v>263</v>
      </c>
      <c r="W265">
        <f>$Z$1*몬스터밸런스9[[#This Row],[단계]]</f>
        <v>15</v>
      </c>
      <c r="X265" t="s">
        <v>67</v>
      </c>
      <c r="AE265" s="34">
        <f>몬스터밸런스[[#This Row],[생명]]*0.1</f>
        <v>655.75</v>
      </c>
      <c r="AF265" s="34"/>
      <c r="AG265" s="34">
        <f>몬스터밸런스[[#This Row],[Defense]]*0.4</f>
        <v>6557.6</v>
      </c>
      <c r="AH265" s="34"/>
      <c r="AI265" s="34"/>
      <c r="AJ265" s="34"/>
      <c r="AK265" s="34"/>
    </row>
    <row r="266" spans="1:37">
      <c r="A266">
        <v>2630</v>
      </c>
      <c r="B266">
        <v>264</v>
      </c>
      <c r="C266">
        <f>$F$1*몬스터밸런스[[#This Row],[Lv]]+15</f>
        <v>13165</v>
      </c>
      <c r="E266" t="s">
        <v>479</v>
      </c>
      <c r="F266">
        <f>IF(E266="공격형",INDEX(몬스터계수[[#Data],[생명계수]],MATCH(E266,몬스터계수[[#Data],[타입]],0),1)*C266,
IF(E266="방어형",INDEX(몬스터계수[[#Data],[생명계수]],MATCH(E266,몬스터계수[[#Data],[타입]],0),1)*C266,
IF(E266="회피형",INDEX(몬스터계수[[#Data],[생명계수]],MATCH(E266,몬스터계수[[#Data],[타입]],0),1)*C266,
IF(E266="체력형",INDEX(몬스터계수[[#Data],[생명계수]],MATCH(E266,몬스터계수[[#Data],[타입]],0),1)*C266,0))))*IF(몬스터밸런스[[#This Row],[보스]]=TRUE,2,1)</f>
        <v>6582.5</v>
      </c>
      <c r="G266">
        <f>IF(E266="공격형",INDEX(몬스터계수[[#Data],[힘계수]],MATCH(E266, 몬스터계수[[#Data],[타입]],0),1)*C266,
IF(E266="방어형",INDEX(몬스터계수[[#Data],[힘계수]],MATCH(E266, 몬스터계수[[#Data],[타입]],0),1)*C266,
IF(E266="회피형",INDEX(몬스터계수[[#Data],[힘계수]],MATCH(E266, 몬스터계수[[#Data],[타입]],0),1)*C266,
IF(E266="체력형",INDEX(몬스터계수[[#Data],[힘계수]],MATCH(E266, 몬스터계수[[#Data],[타입]],0),1)*C266,0))))</f>
        <v>3291.25</v>
      </c>
      <c r="H266">
        <f>IF(E266="공격형",INDEX(몬스터계수[[#Data],[근력게수]],MATCH(E266,몬스터계수[[#Data],[타입]],0),1)*C266,
IF(E266="방어형",INDEX(몬스터계수[[#Data],[근력게수]],MATCH(E266,몬스터계수[[#Data],[타입]],0),1)*C266,
IF(E266="회피형",INDEX(몬스터계수[[#Data],[근력게수]],MATCH(E266,몬스터계수[[#Data],[타입]],0),1)*C266,
IF(E266="체력형",INDEX(몬스터계수[[#Data],[근력게수]],MATCH(E266,몬스터계수[[#Data],[타입]],0),1)*C266,0))))</f>
        <v>658.25</v>
      </c>
      <c r="I266">
        <f>IF(E266="공격형",INDEX(몬스터계수[[#Data],[숙련도계수]],MATCH(E266,몬스터계수[[#Data],[타입]],0),1)*C266,
IF(E266="방어형",INDEX(몬스터계수[[#Data],[숙련도계수]],MATCH(E266,몬스터계수[[#Data],[타입]],0),1)*C266,
IF(E266="회피형",INDEX(몬스터계수[[#Data],[숙련도계수]],MATCH(E266,몬스터계수[[#Data],[타입]],0),1)*C266,
IF(E266="체력형",INDEX(몬스터계수[[#Data],[숙련도계수]],MATCH(E266,몬스터계수[[#Data],[타입]],0),1)*C266,0))))</f>
        <v>1974.75</v>
      </c>
      <c r="J266">
        <f>IF(E266="공격형",INDEX(몬스터계수[[#Data],[행운계수]],MATCH(E266, 몬스터계수[[#Data],[타입]],0),1)*C266,
IF(E266="방어형",INDEX(몬스터계수[[#Data],[행운계수]],MATCH(E266, 몬스터계수[[#Data],[타입]],0),1)*C266,
IF(E266="회피형",INDEX(몬스터계수[[#Data],[행운계수]],MATCH(E266, 몬스터계수[[#Data],[타입]],0),1)*C266,
IF(E266="체력형",INDEX(몬스터계수[[#Data],[행운계수]],MATCH(E266, 몬스터계수[[#Data],[타입]],0),1)*C266,0))))</f>
        <v>658.25</v>
      </c>
      <c r="K266" s="34">
        <f>ROUND(
(($F266)*참고!$D$5)
+(($G266)*참고!$D$6)
+(($H266)*참고!$D$7)
+(($I266)*참고!$D$8)
+(($J266))*참고!$D$9,0)</f>
        <v>102358</v>
      </c>
      <c r="L266" s="34">
        <f>ROUND(
(($F266)*참고!$E$5)
+(($G266)*참고!$E$6)
+(($H266)*참고!$E$7)
+(($I266)*참고!$E$8)
+(($J266))*참고!$E$9,0)</f>
        <v>58584</v>
      </c>
      <c r="M266" s="34">
        <f>ROUND(
(($F266)*참고!$F$5)
+(($G266)*참고!$F$6)
+(($H266)*참고!$F$7)
+(($I266)*참고!$F$8)
+(($J266))*참고!$F$9,0)</f>
        <v>16456</v>
      </c>
      <c r="N266" s="34">
        <f>ROUND(
(($F266)*참고!$G$5)
+(($G266)*참고!$G$6)
+(($H266)*참고!$G$7)
+(($I266)*참고!$G$8)
+(($J266))*참고!$G$9,0)</f>
        <v>461</v>
      </c>
      <c r="O266" s="34">
        <f>ROUND(
(($F266)*참고!$H$5)
+(($G266)*참고!$H$6)
+(($H266)*참고!$H$7)
+(($I266)*참고!$H$8)
+(($J266))*참고!$H$9,0)</f>
        <v>10861</v>
      </c>
      <c r="P266" s="34">
        <f>ROUND(
(($F266)*참고!$I$5)
+(($G266)*참고!$I$6)
+(($H266)*참고!$I$7)
+(($I266)*참고!$I$8)
+(($J266))*참고!$I$9,0)</f>
        <v>19089</v>
      </c>
      <c r="Q266" s="34">
        <f>ROUND(
(($F266)*참고!$J$5)
+(($G266)*참고!$J$6)
+(($H266)*참고!$J$7)
+(($I266)*참고!$J$8)
+(($J266))*참고!$J$9,0)</f>
        <v>13165</v>
      </c>
      <c r="R266" s="34">
        <f>IF(E266="공격형",(INDEX(몬스터계수[[#Data],[속도]],MATCH(E266, 몬스터계수[[#Data],[타입]],0),1)*속도핸들러_곱계수)*(INT(몬스터밸런스[[#This Row],[Lv]]/속도핸들러_합계수+1)),
IF(E266="방어형",(INDEX(몬스터계수[[#Data],[속도]],MATCH(E266, 몬스터계수[[#Data],[타입]],0),1)*속도핸들러_곱계수)*(INT(몬스터밸런스[[#This Row],[Lv]]/속도핸들러_합계수+1)),
IF(E266="회피형",(INDEX(몬스터계수[[#Data],[속도]],MATCH(E266, 몬스터계수[[#Data],[타입]],0),1)*속도핸들러_곱계수)*(INT(몬스터밸런스[[#This Row],[Lv]]/속도핸들러_합계수+1)),
IF(E266="기본형",(INDEX(몬스터계수[[#Data],[속도]],MATCH(E266, 몬스터계수[[#Data],[타입]],0),1)*속도핸들러_곱계수)*(INT(몬스터밸런스[[#This Row],[Lv]]/속도핸들러_합계수+1)),0))))</f>
        <v>0</v>
      </c>
      <c r="S266">
        <f t="shared" si="13"/>
        <v>3514289</v>
      </c>
      <c r="U266">
        <v>3</v>
      </c>
      <c r="V266">
        <v>264</v>
      </c>
      <c r="W266">
        <f>$Z$1*몬스터밸런스9[[#This Row],[단계]]</f>
        <v>15</v>
      </c>
      <c r="X266" t="s">
        <v>67</v>
      </c>
      <c r="AE266" s="34">
        <f>몬스터밸런스[[#This Row],[생명]]*0.1</f>
        <v>658.25</v>
      </c>
      <c r="AF266" s="34"/>
      <c r="AG266" s="34">
        <f>몬스터밸런스[[#This Row],[Defense]]*0.4</f>
        <v>6582.4000000000005</v>
      </c>
      <c r="AH266" s="34"/>
      <c r="AI266" s="34"/>
      <c r="AJ266" s="34"/>
      <c r="AK266" s="34"/>
    </row>
    <row r="267" spans="1:37">
      <c r="A267">
        <v>2640</v>
      </c>
      <c r="B267">
        <v>265</v>
      </c>
      <c r="C267">
        <f>$F$1*몬스터밸런스[[#This Row],[Lv]]+15</f>
        <v>13215</v>
      </c>
      <c r="E267" t="s">
        <v>479</v>
      </c>
      <c r="F267">
        <f>IF(E267="공격형",INDEX(몬스터계수[[#Data],[생명계수]],MATCH(E267,몬스터계수[[#Data],[타입]],0),1)*C267,
IF(E267="방어형",INDEX(몬스터계수[[#Data],[생명계수]],MATCH(E267,몬스터계수[[#Data],[타입]],0),1)*C267,
IF(E267="회피형",INDEX(몬스터계수[[#Data],[생명계수]],MATCH(E267,몬스터계수[[#Data],[타입]],0),1)*C267,
IF(E267="체력형",INDEX(몬스터계수[[#Data],[생명계수]],MATCH(E267,몬스터계수[[#Data],[타입]],0),1)*C267,0))))*IF(몬스터밸런스[[#This Row],[보스]]=TRUE,2,1)</f>
        <v>6607.5</v>
      </c>
      <c r="G267">
        <f>IF(E267="공격형",INDEX(몬스터계수[[#Data],[힘계수]],MATCH(E267, 몬스터계수[[#Data],[타입]],0),1)*C267,
IF(E267="방어형",INDEX(몬스터계수[[#Data],[힘계수]],MATCH(E267, 몬스터계수[[#Data],[타입]],0),1)*C267,
IF(E267="회피형",INDEX(몬스터계수[[#Data],[힘계수]],MATCH(E267, 몬스터계수[[#Data],[타입]],0),1)*C267,
IF(E267="체력형",INDEX(몬스터계수[[#Data],[힘계수]],MATCH(E267, 몬스터계수[[#Data],[타입]],0),1)*C267,0))))</f>
        <v>3303.75</v>
      </c>
      <c r="H267">
        <f>IF(E267="공격형",INDEX(몬스터계수[[#Data],[근력게수]],MATCH(E267,몬스터계수[[#Data],[타입]],0),1)*C267,
IF(E267="방어형",INDEX(몬스터계수[[#Data],[근력게수]],MATCH(E267,몬스터계수[[#Data],[타입]],0),1)*C267,
IF(E267="회피형",INDEX(몬스터계수[[#Data],[근력게수]],MATCH(E267,몬스터계수[[#Data],[타입]],0),1)*C267,
IF(E267="체력형",INDEX(몬스터계수[[#Data],[근력게수]],MATCH(E267,몬스터계수[[#Data],[타입]],0),1)*C267,0))))</f>
        <v>660.75</v>
      </c>
      <c r="I267">
        <f>IF(E267="공격형",INDEX(몬스터계수[[#Data],[숙련도계수]],MATCH(E267,몬스터계수[[#Data],[타입]],0),1)*C267,
IF(E267="방어형",INDEX(몬스터계수[[#Data],[숙련도계수]],MATCH(E267,몬스터계수[[#Data],[타입]],0),1)*C267,
IF(E267="회피형",INDEX(몬스터계수[[#Data],[숙련도계수]],MATCH(E267,몬스터계수[[#Data],[타입]],0),1)*C267,
IF(E267="체력형",INDEX(몬스터계수[[#Data],[숙련도계수]],MATCH(E267,몬스터계수[[#Data],[타입]],0),1)*C267,0))))</f>
        <v>1982.25</v>
      </c>
      <c r="J267">
        <f>IF(E267="공격형",INDEX(몬스터계수[[#Data],[행운계수]],MATCH(E267, 몬스터계수[[#Data],[타입]],0),1)*C267,
IF(E267="방어형",INDEX(몬스터계수[[#Data],[행운계수]],MATCH(E267, 몬스터계수[[#Data],[타입]],0),1)*C267,
IF(E267="회피형",INDEX(몬스터계수[[#Data],[행운계수]],MATCH(E267, 몬스터계수[[#Data],[타입]],0),1)*C267,
IF(E267="체력형",INDEX(몬스터계수[[#Data],[행운계수]],MATCH(E267, 몬스터계수[[#Data],[타입]],0),1)*C267,0))))</f>
        <v>660.75</v>
      </c>
      <c r="K267" s="34">
        <f>ROUND(
(($F267)*참고!$D$5)
+(($G267)*참고!$D$6)
+(($H267)*참고!$D$7)
+(($I267)*참고!$D$8)
+(($J267))*참고!$D$9,0)</f>
        <v>102747</v>
      </c>
      <c r="L267" s="34">
        <f>ROUND(
(($F267)*참고!$E$5)
+(($G267)*참고!$E$6)
+(($H267)*참고!$E$7)
+(($I267)*참고!$E$8)
+(($J267))*참고!$E$9,0)</f>
        <v>58807</v>
      </c>
      <c r="M267" s="34">
        <f>ROUND(
(($F267)*참고!$F$5)
+(($G267)*참고!$F$6)
+(($H267)*참고!$F$7)
+(($I267)*참고!$F$8)
+(($J267))*참고!$F$9,0)</f>
        <v>16519</v>
      </c>
      <c r="N267" s="34">
        <f>ROUND(
(($F267)*참고!$G$5)
+(($G267)*참고!$G$6)
+(($H267)*참고!$G$7)
+(($I267)*참고!$G$8)
+(($J267))*참고!$G$9,0)</f>
        <v>463</v>
      </c>
      <c r="O267" s="34">
        <f>ROUND(
(($F267)*참고!$H$5)
+(($G267)*참고!$H$6)
+(($H267)*참고!$H$7)
+(($I267)*참고!$H$8)
+(($J267))*참고!$H$9,0)</f>
        <v>10902</v>
      </c>
      <c r="P267" s="34">
        <f>ROUND(
(($F267)*참고!$I$5)
+(($G267)*참고!$I$6)
+(($H267)*참고!$I$7)
+(($I267)*참고!$I$8)
+(($J267))*참고!$I$9,0)</f>
        <v>19162</v>
      </c>
      <c r="Q267" s="34">
        <f>ROUND(
(($F267)*참고!$J$5)
+(($G267)*참고!$J$6)
+(($H267)*참고!$J$7)
+(($I267)*참고!$J$8)
+(($J267))*참고!$J$9,0)</f>
        <v>13215</v>
      </c>
      <c r="R267" s="34">
        <f>IF(E267="공격형",(INDEX(몬스터계수[[#Data],[속도]],MATCH(E267, 몬스터계수[[#Data],[타입]],0),1)*속도핸들러_곱계수)*(INT(몬스터밸런스[[#This Row],[Lv]]/속도핸들러_합계수+1)),
IF(E267="방어형",(INDEX(몬스터계수[[#Data],[속도]],MATCH(E267, 몬스터계수[[#Data],[타입]],0),1)*속도핸들러_곱계수)*(INT(몬스터밸런스[[#This Row],[Lv]]/속도핸들러_합계수+1)),
IF(E267="회피형",(INDEX(몬스터계수[[#Data],[속도]],MATCH(E267, 몬스터계수[[#Data],[타입]],0),1)*속도핸들러_곱계수)*(INT(몬스터밸런스[[#This Row],[Lv]]/속도핸들러_합계수+1)),
IF(E267="기본형",(INDEX(몬스터계수[[#Data],[속도]],MATCH(E267, 몬스터계수[[#Data],[타입]],0),1)*속도핸들러_곱계수)*(INT(몬스터밸런스[[#This Row],[Lv]]/속도핸들러_합계수+1)),0))))</f>
        <v>0</v>
      </c>
      <c r="S267">
        <f t="shared" si="13"/>
        <v>3527661</v>
      </c>
      <c r="U267">
        <v>3</v>
      </c>
      <c r="V267">
        <v>265</v>
      </c>
      <c r="W267">
        <f>$Z$1*몬스터밸런스9[[#This Row],[단계]]</f>
        <v>15</v>
      </c>
      <c r="X267" t="s">
        <v>67</v>
      </c>
      <c r="AE267" s="34">
        <f>몬스터밸런스[[#This Row],[생명]]*0.1</f>
        <v>660.75</v>
      </c>
      <c r="AF267" s="34"/>
      <c r="AG267" s="34">
        <f>몬스터밸런스[[#This Row],[Defense]]*0.4</f>
        <v>6607.6</v>
      </c>
      <c r="AH267" s="34"/>
      <c r="AI267" s="34"/>
      <c r="AJ267" s="34"/>
      <c r="AK267" s="34"/>
    </row>
    <row r="268" spans="1:37">
      <c r="A268">
        <v>2650</v>
      </c>
      <c r="B268">
        <v>266</v>
      </c>
      <c r="C268">
        <f>$F$1*몬스터밸런스[[#This Row],[Lv]]+15</f>
        <v>13265</v>
      </c>
      <c r="E268" t="s">
        <v>479</v>
      </c>
      <c r="F268">
        <f>IF(E268="공격형",INDEX(몬스터계수[[#Data],[생명계수]],MATCH(E268,몬스터계수[[#Data],[타입]],0),1)*C268,
IF(E268="방어형",INDEX(몬스터계수[[#Data],[생명계수]],MATCH(E268,몬스터계수[[#Data],[타입]],0),1)*C268,
IF(E268="회피형",INDEX(몬스터계수[[#Data],[생명계수]],MATCH(E268,몬스터계수[[#Data],[타입]],0),1)*C268,
IF(E268="체력형",INDEX(몬스터계수[[#Data],[생명계수]],MATCH(E268,몬스터계수[[#Data],[타입]],0),1)*C268,0))))*IF(몬스터밸런스[[#This Row],[보스]]=TRUE,2,1)</f>
        <v>6632.5</v>
      </c>
      <c r="G268">
        <f>IF(E268="공격형",INDEX(몬스터계수[[#Data],[힘계수]],MATCH(E268, 몬스터계수[[#Data],[타입]],0),1)*C268,
IF(E268="방어형",INDEX(몬스터계수[[#Data],[힘계수]],MATCH(E268, 몬스터계수[[#Data],[타입]],0),1)*C268,
IF(E268="회피형",INDEX(몬스터계수[[#Data],[힘계수]],MATCH(E268, 몬스터계수[[#Data],[타입]],0),1)*C268,
IF(E268="체력형",INDEX(몬스터계수[[#Data],[힘계수]],MATCH(E268, 몬스터계수[[#Data],[타입]],0),1)*C268,0))))</f>
        <v>3316.25</v>
      </c>
      <c r="H268">
        <f>IF(E268="공격형",INDEX(몬스터계수[[#Data],[근력게수]],MATCH(E268,몬스터계수[[#Data],[타입]],0),1)*C268,
IF(E268="방어형",INDEX(몬스터계수[[#Data],[근력게수]],MATCH(E268,몬스터계수[[#Data],[타입]],0),1)*C268,
IF(E268="회피형",INDEX(몬스터계수[[#Data],[근력게수]],MATCH(E268,몬스터계수[[#Data],[타입]],0),1)*C268,
IF(E268="체력형",INDEX(몬스터계수[[#Data],[근력게수]],MATCH(E268,몬스터계수[[#Data],[타입]],0),1)*C268,0))))</f>
        <v>663.25</v>
      </c>
      <c r="I268">
        <f>IF(E268="공격형",INDEX(몬스터계수[[#Data],[숙련도계수]],MATCH(E268,몬스터계수[[#Data],[타입]],0),1)*C268,
IF(E268="방어형",INDEX(몬스터계수[[#Data],[숙련도계수]],MATCH(E268,몬스터계수[[#Data],[타입]],0),1)*C268,
IF(E268="회피형",INDEX(몬스터계수[[#Data],[숙련도계수]],MATCH(E268,몬스터계수[[#Data],[타입]],0),1)*C268,
IF(E268="체력형",INDEX(몬스터계수[[#Data],[숙련도계수]],MATCH(E268,몬스터계수[[#Data],[타입]],0),1)*C268,0))))</f>
        <v>1989.75</v>
      </c>
      <c r="J268">
        <f>IF(E268="공격형",INDEX(몬스터계수[[#Data],[행운계수]],MATCH(E268, 몬스터계수[[#Data],[타입]],0),1)*C268,
IF(E268="방어형",INDEX(몬스터계수[[#Data],[행운계수]],MATCH(E268, 몬스터계수[[#Data],[타입]],0),1)*C268,
IF(E268="회피형",INDEX(몬스터계수[[#Data],[행운계수]],MATCH(E268, 몬스터계수[[#Data],[타입]],0),1)*C268,
IF(E268="체력형",INDEX(몬스터계수[[#Data],[행운계수]],MATCH(E268, 몬스터계수[[#Data],[타입]],0),1)*C268,0))))</f>
        <v>663.25</v>
      </c>
      <c r="K268" s="34">
        <f>ROUND(
(($F268)*참고!$D$5)
+(($G268)*참고!$D$6)
+(($H268)*참고!$D$7)
+(($I268)*참고!$D$8)
+(($J268))*참고!$D$9,0)</f>
        <v>103135</v>
      </c>
      <c r="L268" s="34">
        <f>ROUND(
(($F268)*참고!$E$5)
+(($G268)*참고!$E$6)
+(($H268)*참고!$E$7)
+(($I268)*참고!$E$8)
+(($J268))*참고!$E$9,0)</f>
        <v>59029</v>
      </c>
      <c r="M268" s="34">
        <f>ROUND(
(($F268)*참고!$F$5)
+(($G268)*참고!$F$6)
+(($H268)*참고!$F$7)
+(($I268)*참고!$F$8)
+(($J268))*참고!$F$9,0)</f>
        <v>16581</v>
      </c>
      <c r="N268" s="34">
        <f>ROUND(
(($F268)*참고!$G$5)
+(($G268)*참고!$G$6)
+(($H268)*참고!$G$7)
+(($I268)*참고!$G$8)
+(($J268))*참고!$G$9,0)</f>
        <v>464</v>
      </c>
      <c r="O268" s="34">
        <f>ROUND(
(($F268)*참고!$H$5)
+(($G268)*참고!$H$6)
+(($H268)*참고!$H$7)
+(($I268)*참고!$H$8)
+(($J268))*참고!$H$9,0)</f>
        <v>10944</v>
      </c>
      <c r="P268" s="34">
        <f>ROUND(
(($F268)*참고!$I$5)
+(($G268)*참고!$I$6)
+(($H268)*참고!$I$7)
+(($I268)*참고!$I$8)
+(($J268))*참고!$I$9,0)</f>
        <v>19234</v>
      </c>
      <c r="Q268" s="34">
        <f>ROUND(
(($F268)*참고!$J$5)
+(($G268)*참고!$J$6)
+(($H268)*참고!$J$7)
+(($I268)*참고!$J$8)
+(($J268))*참고!$J$9,0)</f>
        <v>13265</v>
      </c>
      <c r="R268" s="34">
        <f>IF(E268="공격형",(INDEX(몬스터계수[[#Data],[속도]],MATCH(E268, 몬스터계수[[#Data],[타입]],0),1)*속도핸들러_곱계수)*(INT(몬스터밸런스[[#This Row],[Lv]]/속도핸들러_합계수+1)),
IF(E268="방어형",(INDEX(몬스터계수[[#Data],[속도]],MATCH(E268, 몬스터계수[[#Data],[타입]],0),1)*속도핸들러_곱계수)*(INT(몬스터밸런스[[#This Row],[Lv]]/속도핸들러_합계수+1)),
IF(E268="회피형",(INDEX(몬스터계수[[#Data],[속도]],MATCH(E268, 몬스터계수[[#Data],[타입]],0),1)*속도핸들러_곱계수)*(INT(몬스터밸런스[[#This Row],[Lv]]/속도핸들러_합계수+1)),
IF(E268="기본형",(INDEX(몬스터계수[[#Data],[속도]],MATCH(E268, 몬스터계수[[#Data],[타입]],0),1)*속도핸들러_곱계수)*(INT(몬스터밸런스[[#This Row],[Lv]]/속도핸들러_합계수+1)),0))))</f>
        <v>0</v>
      </c>
      <c r="S268">
        <f t="shared" si="13"/>
        <v>3540976.5</v>
      </c>
      <c r="U268">
        <v>4</v>
      </c>
      <c r="V268">
        <v>266</v>
      </c>
      <c r="W268">
        <f>$Z$1*몬스터밸런스9[[#This Row],[단계]]</f>
        <v>20</v>
      </c>
      <c r="X268" t="s">
        <v>67</v>
      </c>
      <c r="AE268" s="34">
        <f>몬스터밸런스[[#This Row],[생명]]*0.1</f>
        <v>663.25</v>
      </c>
      <c r="AF268" s="34"/>
      <c r="AG268" s="34">
        <f>몬스터밸런스[[#This Row],[Defense]]*0.4</f>
        <v>6632.4000000000005</v>
      </c>
      <c r="AH268" s="34"/>
      <c r="AI268" s="34"/>
      <c r="AJ268" s="34"/>
      <c r="AK268" s="34"/>
    </row>
    <row r="269" spans="1:37">
      <c r="A269">
        <v>2660</v>
      </c>
      <c r="B269">
        <v>267</v>
      </c>
      <c r="C269">
        <f>$F$1*몬스터밸런스[[#This Row],[Lv]]+15</f>
        <v>13315</v>
      </c>
      <c r="E269" t="s">
        <v>479</v>
      </c>
      <c r="F269">
        <f>IF(E269="공격형",INDEX(몬스터계수[[#Data],[생명계수]],MATCH(E269,몬스터계수[[#Data],[타입]],0),1)*C269,
IF(E269="방어형",INDEX(몬스터계수[[#Data],[생명계수]],MATCH(E269,몬스터계수[[#Data],[타입]],0),1)*C269,
IF(E269="회피형",INDEX(몬스터계수[[#Data],[생명계수]],MATCH(E269,몬스터계수[[#Data],[타입]],0),1)*C269,
IF(E269="체력형",INDEX(몬스터계수[[#Data],[생명계수]],MATCH(E269,몬스터계수[[#Data],[타입]],0),1)*C269,0))))*IF(몬스터밸런스[[#This Row],[보스]]=TRUE,2,1)</f>
        <v>6657.5</v>
      </c>
      <c r="G269">
        <f>IF(E269="공격형",INDEX(몬스터계수[[#Data],[힘계수]],MATCH(E269, 몬스터계수[[#Data],[타입]],0),1)*C269,
IF(E269="방어형",INDEX(몬스터계수[[#Data],[힘계수]],MATCH(E269, 몬스터계수[[#Data],[타입]],0),1)*C269,
IF(E269="회피형",INDEX(몬스터계수[[#Data],[힘계수]],MATCH(E269, 몬스터계수[[#Data],[타입]],0),1)*C269,
IF(E269="체력형",INDEX(몬스터계수[[#Data],[힘계수]],MATCH(E269, 몬스터계수[[#Data],[타입]],0),1)*C269,0))))</f>
        <v>3328.75</v>
      </c>
      <c r="H269">
        <f>IF(E269="공격형",INDEX(몬스터계수[[#Data],[근력게수]],MATCH(E269,몬스터계수[[#Data],[타입]],0),1)*C269,
IF(E269="방어형",INDEX(몬스터계수[[#Data],[근력게수]],MATCH(E269,몬스터계수[[#Data],[타입]],0),1)*C269,
IF(E269="회피형",INDEX(몬스터계수[[#Data],[근력게수]],MATCH(E269,몬스터계수[[#Data],[타입]],0),1)*C269,
IF(E269="체력형",INDEX(몬스터계수[[#Data],[근력게수]],MATCH(E269,몬스터계수[[#Data],[타입]],0),1)*C269,0))))</f>
        <v>665.75</v>
      </c>
      <c r="I269">
        <f>IF(E269="공격형",INDEX(몬스터계수[[#Data],[숙련도계수]],MATCH(E269,몬스터계수[[#Data],[타입]],0),1)*C269,
IF(E269="방어형",INDEX(몬스터계수[[#Data],[숙련도계수]],MATCH(E269,몬스터계수[[#Data],[타입]],0),1)*C269,
IF(E269="회피형",INDEX(몬스터계수[[#Data],[숙련도계수]],MATCH(E269,몬스터계수[[#Data],[타입]],0),1)*C269,
IF(E269="체력형",INDEX(몬스터계수[[#Data],[숙련도계수]],MATCH(E269,몬스터계수[[#Data],[타입]],0),1)*C269,0))))</f>
        <v>1997.25</v>
      </c>
      <c r="J269">
        <f>IF(E269="공격형",INDEX(몬스터계수[[#Data],[행운계수]],MATCH(E269, 몬스터계수[[#Data],[타입]],0),1)*C269,
IF(E269="방어형",INDEX(몬스터계수[[#Data],[행운계수]],MATCH(E269, 몬스터계수[[#Data],[타입]],0),1)*C269,
IF(E269="회피형",INDEX(몬스터계수[[#Data],[행운계수]],MATCH(E269, 몬스터계수[[#Data],[타입]],0),1)*C269,
IF(E269="체력형",INDEX(몬스터계수[[#Data],[행운계수]],MATCH(E269, 몬스터계수[[#Data],[타입]],0),1)*C269,0))))</f>
        <v>665.75</v>
      </c>
      <c r="K269" s="34">
        <f>ROUND(
(($F269)*참고!$D$5)
+(($G269)*참고!$D$6)
+(($H269)*참고!$D$7)
+(($I269)*참고!$D$8)
+(($J269))*참고!$D$9,0)</f>
        <v>103524</v>
      </c>
      <c r="L269" s="34">
        <f>ROUND(
(($F269)*참고!$E$5)
+(($G269)*참고!$E$6)
+(($H269)*참고!$E$7)
+(($I269)*참고!$E$8)
+(($J269))*참고!$E$9,0)</f>
        <v>59252</v>
      </c>
      <c r="M269" s="34">
        <f>ROUND(
(($F269)*참고!$F$5)
+(($G269)*참고!$F$6)
+(($H269)*참고!$F$7)
+(($I269)*참고!$F$8)
+(($J269))*참고!$F$9,0)</f>
        <v>16644</v>
      </c>
      <c r="N269" s="34">
        <f>ROUND(
(($F269)*참고!$G$5)
+(($G269)*참고!$G$6)
+(($H269)*참고!$G$7)
+(($I269)*참고!$G$8)
+(($J269))*참고!$G$9,0)</f>
        <v>466</v>
      </c>
      <c r="O269" s="34">
        <f>ROUND(
(($F269)*참고!$H$5)
+(($G269)*참고!$H$6)
+(($H269)*참고!$H$7)
+(($I269)*참고!$H$8)
+(($J269))*참고!$H$9,0)</f>
        <v>10985</v>
      </c>
      <c r="P269" s="34">
        <f>ROUND(
(($F269)*참고!$I$5)
+(($G269)*참고!$I$6)
+(($H269)*참고!$I$7)
+(($I269)*참고!$I$8)
+(($J269))*참고!$I$9,0)</f>
        <v>19307</v>
      </c>
      <c r="Q269" s="34">
        <f>ROUND(
(($F269)*참고!$J$5)
+(($G269)*참고!$J$6)
+(($H269)*참고!$J$7)
+(($I269)*참고!$J$8)
+(($J269))*참고!$J$9,0)</f>
        <v>13315</v>
      </c>
      <c r="R269" s="34">
        <f>IF(E269="공격형",(INDEX(몬스터계수[[#Data],[속도]],MATCH(E269, 몬스터계수[[#Data],[타입]],0),1)*속도핸들러_곱계수)*(INT(몬스터밸런스[[#This Row],[Lv]]/속도핸들러_합계수+1)),
IF(E269="방어형",(INDEX(몬스터계수[[#Data],[속도]],MATCH(E269, 몬스터계수[[#Data],[타입]],0),1)*속도핸들러_곱계수)*(INT(몬스터밸런스[[#This Row],[Lv]]/속도핸들러_합계수+1)),
IF(E269="회피형",(INDEX(몬스터계수[[#Data],[속도]],MATCH(E269, 몬스터계수[[#Data],[타입]],0),1)*속도핸들러_곱계수)*(INT(몬스터밸런스[[#This Row],[Lv]]/속도핸들러_합계수+1)),
IF(E269="기본형",(INDEX(몬스터계수[[#Data],[속도]],MATCH(E269, 몬스터계수[[#Data],[타입]],0),1)*속도핸들러_곱계수)*(INT(몬스터밸런스[[#This Row],[Lv]]/속도핸들러_합계수+1)),0))))</f>
        <v>0</v>
      </c>
      <c r="S269">
        <f t="shared" si="13"/>
        <v>3554348.5</v>
      </c>
      <c r="U269">
        <v>4</v>
      </c>
      <c r="V269">
        <v>267</v>
      </c>
      <c r="W269">
        <f>$Z$1*몬스터밸런스9[[#This Row],[단계]]</f>
        <v>20</v>
      </c>
      <c r="X269" t="s">
        <v>67</v>
      </c>
      <c r="AE269" s="34">
        <f>몬스터밸런스[[#This Row],[생명]]*0.1</f>
        <v>665.75</v>
      </c>
      <c r="AF269" s="34"/>
      <c r="AG269" s="34">
        <f>몬스터밸런스[[#This Row],[Defense]]*0.4</f>
        <v>6657.6</v>
      </c>
      <c r="AH269" s="34"/>
      <c r="AI269" s="34"/>
      <c r="AJ269" s="34"/>
      <c r="AK269" s="34"/>
    </row>
    <row r="270" spans="1:37">
      <c r="A270">
        <v>2670</v>
      </c>
      <c r="B270">
        <v>268</v>
      </c>
      <c r="C270">
        <f>$F$1*몬스터밸런스[[#This Row],[Lv]]+15</f>
        <v>13365</v>
      </c>
      <c r="E270" t="s">
        <v>479</v>
      </c>
      <c r="F270">
        <f>IF(E270="공격형",INDEX(몬스터계수[[#Data],[생명계수]],MATCH(E270,몬스터계수[[#Data],[타입]],0),1)*C270,
IF(E270="방어형",INDEX(몬스터계수[[#Data],[생명계수]],MATCH(E270,몬스터계수[[#Data],[타입]],0),1)*C270,
IF(E270="회피형",INDEX(몬스터계수[[#Data],[생명계수]],MATCH(E270,몬스터계수[[#Data],[타입]],0),1)*C270,
IF(E270="체력형",INDEX(몬스터계수[[#Data],[생명계수]],MATCH(E270,몬스터계수[[#Data],[타입]],0),1)*C270,0))))*IF(몬스터밸런스[[#This Row],[보스]]=TRUE,2,1)</f>
        <v>6682.5</v>
      </c>
      <c r="G270">
        <f>IF(E270="공격형",INDEX(몬스터계수[[#Data],[힘계수]],MATCH(E270, 몬스터계수[[#Data],[타입]],0),1)*C270,
IF(E270="방어형",INDEX(몬스터계수[[#Data],[힘계수]],MATCH(E270, 몬스터계수[[#Data],[타입]],0),1)*C270,
IF(E270="회피형",INDEX(몬스터계수[[#Data],[힘계수]],MATCH(E270, 몬스터계수[[#Data],[타입]],0),1)*C270,
IF(E270="체력형",INDEX(몬스터계수[[#Data],[힘계수]],MATCH(E270, 몬스터계수[[#Data],[타입]],0),1)*C270,0))))</f>
        <v>3341.25</v>
      </c>
      <c r="H270">
        <f>IF(E270="공격형",INDEX(몬스터계수[[#Data],[근력게수]],MATCH(E270,몬스터계수[[#Data],[타입]],0),1)*C270,
IF(E270="방어형",INDEX(몬스터계수[[#Data],[근력게수]],MATCH(E270,몬스터계수[[#Data],[타입]],0),1)*C270,
IF(E270="회피형",INDEX(몬스터계수[[#Data],[근력게수]],MATCH(E270,몬스터계수[[#Data],[타입]],0),1)*C270,
IF(E270="체력형",INDEX(몬스터계수[[#Data],[근력게수]],MATCH(E270,몬스터계수[[#Data],[타입]],0),1)*C270,0))))</f>
        <v>668.25</v>
      </c>
      <c r="I270">
        <f>IF(E270="공격형",INDEX(몬스터계수[[#Data],[숙련도계수]],MATCH(E270,몬스터계수[[#Data],[타입]],0),1)*C270,
IF(E270="방어형",INDEX(몬스터계수[[#Data],[숙련도계수]],MATCH(E270,몬스터계수[[#Data],[타입]],0),1)*C270,
IF(E270="회피형",INDEX(몬스터계수[[#Data],[숙련도계수]],MATCH(E270,몬스터계수[[#Data],[타입]],0),1)*C270,
IF(E270="체력형",INDEX(몬스터계수[[#Data],[숙련도계수]],MATCH(E270,몬스터계수[[#Data],[타입]],0),1)*C270,0))))</f>
        <v>2004.75</v>
      </c>
      <c r="J270">
        <f>IF(E270="공격형",INDEX(몬스터계수[[#Data],[행운계수]],MATCH(E270, 몬스터계수[[#Data],[타입]],0),1)*C270,
IF(E270="방어형",INDEX(몬스터계수[[#Data],[행운계수]],MATCH(E270, 몬스터계수[[#Data],[타입]],0),1)*C270,
IF(E270="회피형",INDEX(몬스터계수[[#Data],[행운계수]],MATCH(E270, 몬스터계수[[#Data],[타입]],0),1)*C270,
IF(E270="체력형",INDEX(몬스터계수[[#Data],[행운계수]],MATCH(E270, 몬스터계수[[#Data],[타입]],0),1)*C270,0))))</f>
        <v>668.25</v>
      </c>
      <c r="K270" s="34">
        <f>ROUND(
(($F270)*참고!$D$5)
+(($G270)*참고!$D$6)
+(($H270)*참고!$D$7)
+(($I270)*참고!$D$8)
+(($J270))*참고!$D$9,0)</f>
        <v>103913</v>
      </c>
      <c r="L270" s="34">
        <f>ROUND(
(($F270)*참고!$E$5)
+(($G270)*참고!$E$6)
+(($H270)*참고!$E$7)
+(($I270)*참고!$E$8)
+(($J270))*참고!$E$9,0)</f>
        <v>59474</v>
      </c>
      <c r="M270" s="34">
        <f>ROUND(
(($F270)*참고!$F$5)
+(($G270)*참고!$F$6)
+(($H270)*참고!$F$7)
+(($I270)*참고!$F$8)
+(($J270))*참고!$F$9,0)</f>
        <v>16706</v>
      </c>
      <c r="N270" s="34">
        <f>ROUND(
(($F270)*참고!$G$5)
+(($G270)*참고!$G$6)
+(($H270)*참고!$G$7)
+(($I270)*참고!$G$8)
+(($J270))*참고!$G$9,0)</f>
        <v>468</v>
      </c>
      <c r="O270" s="34">
        <f>ROUND(
(($F270)*참고!$H$5)
+(($G270)*참고!$H$6)
+(($H270)*참고!$H$7)
+(($I270)*참고!$H$8)
+(($J270))*참고!$H$9,0)</f>
        <v>11026</v>
      </c>
      <c r="P270" s="34">
        <f>ROUND(
(($F270)*참고!$I$5)
+(($G270)*참고!$I$6)
+(($H270)*참고!$I$7)
+(($I270)*참고!$I$8)
+(($J270))*참고!$I$9,0)</f>
        <v>19379</v>
      </c>
      <c r="Q270" s="34">
        <f>ROUND(
(($F270)*참고!$J$5)
+(($G270)*참고!$J$6)
+(($H270)*참고!$J$7)
+(($I270)*참고!$J$8)
+(($J270))*참고!$J$9,0)</f>
        <v>13365</v>
      </c>
      <c r="R270" s="34">
        <f>IF(E270="공격형",(INDEX(몬스터계수[[#Data],[속도]],MATCH(E270, 몬스터계수[[#Data],[타입]],0),1)*속도핸들러_곱계수)*(INT(몬스터밸런스[[#This Row],[Lv]]/속도핸들러_합계수+1)),
IF(E270="방어형",(INDEX(몬스터계수[[#Data],[속도]],MATCH(E270, 몬스터계수[[#Data],[타입]],0),1)*속도핸들러_곱계수)*(INT(몬스터밸런스[[#This Row],[Lv]]/속도핸들러_합계수+1)),
IF(E270="회피형",(INDEX(몬스터계수[[#Data],[속도]],MATCH(E270, 몬스터계수[[#Data],[타입]],0),1)*속도핸들러_곱계수)*(INT(몬스터밸런스[[#This Row],[Lv]]/속도핸들러_합계수+1)),
IF(E270="기본형",(INDEX(몬스터계수[[#Data],[속도]],MATCH(E270, 몬스터계수[[#Data],[타입]],0),1)*속도핸들러_곱계수)*(INT(몬스터밸런스[[#This Row],[Lv]]/속도핸들러_합계수+1)),0))))</f>
        <v>0</v>
      </c>
      <c r="S270">
        <f t="shared" si="13"/>
        <v>3567677.5</v>
      </c>
      <c r="U270">
        <v>4</v>
      </c>
      <c r="V270">
        <v>268</v>
      </c>
      <c r="W270">
        <f>$Z$1*몬스터밸런스9[[#This Row],[단계]]</f>
        <v>20</v>
      </c>
      <c r="X270" t="s">
        <v>67</v>
      </c>
      <c r="AE270" s="34">
        <f>몬스터밸런스[[#This Row],[생명]]*0.1</f>
        <v>668.25</v>
      </c>
      <c r="AF270" s="34"/>
      <c r="AG270" s="34">
        <f>몬스터밸런스[[#This Row],[Defense]]*0.4</f>
        <v>6682.4000000000005</v>
      </c>
      <c r="AH270" s="34"/>
      <c r="AI270" s="34"/>
      <c r="AJ270" s="34"/>
      <c r="AK270" s="34"/>
    </row>
    <row r="271" spans="1:37">
      <c r="A271">
        <v>2680</v>
      </c>
      <c r="B271">
        <v>269</v>
      </c>
      <c r="C271">
        <f>$F$1*몬스터밸런스[[#This Row],[Lv]]+15</f>
        <v>13415</v>
      </c>
      <c r="E271" t="s">
        <v>479</v>
      </c>
      <c r="F271">
        <f>IF(E271="공격형",INDEX(몬스터계수[[#Data],[생명계수]],MATCH(E271,몬스터계수[[#Data],[타입]],0),1)*C271,
IF(E271="방어형",INDEX(몬스터계수[[#Data],[생명계수]],MATCH(E271,몬스터계수[[#Data],[타입]],0),1)*C271,
IF(E271="회피형",INDEX(몬스터계수[[#Data],[생명계수]],MATCH(E271,몬스터계수[[#Data],[타입]],0),1)*C271,
IF(E271="체력형",INDEX(몬스터계수[[#Data],[생명계수]],MATCH(E271,몬스터계수[[#Data],[타입]],0),1)*C271,0))))*IF(몬스터밸런스[[#This Row],[보스]]=TRUE,2,1)</f>
        <v>6707.5</v>
      </c>
      <c r="G271">
        <f>IF(E271="공격형",INDEX(몬스터계수[[#Data],[힘계수]],MATCH(E271, 몬스터계수[[#Data],[타입]],0),1)*C271,
IF(E271="방어형",INDEX(몬스터계수[[#Data],[힘계수]],MATCH(E271, 몬스터계수[[#Data],[타입]],0),1)*C271,
IF(E271="회피형",INDEX(몬스터계수[[#Data],[힘계수]],MATCH(E271, 몬스터계수[[#Data],[타입]],0),1)*C271,
IF(E271="체력형",INDEX(몬스터계수[[#Data],[힘계수]],MATCH(E271, 몬스터계수[[#Data],[타입]],0),1)*C271,0))))</f>
        <v>3353.75</v>
      </c>
      <c r="H271">
        <f>IF(E271="공격형",INDEX(몬스터계수[[#Data],[근력게수]],MATCH(E271,몬스터계수[[#Data],[타입]],0),1)*C271,
IF(E271="방어형",INDEX(몬스터계수[[#Data],[근력게수]],MATCH(E271,몬스터계수[[#Data],[타입]],0),1)*C271,
IF(E271="회피형",INDEX(몬스터계수[[#Data],[근력게수]],MATCH(E271,몬스터계수[[#Data],[타입]],0),1)*C271,
IF(E271="체력형",INDEX(몬스터계수[[#Data],[근력게수]],MATCH(E271,몬스터계수[[#Data],[타입]],0),1)*C271,0))))</f>
        <v>670.75</v>
      </c>
      <c r="I271">
        <f>IF(E271="공격형",INDEX(몬스터계수[[#Data],[숙련도계수]],MATCH(E271,몬스터계수[[#Data],[타입]],0),1)*C271,
IF(E271="방어형",INDEX(몬스터계수[[#Data],[숙련도계수]],MATCH(E271,몬스터계수[[#Data],[타입]],0),1)*C271,
IF(E271="회피형",INDEX(몬스터계수[[#Data],[숙련도계수]],MATCH(E271,몬스터계수[[#Data],[타입]],0),1)*C271,
IF(E271="체력형",INDEX(몬스터계수[[#Data],[숙련도계수]],MATCH(E271,몬스터계수[[#Data],[타입]],0),1)*C271,0))))</f>
        <v>2012.25</v>
      </c>
      <c r="J271">
        <f>IF(E271="공격형",INDEX(몬스터계수[[#Data],[행운계수]],MATCH(E271, 몬스터계수[[#Data],[타입]],0),1)*C271,
IF(E271="방어형",INDEX(몬스터계수[[#Data],[행운계수]],MATCH(E271, 몬스터계수[[#Data],[타입]],0),1)*C271,
IF(E271="회피형",INDEX(몬스터계수[[#Data],[행운계수]],MATCH(E271, 몬스터계수[[#Data],[타입]],0),1)*C271,
IF(E271="체력형",INDEX(몬스터계수[[#Data],[행운계수]],MATCH(E271, 몬스터계수[[#Data],[타입]],0),1)*C271,0))))</f>
        <v>670.75</v>
      </c>
      <c r="K271" s="34">
        <f>ROUND(
(($F271)*참고!$D$5)
+(($G271)*참고!$D$6)
+(($H271)*참고!$D$7)
+(($I271)*참고!$D$8)
+(($J271))*참고!$D$9,0)</f>
        <v>104302</v>
      </c>
      <c r="L271" s="34">
        <f>ROUND(
(($F271)*참고!$E$5)
+(($G271)*참고!$E$6)
+(($H271)*참고!$E$7)
+(($I271)*참고!$E$8)
+(($J271))*참고!$E$9,0)</f>
        <v>59697</v>
      </c>
      <c r="M271" s="34">
        <f>ROUND(
(($F271)*참고!$F$5)
+(($G271)*참고!$F$6)
+(($H271)*참고!$F$7)
+(($I271)*참고!$F$8)
+(($J271))*참고!$F$9,0)</f>
        <v>16769</v>
      </c>
      <c r="N271" s="34">
        <f>ROUND(
(($F271)*참고!$G$5)
+(($G271)*참고!$G$6)
+(($H271)*참고!$G$7)
+(($I271)*참고!$G$8)
+(($J271))*참고!$G$9,0)</f>
        <v>470</v>
      </c>
      <c r="O271" s="34">
        <f>ROUND(
(($F271)*참고!$H$5)
+(($G271)*참고!$H$6)
+(($H271)*참고!$H$7)
+(($I271)*참고!$H$8)
+(($J271))*참고!$H$9,0)</f>
        <v>11067</v>
      </c>
      <c r="P271" s="34">
        <f>ROUND(
(($F271)*참고!$I$5)
+(($G271)*참고!$I$6)
+(($H271)*참고!$I$7)
+(($I271)*참고!$I$8)
+(($J271))*참고!$I$9,0)</f>
        <v>19452</v>
      </c>
      <c r="Q271" s="34">
        <f>ROUND(
(($F271)*참고!$J$5)
+(($G271)*참고!$J$6)
+(($H271)*참고!$J$7)
+(($I271)*참고!$J$8)
+(($J271))*참고!$J$9,0)</f>
        <v>13415</v>
      </c>
      <c r="R271" s="34">
        <f>IF(E271="공격형",(INDEX(몬스터계수[[#Data],[속도]],MATCH(E271, 몬스터계수[[#Data],[타입]],0),1)*속도핸들러_곱계수)*(INT(몬스터밸런스[[#This Row],[Lv]]/속도핸들러_합계수+1)),
IF(E271="방어형",(INDEX(몬스터계수[[#Data],[속도]],MATCH(E271, 몬스터계수[[#Data],[타입]],0),1)*속도핸들러_곱계수)*(INT(몬스터밸런스[[#This Row],[Lv]]/속도핸들러_합계수+1)),
IF(E271="회피형",(INDEX(몬스터계수[[#Data],[속도]],MATCH(E271, 몬스터계수[[#Data],[타입]],0),1)*속도핸들러_곱계수)*(INT(몬스터밸런스[[#This Row],[Lv]]/속도핸들러_합계수+1)),
IF(E271="기본형",(INDEX(몬스터계수[[#Data],[속도]],MATCH(E271, 몬스터계수[[#Data],[타입]],0),1)*속도핸들러_곱계수)*(INT(몬스터밸런스[[#This Row],[Lv]]/속도핸들러_합계수+1)),0))))</f>
        <v>0</v>
      </c>
      <c r="S271">
        <f t="shared" si="13"/>
        <v>3581049.5</v>
      </c>
      <c r="U271">
        <v>4</v>
      </c>
      <c r="V271">
        <v>269</v>
      </c>
      <c r="W271">
        <f>$Z$1*몬스터밸런스9[[#This Row],[단계]]</f>
        <v>20</v>
      </c>
      <c r="X271" t="s">
        <v>67</v>
      </c>
      <c r="AE271" s="34">
        <f>몬스터밸런스[[#This Row],[생명]]*0.1</f>
        <v>670.75</v>
      </c>
      <c r="AF271" s="34"/>
      <c r="AG271" s="34">
        <f>몬스터밸런스[[#This Row],[Defense]]*0.4</f>
        <v>6707.6</v>
      </c>
      <c r="AH271" s="34"/>
      <c r="AI271" s="34"/>
      <c r="AJ271" s="34"/>
      <c r="AK271" s="34"/>
    </row>
    <row r="272" spans="1:37">
      <c r="A272">
        <v>2690</v>
      </c>
      <c r="B272">
        <v>270</v>
      </c>
      <c r="C272">
        <f>$F$1*몬스터밸런스[[#This Row],[Lv]]+15</f>
        <v>13465</v>
      </c>
      <c r="E272" t="s">
        <v>479</v>
      </c>
      <c r="F272">
        <f>IF(E272="공격형",INDEX(몬스터계수[[#Data],[생명계수]],MATCH(E272,몬스터계수[[#Data],[타입]],0),1)*C272,
IF(E272="방어형",INDEX(몬스터계수[[#Data],[생명계수]],MATCH(E272,몬스터계수[[#Data],[타입]],0),1)*C272,
IF(E272="회피형",INDEX(몬스터계수[[#Data],[생명계수]],MATCH(E272,몬스터계수[[#Data],[타입]],0),1)*C272,
IF(E272="체력형",INDEX(몬스터계수[[#Data],[생명계수]],MATCH(E272,몬스터계수[[#Data],[타입]],0),1)*C272,0))))*IF(몬스터밸런스[[#This Row],[보스]]=TRUE,2,1)</f>
        <v>6732.5</v>
      </c>
      <c r="G272">
        <f>IF(E272="공격형",INDEX(몬스터계수[[#Data],[힘계수]],MATCH(E272, 몬스터계수[[#Data],[타입]],0),1)*C272,
IF(E272="방어형",INDEX(몬스터계수[[#Data],[힘계수]],MATCH(E272, 몬스터계수[[#Data],[타입]],0),1)*C272,
IF(E272="회피형",INDEX(몬스터계수[[#Data],[힘계수]],MATCH(E272, 몬스터계수[[#Data],[타입]],0),1)*C272,
IF(E272="체력형",INDEX(몬스터계수[[#Data],[힘계수]],MATCH(E272, 몬스터계수[[#Data],[타입]],0),1)*C272,0))))</f>
        <v>3366.25</v>
      </c>
      <c r="H272">
        <f>IF(E272="공격형",INDEX(몬스터계수[[#Data],[근력게수]],MATCH(E272,몬스터계수[[#Data],[타입]],0),1)*C272,
IF(E272="방어형",INDEX(몬스터계수[[#Data],[근력게수]],MATCH(E272,몬스터계수[[#Data],[타입]],0),1)*C272,
IF(E272="회피형",INDEX(몬스터계수[[#Data],[근력게수]],MATCH(E272,몬스터계수[[#Data],[타입]],0),1)*C272,
IF(E272="체력형",INDEX(몬스터계수[[#Data],[근력게수]],MATCH(E272,몬스터계수[[#Data],[타입]],0),1)*C272,0))))</f>
        <v>673.25</v>
      </c>
      <c r="I272">
        <f>IF(E272="공격형",INDEX(몬스터계수[[#Data],[숙련도계수]],MATCH(E272,몬스터계수[[#Data],[타입]],0),1)*C272,
IF(E272="방어형",INDEX(몬스터계수[[#Data],[숙련도계수]],MATCH(E272,몬스터계수[[#Data],[타입]],0),1)*C272,
IF(E272="회피형",INDEX(몬스터계수[[#Data],[숙련도계수]],MATCH(E272,몬스터계수[[#Data],[타입]],0),1)*C272,
IF(E272="체력형",INDEX(몬스터계수[[#Data],[숙련도계수]],MATCH(E272,몬스터계수[[#Data],[타입]],0),1)*C272,0))))</f>
        <v>2019.75</v>
      </c>
      <c r="J272">
        <f>IF(E272="공격형",INDEX(몬스터계수[[#Data],[행운계수]],MATCH(E272, 몬스터계수[[#Data],[타입]],0),1)*C272,
IF(E272="방어형",INDEX(몬스터계수[[#Data],[행운계수]],MATCH(E272, 몬스터계수[[#Data],[타입]],0),1)*C272,
IF(E272="회피형",INDEX(몬스터계수[[#Data],[행운계수]],MATCH(E272, 몬스터계수[[#Data],[타입]],0),1)*C272,
IF(E272="체력형",INDEX(몬스터계수[[#Data],[행운계수]],MATCH(E272, 몬스터계수[[#Data],[타입]],0),1)*C272,0))))</f>
        <v>673.25</v>
      </c>
      <c r="K272" s="34">
        <f>ROUND(
(($F272)*참고!$D$5)
+(($G272)*참고!$D$6)
+(($H272)*참고!$D$7)
+(($I272)*참고!$D$8)
+(($J272))*참고!$D$9,0)</f>
        <v>104690</v>
      </c>
      <c r="L272" s="34">
        <f>ROUND(
(($F272)*참고!$E$5)
+(($G272)*참고!$E$6)
+(($H272)*참고!$E$7)
+(($I272)*참고!$E$8)
+(($J272))*참고!$E$9,0)</f>
        <v>59919</v>
      </c>
      <c r="M272" s="34">
        <f>ROUND(
(($F272)*참고!$F$5)
+(($G272)*참고!$F$6)
+(($H272)*참고!$F$7)
+(($I272)*참고!$F$8)
+(($J272))*참고!$F$9,0)</f>
        <v>16831</v>
      </c>
      <c r="N272" s="34">
        <f>ROUND(
(($F272)*참고!$G$5)
+(($G272)*참고!$G$6)
+(($H272)*참고!$G$7)
+(($I272)*참고!$G$8)
+(($J272))*참고!$G$9,0)</f>
        <v>471</v>
      </c>
      <c r="O272" s="34">
        <f>ROUND(
(($F272)*참고!$H$5)
+(($G272)*참고!$H$6)
+(($H272)*참고!$H$7)
+(($I272)*참고!$H$8)
+(($J272))*참고!$H$9,0)</f>
        <v>11109</v>
      </c>
      <c r="P272" s="34">
        <f>ROUND(
(($F272)*참고!$I$5)
+(($G272)*참고!$I$6)
+(($H272)*참고!$I$7)
+(($I272)*참고!$I$8)
+(($J272))*참고!$I$9,0)</f>
        <v>19524</v>
      </c>
      <c r="Q272" s="34">
        <f>ROUND(
(($F272)*참고!$J$5)
+(($G272)*참고!$J$6)
+(($H272)*참고!$J$7)
+(($I272)*참고!$J$8)
+(($J272))*참고!$J$9,0)</f>
        <v>13465</v>
      </c>
      <c r="R272" s="34">
        <f>IF(E272="공격형",(INDEX(몬스터계수[[#Data],[속도]],MATCH(E272, 몬스터계수[[#Data],[타입]],0),1)*속도핸들러_곱계수)*(INT(몬스터밸런스[[#This Row],[Lv]]/속도핸들러_합계수+1)),
IF(E272="방어형",(INDEX(몬스터계수[[#Data],[속도]],MATCH(E272, 몬스터계수[[#Data],[타입]],0),1)*속도핸들러_곱계수)*(INT(몬스터밸런스[[#This Row],[Lv]]/속도핸들러_합계수+1)),
IF(E272="회피형",(INDEX(몬스터계수[[#Data],[속도]],MATCH(E272, 몬스터계수[[#Data],[타입]],0),1)*속도핸들러_곱계수)*(INT(몬스터밸런스[[#This Row],[Lv]]/속도핸들러_합계수+1)),
IF(E272="기본형",(INDEX(몬스터계수[[#Data],[속도]],MATCH(E272, 몬스터계수[[#Data],[타입]],0),1)*속도핸들러_곱계수)*(INT(몬스터밸런스[[#This Row],[Lv]]/속도핸들러_합계수+1)),0))))</f>
        <v>0</v>
      </c>
      <c r="S272">
        <f t="shared" si="13"/>
        <v>3594365</v>
      </c>
      <c r="U272">
        <v>4</v>
      </c>
      <c r="V272">
        <v>270</v>
      </c>
      <c r="W272">
        <f>$Z$1*몬스터밸런스9[[#This Row],[단계]]</f>
        <v>20</v>
      </c>
      <c r="X272" t="s">
        <v>67</v>
      </c>
      <c r="AE272" s="34">
        <f>몬스터밸런스[[#This Row],[생명]]*0.1</f>
        <v>673.25</v>
      </c>
      <c r="AF272" s="34"/>
      <c r="AG272" s="34">
        <f>몬스터밸런스[[#This Row],[Defense]]*0.4</f>
        <v>6732.4000000000005</v>
      </c>
      <c r="AH272" s="34"/>
      <c r="AI272" s="34"/>
      <c r="AJ272" s="34"/>
      <c r="AK272" s="34"/>
    </row>
    <row r="273" spans="1:38">
      <c r="A273">
        <v>2700</v>
      </c>
      <c r="B273">
        <v>271</v>
      </c>
      <c r="C273">
        <f>$F$1*몬스터밸런스[[#This Row],[Lv]]+15</f>
        <v>13515</v>
      </c>
      <c r="E273" t="s">
        <v>479</v>
      </c>
      <c r="F273">
        <f>IF(E273="공격형",INDEX(몬스터계수[[#Data],[생명계수]],MATCH(E273,몬스터계수[[#Data],[타입]],0),1)*C273,
IF(E273="방어형",INDEX(몬스터계수[[#Data],[생명계수]],MATCH(E273,몬스터계수[[#Data],[타입]],0),1)*C273,
IF(E273="회피형",INDEX(몬스터계수[[#Data],[생명계수]],MATCH(E273,몬스터계수[[#Data],[타입]],0),1)*C273,
IF(E273="체력형",INDEX(몬스터계수[[#Data],[생명계수]],MATCH(E273,몬스터계수[[#Data],[타입]],0),1)*C273,0))))*IF(몬스터밸런스[[#This Row],[보스]]=TRUE,2,1)</f>
        <v>6757.5</v>
      </c>
      <c r="G273">
        <f>IF(E273="공격형",INDEX(몬스터계수[[#Data],[힘계수]],MATCH(E273, 몬스터계수[[#Data],[타입]],0),1)*C273,
IF(E273="방어형",INDEX(몬스터계수[[#Data],[힘계수]],MATCH(E273, 몬스터계수[[#Data],[타입]],0),1)*C273,
IF(E273="회피형",INDEX(몬스터계수[[#Data],[힘계수]],MATCH(E273, 몬스터계수[[#Data],[타입]],0),1)*C273,
IF(E273="체력형",INDEX(몬스터계수[[#Data],[힘계수]],MATCH(E273, 몬스터계수[[#Data],[타입]],0),1)*C273,0))))</f>
        <v>3378.75</v>
      </c>
      <c r="H273">
        <f>IF(E273="공격형",INDEX(몬스터계수[[#Data],[근력게수]],MATCH(E273,몬스터계수[[#Data],[타입]],0),1)*C273,
IF(E273="방어형",INDEX(몬스터계수[[#Data],[근력게수]],MATCH(E273,몬스터계수[[#Data],[타입]],0),1)*C273,
IF(E273="회피형",INDEX(몬스터계수[[#Data],[근력게수]],MATCH(E273,몬스터계수[[#Data],[타입]],0),1)*C273,
IF(E273="체력형",INDEX(몬스터계수[[#Data],[근력게수]],MATCH(E273,몬스터계수[[#Data],[타입]],0),1)*C273,0))))</f>
        <v>675.75</v>
      </c>
      <c r="I273">
        <f>IF(E273="공격형",INDEX(몬스터계수[[#Data],[숙련도계수]],MATCH(E273,몬스터계수[[#Data],[타입]],0),1)*C273,
IF(E273="방어형",INDEX(몬스터계수[[#Data],[숙련도계수]],MATCH(E273,몬스터계수[[#Data],[타입]],0),1)*C273,
IF(E273="회피형",INDEX(몬스터계수[[#Data],[숙련도계수]],MATCH(E273,몬스터계수[[#Data],[타입]],0),1)*C273,
IF(E273="체력형",INDEX(몬스터계수[[#Data],[숙련도계수]],MATCH(E273,몬스터계수[[#Data],[타입]],0),1)*C273,0))))</f>
        <v>2027.25</v>
      </c>
      <c r="J273">
        <f>IF(E273="공격형",INDEX(몬스터계수[[#Data],[행운계수]],MATCH(E273, 몬스터계수[[#Data],[타입]],0),1)*C273,
IF(E273="방어형",INDEX(몬스터계수[[#Data],[행운계수]],MATCH(E273, 몬스터계수[[#Data],[타입]],0),1)*C273,
IF(E273="회피형",INDEX(몬스터계수[[#Data],[행운계수]],MATCH(E273, 몬스터계수[[#Data],[타입]],0),1)*C273,
IF(E273="체력형",INDEX(몬스터계수[[#Data],[행운계수]],MATCH(E273, 몬스터계수[[#Data],[타입]],0),1)*C273,0))))</f>
        <v>675.75</v>
      </c>
      <c r="K273" s="34">
        <f>ROUND(
(($F273)*참고!$D$5)
+(($G273)*참고!$D$6)
+(($H273)*참고!$D$7)
+(($I273)*참고!$D$8)
+(($J273))*참고!$D$9,0)</f>
        <v>105079</v>
      </c>
      <c r="L273" s="34">
        <f>ROUND(
(($F273)*참고!$E$5)
+(($G273)*참고!$E$6)
+(($H273)*참고!$E$7)
+(($I273)*참고!$E$8)
+(($J273))*참고!$E$9,0)</f>
        <v>60142</v>
      </c>
      <c r="M273" s="34">
        <f>ROUND(
(($F273)*참고!$F$5)
+(($G273)*참고!$F$6)
+(($H273)*참고!$F$7)
+(($I273)*참고!$F$8)
+(($J273))*참고!$F$9,0)</f>
        <v>16894</v>
      </c>
      <c r="N273" s="34">
        <f>ROUND(
(($F273)*참고!$G$5)
+(($G273)*참고!$G$6)
+(($H273)*참고!$G$7)
+(($I273)*참고!$G$8)
+(($J273))*참고!$G$9,0)</f>
        <v>473</v>
      </c>
      <c r="O273" s="34">
        <f>ROUND(
(($F273)*참고!$H$5)
+(($G273)*참고!$H$6)
+(($H273)*참고!$H$7)
+(($I273)*참고!$H$8)
+(($J273))*참고!$H$9,0)</f>
        <v>11150</v>
      </c>
      <c r="P273" s="34">
        <f>ROUND(
(($F273)*참고!$I$5)
+(($G273)*참고!$I$6)
+(($H273)*참고!$I$7)
+(($I273)*참고!$I$8)
+(($J273))*참고!$I$9,0)</f>
        <v>19597</v>
      </c>
      <c r="Q273" s="34">
        <f>ROUND(
(($F273)*참고!$J$5)
+(($G273)*참고!$J$6)
+(($H273)*참고!$J$7)
+(($I273)*참고!$J$8)
+(($J273))*참고!$J$9,0)</f>
        <v>13515</v>
      </c>
      <c r="R273" s="34">
        <f>IF(E273="공격형",(INDEX(몬스터계수[[#Data],[속도]],MATCH(E273, 몬스터계수[[#Data],[타입]],0),1)*속도핸들러_곱계수)*(INT(몬스터밸런스[[#This Row],[Lv]]/속도핸들러_합계수+1)),
IF(E273="방어형",(INDEX(몬스터계수[[#Data],[속도]],MATCH(E273, 몬스터계수[[#Data],[타입]],0),1)*속도핸들러_곱계수)*(INT(몬스터밸런스[[#This Row],[Lv]]/속도핸들러_합계수+1)),
IF(E273="회피형",(INDEX(몬스터계수[[#Data],[속도]],MATCH(E273, 몬스터계수[[#Data],[타입]],0),1)*속도핸들러_곱계수)*(INT(몬스터밸런스[[#This Row],[Lv]]/속도핸들러_합계수+1)),
IF(E273="기본형",(INDEX(몬스터계수[[#Data],[속도]],MATCH(E273, 몬스터계수[[#Data],[타입]],0),1)*속도핸들러_곱계수)*(INT(몬스터밸런스[[#This Row],[Lv]]/속도핸들러_합계수+1)),0))))</f>
        <v>0</v>
      </c>
      <c r="S273">
        <f t="shared" si="13"/>
        <v>3607737</v>
      </c>
      <c r="U273">
        <v>5</v>
      </c>
      <c r="V273">
        <v>271</v>
      </c>
      <c r="W273">
        <f>$Z$1*몬스터밸런스9[[#This Row],[단계]]</f>
        <v>25</v>
      </c>
      <c r="X273" t="s">
        <v>67</v>
      </c>
      <c r="AE273" s="34">
        <f>몬스터밸런스[[#This Row],[생명]]*0.1</f>
        <v>675.75</v>
      </c>
      <c r="AF273" s="34"/>
      <c r="AG273" s="34">
        <f>몬스터밸런스[[#This Row],[Defense]]*0.4</f>
        <v>6757.6</v>
      </c>
      <c r="AH273" s="34"/>
      <c r="AI273" s="34"/>
      <c r="AJ273" s="34"/>
      <c r="AK273" s="34"/>
    </row>
    <row r="274" spans="1:38">
      <c r="A274">
        <v>2710</v>
      </c>
      <c r="B274">
        <v>272</v>
      </c>
      <c r="C274">
        <f>$F$1*몬스터밸런스[[#This Row],[Lv]]+15</f>
        <v>13565</v>
      </c>
      <c r="E274" t="s">
        <v>479</v>
      </c>
      <c r="F274">
        <f>IF(E274="공격형",INDEX(몬스터계수[[#Data],[생명계수]],MATCH(E274,몬스터계수[[#Data],[타입]],0),1)*C274,
IF(E274="방어형",INDEX(몬스터계수[[#Data],[생명계수]],MATCH(E274,몬스터계수[[#Data],[타입]],0),1)*C274,
IF(E274="회피형",INDEX(몬스터계수[[#Data],[생명계수]],MATCH(E274,몬스터계수[[#Data],[타입]],0),1)*C274,
IF(E274="체력형",INDEX(몬스터계수[[#Data],[생명계수]],MATCH(E274,몬스터계수[[#Data],[타입]],0),1)*C274,0))))*IF(몬스터밸런스[[#This Row],[보스]]=TRUE,2,1)</f>
        <v>6782.5</v>
      </c>
      <c r="G274">
        <f>IF(E274="공격형",INDEX(몬스터계수[[#Data],[힘계수]],MATCH(E274, 몬스터계수[[#Data],[타입]],0),1)*C274,
IF(E274="방어형",INDEX(몬스터계수[[#Data],[힘계수]],MATCH(E274, 몬스터계수[[#Data],[타입]],0),1)*C274,
IF(E274="회피형",INDEX(몬스터계수[[#Data],[힘계수]],MATCH(E274, 몬스터계수[[#Data],[타입]],0),1)*C274,
IF(E274="체력형",INDEX(몬스터계수[[#Data],[힘계수]],MATCH(E274, 몬스터계수[[#Data],[타입]],0),1)*C274,0))))</f>
        <v>3391.25</v>
      </c>
      <c r="H274">
        <f>IF(E274="공격형",INDEX(몬스터계수[[#Data],[근력게수]],MATCH(E274,몬스터계수[[#Data],[타입]],0),1)*C274,
IF(E274="방어형",INDEX(몬스터계수[[#Data],[근력게수]],MATCH(E274,몬스터계수[[#Data],[타입]],0),1)*C274,
IF(E274="회피형",INDEX(몬스터계수[[#Data],[근력게수]],MATCH(E274,몬스터계수[[#Data],[타입]],0),1)*C274,
IF(E274="체력형",INDEX(몬스터계수[[#Data],[근력게수]],MATCH(E274,몬스터계수[[#Data],[타입]],0),1)*C274,0))))</f>
        <v>678.25</v>
      </c>
      <c r="I274">
        <f>IF(E274="공격형",INDEX(몬스터계수[[#Data],[숙련도계수]],MATCH(E274,몬스터계수[[#Data],[타입]],0),1)*C274,
IF(E274="방어형",INDEX(몬스터계수[[#Data],[숙련도계수]],MATCH(E274,몬스터계수[[#Data],[타입]],0),1)*C274,
IF(E274="회피형",INDEX(몬스터계수[[#Data],[숙련도계수]],MATCH(E274,몬스터계수[[#Data],[타입]],0),1)*C274,
IF(E274="체력형",INDEX(몬스터계수[[#Data],[숙련도계수]],MATCH(E274,몬스터계수[[#Data],[타입]],0),1)*C274,0))))</f>
        <v>2034.75</v>
      </c>
      <c r="J274">
        <f>IF(E274="공격형",INDEX(몬스터계수[[#Data],[행운계수]],MATCH(E274, 몬스터계수[[#Data],[타입]],0),1)*C274,
IF(E274="방어형",INDEX(몬스터계수[[#Data],[행운계수]],MATCH(E274, 몬스터계수[[#Data],[타입]],0),1)*C274,
IF(E274="회피형",INDEX(몬스터계수[[#Data],[행운계수]],MATCH(E274, 몬스터계수[[#Data],[타입]],0),1)*C274,
IF(E274="체력형",INDEX(몬스터계수[[#Data],[행운계수]],MATCH(E274, 몬스터계수[[#Data],[타입]],0),1)*C274,0))))</f>
        <v>678.25</v>
      </c>
      <c r="K274" s="34">
        <f>ROUND(
(($F274)*참고!$D$5)
+(($G274)*참고!$D$6)
+(($H274)*참고!$D$7)
+(($I274)*참고!$D$8)
+(($J274))*참고!$D$9,0)</f>
        <v>105468</v>
      </c>
      <c r="L274" s="34">
        <f>ROUND(
(($F274)*참고!$E$5)
+(($G274)*참고!$E$6)
+(($H274)*참고!$E$7)
+(($I274)*참고!$E$8)
+(($J274))*참고!$E$9,0)</f>
        <v>60364</v>
      </c>
      <c r="M274" s="34">
        <f>ROUND(
(($F274)*참고!$F$5)
+(($G274)*참고!$F$6)
+(($H274)*참고!$F$7)
+(($I274)*참고!$F$8)
+(($J274))*참고!$F$9,0)</f>
        <v>16956</v>
      </c>
      <c r="N274" s="34">
        <f>ROUND(
(($F274)*참고!$G$5)
+(($G274)*참고!$G$6)
+(($H274)*참고!$G$7)
+(($I274)*참고!$G$8)
+(($J274))*참고!$G$9,0)</f>
        <v>475</v>
      </c>
      <c r="O274" s="34">
        <f>ROUND(
(($F274)*참고!$H$5)
+(($G274)*참고!$H$6)
+(($H274)*참고!$H$7)
+(($I274)*참고!$H$8)
+(($J274))*참고!$H$9,0)</f>
        <v>11191</v>
      </c>
      <c r="P274" s="34">
        <f>ROUND(
(($F274)*참고!$I$5)
+(($G274)*참고!$I$6)
+(($H274)*참고!$I$7)
+(($I274)*참고!$I$8)
+(($J274))*참고!$I$9,0)</f>
        <v>19669</v>
      </c>
      <c r="Q274" s="34">
        <f>ROUND(
(($F274)*참고!$J$5)
+(($G274)*참고!$J$6)
+(($H274)*참고!$J$7)
+(($I274)*참고!$J$8)
+(($J274))*참고!$J$9,0)</f>
        <v>13565</v>
      </c>
      <c r="R274" s="34">
        <f>IF(E274="공격형",(INDEX(몬스터계수[[#Data],[속도]],MATCH(E274, 몬스터계수[[#Data],[타입]],0),1)*속도핸들러_곱계수)*(INT(몬스터밸런스[[#This Row],[Lv]]/속도핸들러_합계수+1)),
IF(E274="방어형",(INDEX(몬스터계수[[#Data],[속도]],MATCH(E274, 몬스터계수[[#Data],[타입]],0),1)*속도핸들러_곱계수)*(INT(몬스터밸런스[[#This Row],[Lv]]/속도핸들러_합계수+1)),
IF(E274="회피형",(INDEX(몬스터계수[[#Data],[속도]],MATCH(E274, 몬스터계수[[#Data],[타입]],0),1)*속도핸들러_곱계수)*(INT(몬스터밸런스[[#This Row],[Lv]]/속도핸들러_합계수+1)),
IF(E274="기본형",(INDEX(몬스터계수[[#Data],[속도]],MATCH(E274, 몬스터계수[[#Data],[타입]],0),1)*속도핸들러_곱계수)*(INT(몬스터밸런스[[#This Row],[Lv]]/속도핸들러_합계수+1)),0))))</f>
        <v>0</v>
      </c>
      <c r="S274">
        <f t="shared" si="13"/>
        <v>3621066</v>
      </c>
      <c r="U274">
        <v>5</v>
      </c>
      <c r="V274">
        <v>272</v>
      </c>
      <c r="W274">
        <f>$Z$1*몬스터밸런스9[[#This Row],[단계]]</f>
        <v>25</v>
      </c>
      <c r="X274" t="s">
        <v>67</v>
      </c>
      <c r="AE274" s="34">
        <f>몬스터밸런스[[#This Row],[생명]]*0.1</f>
        <v>678.25</v>
      </c>
      <c r="AF274" s="34"/>
      <c r="AG274" s="34">
        <f>몬스터밸런스[[#This Row],[Defense]]*0.4</f>
        <v>6782.4000000000005</v>
      </c>
      <c r="AH274" s="34"/>
      <c r="AI274" s="34"/>
      <c r="AJ274" s="34"/>
      <c r="AK274" s="34"/>
    </row>
    <row r="275" spans="1:38">
      <c r="A275">
        <v>2720</v>
      </c>
      <c r="B275">
        <v>273</v>
      </c>
      <c r="C275">
        <f>$F$1*몬스터밸런스[[#This Row],[Lv]]+15</f>
        <v>13615</v>
      </c>
      <c r="E275" t="s">
        <v>479</v>
      </c>
      <c r="F275">
        <f>IF(E275="공격형",INDEX(몬스터계수[[#Data],[생명계수]],MATCH(E275,몬스터계수[[#Data],[타입]],0),1)*C275,
IF(E275="방어형",INDEX(몬스터계수[[#Data],[생명계수]],MATCH(E275,몬스터계수[[#Data],[타입]],0),1)*C275,
IF(E275="회피형",INDEX(몬스터계수[[#Data],[생명계수]],MATCH(E275,몬스터계수[[#Data],[타입]],0),1)*C275,
IF(E275="체력형",INDEX(몬스터계수[[#Data],[생명계수]],MATCH(E275,몬스터계수[[#Data],[타입]],0),1)*C275,0))))*IF(몬스터밸런스[[#This Row],[보스]]=TRUE,2,1)</f>
        <v>6807.5</v>
      </c>
      <c r="G275">
        <f>IF(E275="공격형",INDEX(몬스터계수[[#Data],[힘계수]],MATCH(E275, 몬스터계수[[#Data],[타입]],0),1)*C275,
IF(E275="방어형",INDEX(몬스터계수[[#Data],[힘계수]],MATCH(E275, 몬스터계수[[#Data],[타입]],0),1)*C275,
IF(E275="회피형",INDEX(몬스터계수[[#Data],[힘계수]],MATCH(E275, 몬스터계수[[#Data],[타입]],0),1)*C275,
IF(E275="체력형",INDEX(몬스터계수[[#Data],[힘계수]],MATCH(E275, 몬스터계수[[#Data],[타입]],0),1)*C275,0))))</f>
        <v>3403.75</v>
      </c>
      <c r="H275">
        <f>IF(E275="공격형",INDEX(몬스터계수[[#Data],[근력게수]],MATCH(E275,몬스터계수[[#Data],[타입]],0),1)*C275,
IF(E275="방어형",INDEX(몬스터계수[[#Data],[근력게수]],MATCH(E275,몬스터계수[[#Data],[타입]],0),1)*C275,
IF(E275="회피형",INDEX(몬스터계수[[#Data],[근력게수]],MATCH(E275,몬스터계수[[#Data],[타입]],0),1)*C275,
IF(E275="체력형",INDEX(몬스터계수[[#Data],[근력게수]],MATCH(E275,몬스터계수[[#Data],[타입]],0),1)*C275,0))))</f>
        <v>680.75</v>
      </c>
      <c r="I275">
        <f>IF(E275="공격형",INDEX(몬스터계수[[#Data],[숙련도계수]],MATCH(E275,몬스터계수[[#Data],[타입]],0),1)*C275,
IF(E275="방어형",INDEX(몬스터계수[[#Data],[숙련도계수]],MATCH(E275,몬스터계수[[#Data],[타입]],0),1)*C275,
IF(E275="회피형",INDEX(몬스터계수[[#Data],[숙련도계수]],MATCH(E275,몬스터계수[[#Data],[타입]],0),1)*C275,
IF(E275="체력형",INDEX(몬스터계수[[#Data],[숙련도계수]],MATCH(E275,몬스터계수[[#Data],[타입]],0),1)*C275,0))))</f>
        <v>2042.25</v>
      </c>
      <c r="J275">
        <f>IF(E275="공격형",INDEX(몬스터계수[[#Data],[행운계수]],MATCH(E275, 몬스터계수[[#Data],[타입]],0),1)*C275,
IF(E275="방어형",INDEX(몬스터계수[[#Data],[행운계수]],MATCH(E275, 몬스터계수[[#Data],[타입]],0),1)*C275,
IF(E275="회피형",INDEX(몬스터계수[[#Data],[행운계수]],MATCH(E275, 몬스터계수[[#Data],[타입]],0),1)*C275,
IF(E275="체력형",INDEX(몬스터계수[[#Data],[행운계수]],MATCH(E275, 몬스터계수[[#Data],[타입]],0),1)*C275,0))))</f>
        <v>680.75</v>
      </c>
      <c r="K275" s="34">
        <f>ROUND(
(($F275)*참고!$D$5)
+(($G275)*참고!$D$6)
+(($H275)*참고!$D$7)
+(($I275)*참고!$D$8)
+(($J275))*참고!$D$9,0)</f>
        <v>105857</v>
      </c>
      <c r="L275" s="34">
        <f>ROUND(
(($F275)*참고!$E$5)
+(($G275)*참고!$E$6)
+(($H275)*참고!$E$7)
+(($I275)*참고!$E$8)
+(($J275))*참고!$E$9,0)</f>
        <v>60587</v>
      </c>
      <c r="M275" s="34">
        <f>ROUND(
(($F275)*참고!$F$5)
+(($G275)*참고!$F$6)
+(($H275)*참고!$F$7)
+(($I275)*참고!$F$8)
+(($J275))*참고!$F$9,0)</f>
        <v>17019</v>
      </c>
      <c r="N275" s="34">
        <f>ROUND(
(($F275)*참고!$G$5)
+(($G275)*참고!$G$6)
+(($H275)*참고!$G$7)
+(($I275)*참고!$G$8)
+(($J275))*참고!$G$9,0)</f>
        <v>477</v>
      </c>
      <c r="O275" s="34">
        <f>ROUND(
(($F275)*참고!$H$5)
+(($G275)*참고!$H$6)
+(($H275)*참고!$H$7)
+(($I275)*참고!$H$8)
+(($J275))*참고!$H$9,0)</f>
        <v>11232</v>
      </c>
      <c r="P275" s="34">
        <f>ROUND(
(($F275)*참고!$I$5)
+(($G275)*참고!$I$6)
+(($H275)*참고!$I$7)
+(($I275)*참고!$I$8)
+(($J275))*참고!$I$9,0)</f>
        <v>19742</v>
      </c>
      <c r="Q275" s="34">
        <f>ROUND(
(($F275)*참고!$J$5)
+(($G275)*참고!$J$6)
+(($H275)*참고!$J$7)
+(($I275)*참고!$J$8)
+(($J275))*참고!$J$9,0)</f>
        <v>13615</v>
      </c>
      <c r="R275" s="34">
        <f>IF(E275="공격형",(INDEX(몬스터계수[[#Data],[속도]],MATCH(E275, 몬스터계수[[#Data],[타입]],0),1)*속도핸들러_곱계수)*(INT(몬스터밸런스[[#This Row],[Lv]]/속도핸들러_합계수+1)),
IF(E275="방어형",(INDEX(몬스터계수[[#Data],[속도]],MATCH(E275, 몬스터계수[[#Data],[타입]],0),1)*속도핸들러_곱계수)*(INT(몬스터밸런스[[#This Row],[Lv]]/속도핸들러_합계수+1)),
IF(E275="회피형",(INDEX(몬스터계수[[#Data],[속도]],MATCH(E275, 몬스터계수[[#Data],[타입]],0),1)*속도핸들러_곱계수)*(INT(몬스터밸런스[[#This Row],[Lv]]/속도핸들러_합계수+1)),
IF(E275="기본형",(INDEX(몬스터계수[[#Data],[속도]],MATCH(E275, 몬스터계수[[#Data],[타입]],0),1)*속도핸들러_곱계수)*(INT(몬스터밸런스[[#This Row],[Lv]]/속도핸들러_합계수+1)),0))))</f>
        <v>0</v>
      </c>
      <c r="S275">
        <f t="shared" si="13"/>
        <v>3634438</v>
      </c>
      <c r="U275">
        <v>5</v>
      </c>
      <c r="V275">
        <v>273</v>
      </c>
      <c r="W275">
        <f>$Z$1*몬스터밸런스9[[#This Row],[단계]]</f>
        <v>25</v>
      </c>
      <c r="X275" t="s">
        <v>67</v>
      </c>
      <c r="AE275" s="34">
        <f>몬스터밸런스[[#This Row],[생명]]*0.1</f>
        <v>680.75</v>
      </c>
      <c r="AF275" s="34"/>
      <c r="AG275" s="34">
        <f>몬스터밸런스[[#This Row],[Defense]]*0.4</f>
        <v>6807.6</v>
      </c>
      <c r="AH275" s="34"/>
      <c r="AI275" s="34"/>
      <c r="AJ275" s="34"/>
      <c r="AK275" s="34"/>
    </row>
    <row r="276" spans="1:38">
      <c r="A276">
        <v>2730</v>
      </c>
      <c r="B276">
        <v>274</v>
      </c>
      <c r="C276">
        <f>$F$1*몬스터밸런스[[#This Row],[Lv]]+15</f>
        <v>13665</v>
      </c>
      <c r="E276" t="s">
        <v>479</v>
      </c>
      <c r="F276">
        <f>IF(E276="공격형",INDEX(몬스터계수[[#Data],[생명계수]],MATCH(E276,몬스터계수[[#Data],[타입]],0),1)*C276,
IF(E276="방어형",INDEX(몬스터계수[[#Data],[생명계수]],MATCH(E276,몬스터계수[[#Data],[타입]],0),1)*C276,
IF(E276="회피형",INDEX(몬스터계수[[#Data],[생명계수]],MATCH(E276,몬스터계수[[#Data],[타입]],0),1)*C276,
IF(E276="체력형",INDEX(몬스터계수[[#Data],[생명계수]],MATCH(E276,몬스터계수[[#Data],[타입]],0),1)*C276,0))))*IF(몬스터밸런스[[#This Row],[보스]]=TRUE,2,1)</f>
        <v>6832.5</v>
      </c>
      <c r="G276">
        <f>IF(E276="공격형",INDEX(몬스터계수[[#Data],[힘계수]],MATCH(E276, 몬스터계수[[#Data],[타입]],0),1)*C276,
IF(E276="방어형",INDEX(몬스터계수[[#Data],[힘계수]],MATCH(E276, 몬스터계수[[#Data],[타입]],0),1)*C276,
IF(E276="회피형",INDEX(몬스터계수[[#Data],[힘계수]],MATCH(E276, 몬스터계수[[#Data],[타입]],0),1)*C276,
IF(E276="체력형",INDEX(몬스터계수[[#Data],[힘계수]],MATCH(E276, 몬스터계수[[#Data],[타입]],0),1)*C276,0))))</f>
        <v>3416.25</v>
      </c>
      <c r="H276">
        <f>IF(E276="공격형",INDEX(몬스터계수[[#Data],[근력게수]],MATCH(E276,몬스터계수[[#Data],[타입]],0),1)*C276,
IF(E276="방어형",INDEX(몬스터계수[[#Data],[근력게수]],MATCH(E276,몬스터계수[[#Data],[타입]],0),1)*C276,
IF(E276="회피형",INDEX(몬스터계수[[#Data],[근력게수]],MATCH(E276,몬스터계수[[#Data],[타입]],0),1)*C276,
IF(E276="체력형",INDEX(몬스터계수[[#Data],[근력게수]],MATCH(E276,몬스터계수[[#Data],[타입]],0),1)*C276,0))))</f>
        <v>683.25</v>
      </c>
      <c r="I276">
        <f>IF(E276="공격형",INDEX(몬스터계수[[#Data],[숙련도계수]],MATCH(E276,몬스터계수[[#Data],[타입]],0),1)*C276,
IF(E276="방어형",INDEX(몬스터계수[[#Data],[숙련도계수]],MATCH(E276,몬스터계수[[#Data],[타입]],0),1)*C276,
IF(E276="회피형",INDEX(몬스터계수[[#Data],[숙련도계수]],MATCH(E276,몬스터계수[[#Data],[타입]],0),1)*C276,
IF(E276="체력형",INDEX(몬스터계수[[#Data],[숙련도계수]],MATCH(E276,몬스터계수[[#Data],[타입]],0),1)*C276,0))))</f>
        <v>2049.75</v>
      </c>
      <c r="J276">
        <f>IF(E276="공격형",INDEX(몬스터계수[[#Data],[행운계수]],MATCH(E276, 몬스터계수[[#Data],[타입]],0),1)*C276,
IF(E276="방어형",INDEX(몬스터계수[[#Data],[행운계수]],MATCH(E276, 몬스터계수[[#Data],[타입]],0),1)*C276,
IF(E276="회피형",INDEX(몬스터계수[[#Data],[행운계수]],MATCH(E276, 몬스터계수[[#Data],[타입]],0),1)*C276,
IF(E276="체력형",INDEX(몬스터계수[[#Data],[행운계수]],MATCH(E276, 몬스터계수[[#Data],[타입]],0),1)*C276,0))))</f>
        <v>683.25</v>
      </c>
      <c r="K276" s="34">
        <f>ROUND(
(($F276)*참고!$D$5)
+(($G276)*참고!$D$6)
+(($H276)*참고!$D$7)
+(($I276)*참고!$D$8)
+(($J276))*참고!$D$9,0)</f>
        <v>106245</v>
      </c>
      <c r="L276" s="34">
        <f>ROUND(
(($F276)*참고!$E$5)
+(($G276)*참고!$E$6)
+(($H276)*참고!$E$7)
+(($I276)*참고!$E$8)
+(($J276))*참고!$E$9,0)</f>
        <v>60809</v>
      </c>
      <c r="M276" s="34">
        <f>ROUND(
(($F276)*참고!$F$5)
+(($G276)*참고!$F$6)
+(($H276)*참고!$F$7)
+(($I276)*참고!$F$8)
+(($J276))*참고!$F$9,0)</f>
        <v>17081</v>
      </c>
      <c r="N276" s="34">
        <f>ROUND(
(($F276)*참고!$G$5)
+(($G276)*참고!$G$6)
+(($H276)*참고!$G$7)
+(($I276)*참고!$G$8)
+(($J276))*참고!$G$9,0)</f>
        <v>478</v>
      </c>
      <c r="O276" s="34">
        <f>ROUND(
(($F276)*참고!$H$5)
+(($G276)*참고!$H$6)
+(($H276)*참고!$H$7)
+(($I276)*참고!$H$8)
+(($J276))*참고!$H$9,0)</f>
        <v>11274</v>
      </c>
      <c r="P276" s="34">
        <f>ROUND(
(($F276)*참고!$I$5)
+(($G276)*참고!$I$6)
+(($H276)*참고!$I$7)
+(($I276)*참고!$I$8)
+(($J276))*참고!$I$9,0)</f>
        <v>19814</v>
      </c>
      <c r="Q276" s="34">
        <f>ROUND(
(($F276)*참고!$J$5)
+(($G276)*참고!$J$6)
+(($H276)*참고!$J$7)
+(($I276)*참고!$J$8)
+(($J276))*참고!$J$9,0)</f>
        <v>13665</v>
      </c>
      <c r="R276" s="34">
        <f>IF(E276="공격형",(INDEX(몬스터계수[[#Data],[속도]],MATCH(E276, 몬스터계수[[#Data],[타입]],0),1)*속도핸들러_곱계수)*(INT(몬스터밸런스[[#This Row],[Lv]]/속도핸들러_합계수+1)),
IF(E276="방어형",(INDEX(몬스터계수[[#Data],[속도]],MATCH(E276, 몬스터계수[[#Data],[타입]],0),1)*속도핸들러_곱계수)*(INT(몬스터밸런스[[#This Row],[Lv]]/속도핸들러_합계수+1)),
IF(E276="회피형",(INDEX(몬스터계수[[#Data],[속도]],MATCH(E276, 몬스터계수[[#Data],[타입]],0),1)*속도핸들러_곱계수)*(INT(몬스터밸런스[[#This Row],[Lv]]/속도핸들러_합계수+1)),
IF(E276="기본형",(INDEX(몬스터계수[[#Data],[속도]],MATCH(E276, 몬스터계수[[#Data],[타입]],0),1)*속도핸들러_곱계수)*(INT(몬스터밸런스[[#This Row],[Lv]]/속도핸들러_합계수+1)),0))))</f>
        <v>0</v>
      </c>
      <c r="S276">
        <f t="shared" si="13"/>
        <v>3647753.5</v>
      </c>
      <c r="U276">
        <v>5</v>
      </c>
      <c r="V276">
        <v>274</v>
      </c>
      <c r="W276">
        <f>$Z$1*몬스터밸런스9[[#This Row],[단계]]</f>
        <v>25</v>
      </c>
      <c r="X276" t="s">
        <v>67</v>
      </c>
      <c r="AE276" s="34">
        <f>몬스터밸런스[[#This Row],[생명]]*0.1</f>
        <v>683.25</v>
      </c>
      <c r="AF276" s="34"/>
      <c r="AG276" s="34">
        <f>몬스터밸런스[[#This Row],[Defense]]*0.4</f>
        <v>6832.4000000000005</v>
      </c>
      <c r="AH276" s="34"/>
      <c r="AI276" s="34"/>
      <c r="AJ276" s="34"/>
      <c r="AK276" s="34"/>
    </row>
    <row r="277" spans="1:38">
      <c r="A277">
        <v>2740</v>
      </c>
      <c r="B277">
        <v>275</v>
      </c>
      <c r="C277">
        <f>$F$1*몬스터밸런스[[#This Row],[Lv]]+15</f>
        <v>13715</v>
      </c>
      <c r="E277" t="s">
        <v>479</v>
      </c>
      <c r="F277">
        <f>IF(E277="공격형",INDEX(몬스터계수[[#Data],[생명계수]],MATCH(E277,몬스터계수[[#Data],[타입]],0),1)*C277,
IF(E277="방어형",INDEX(몬스터계수[[#Data],[생명계수]],MATCH(E277,몬스터계수[[#Data],[타입]],0),1)*C277,
IF(E277="회피형",INDEX(몬스터계수[[#Data],[생명계수]],MATCH(E277,몬스터계수[[#Data],[타입]],0),1)*C277,
IF(E277="체력형",INDEX(몬스터계수[[#Data],[생명계수]],MATCH(E277,몬스터계수[[#Data],[타입]],0),1)*C277,0))))*IF(몬스터밸런스[[#This Row],[보스]]=TRUE,2,1)</f>
        <v>6857.5</v>
      </c>
      <c r="G277">
        <f>IF(E277="공격형",INDEX(몬스터계수[[#Data],[힘계수]],MATCH(E277, 몬스터계수[[#Data],[타입]],0),1)*C277,
IF(E277="방어형",INDEX(몬스터계수[[#Data],[힘계수]],MATCH(E277, 몬스터계수[[#Data],[타입]],0),1)*C277,
IF(E277="회피형",INDEX(몬스터계수[[#Data],[힘계수]],MATCH(E277, 몬스터계수[[#Data],[타입]],0),1)*C277,
IF(E277="체력형",INDEX(몬스터계수[[#Data],[힘계수]],MATCH(E277, 몬스터계수[[#Data],[타입]],0),1)*C277,0))))</f>
        <v>3428.75</v>
      </c>
      <c r="H277">
        <f>IF(E277="공격형",INDEX(몬스터계수[[#Data],[근력게수]],MATCH(E277,몬스터계수[[#Data],[타입]],0),1)*C277,
IF(E277="방어형",INDEX(몬스터계수[[#Data],[근력게수]],MATCH(E277,몬스터계수[[#Data],[타입]],0),1)*C277,
IF(E277="회피형",INDEX(몬스터계수[[#Data],[근력게수]],MATCH(E277,몬스터계수[[#Data],[타입]],0),1)*C277,
IF(E277="체력형",INDEX(몬스터계수[[#Data],[근력게수]],MATCH(E277,몬스터계수[[#Data],[타입]],0),1)*C277,0))))</f>
        <v>685.75</v>
      </c>
      <c r="I277">
        <f>IF(E277="공격형",INDEX(몬스터계수[[#Data],[숙련도계수]],MATCH(E277,몬스터계수[[#Data],[타입]],0),1)*C277,
IF(E277="방어형",INDEX(몬스터계수[[#Data],[숙련도계수]],MATCH(E277,몬스터계수[[#Data],[타입]],0),1)*C277,
IF(E277="회피형",INDEX(몬스터계수[[#Data],[숙련도계수]],MATCH(E277,몬스터계수[[#Data],[타입]],0),1)*C277,
IF(E277="체력형",INDEX(몬스터계수[[#Data],[숙련도계수]],MATCH(E277,몬스터계수[[#Data],[타입]],0),1)*C277,0))))</f>
        <v>2057.25</v>
      </c>
      <c r="J277">
        <f>IF(E277="공격형",INDEX(몬스터계수[[#Data],[행운계수]],MATCH(E277, 몬스터계수[[#Data],[타입]],0),1)*C277,
IF(E277="방어형",INDEX(몬스터계수[[#Data],[행운계수]],MATCH(E277, 몬스터계수[[#Data],[타입]],0),1)*C277,
IF(E277="회피형",INDEX(몬스터계수[[#Data],[행운계수]],MATCH(E277, 몬스터계수[[#Data],[타입]],0),1)*C277,
IF(E277="체력형",INDEX(몬스터계수[[#Data],[행운계수]],MATCH(E277, 몬스터계수[[#Data],[타입]],0),1)*C277,0))))</f>
        <v>685.75</v>
      </c>
      <c r="K277" s="34">
        <f>ROUND(
(($F277)*참고!$D$5)
+(($G277)*참고!$D$6)
+(($H277)*참고!$D$7)
+(($I277)*참고!$D$8)
+(($J277))*참고!$D$9,0)</f>
        <v>106634</v>
      </c>
      <c r="L277" s="34">
        <f>ROUND(
(($F277)*참고!$E$5)
+(($G277)*참고!$E$6)
+(($H277)*참고!$E$7)
+(($I277)*참고!$E$8)
+(($J277))*참고!$E$9,0)</f>
        <v>61032</v>
      </c>
      <c r="M277" s="34">
        <f>ROUND(
(($F277)*참고!$F$5)
+(($G277)*참고!$F$6)
+(($H277)*참고!$F$7)
+(($I277)*참고!$F$8)
+(($J277))*참고!$F$9,0)</f>
        <v>17144</v>
      </c>
      <c r="N277" s="34">
        <f>ROUND(
(($F277)*참고!$G$5)
+(($G277)*참고!$G$6)
+(($H277)*참고!$G$7)
+(($I277)*참고!$G$8)
+(($J277))*참고!$G$9,0)</f>
        <v>480</v>
      </c>
      <c r="O277" s="34">
        <f>ROUND(
(($F277)*참고!$H$5)
+(($G277)*참고!$H$6)
+(($H277)*참고!$H$7)
+(($I277)*참고!$H$8)
+(($J277))*참고!$H$9,0)</f>
        <v>11315</v>
      </c>
      <c r="P277" s="34">
        <f>ROUND(
(($F277)*참고!$I$5)
+(($G277)*참고!$I$6)
+(($H277)*참고!$I$7)
+(($I277)*참고!$I$8)
+(($J277))*참고!$I$9,0)</f>
        <v>19887</v>
      </c>
      <c r="Q277" s="34">
        <f>ROUND(
(($F277)*참고!$J$5)
+(($G277)*참고!$J$6)
+(($H277)*참고!$J$7)
+(($I277)*참고!$J$8)
+(($J277))*참고!$J$9,0)</f>
        <v>13715</v>
      </c>
      <c r="R277" s="34">
        <f>IF(E277="공격형",(INDEX(몬스터계수[[#Data],[속도]],MATCH(E277, 몬스터계수[[#Data],[타입]],0),1)*속도핸들러_곱계수)*(INT(몬스터밸런스[[#This Row],[Lv]]/속도핸들러_합계수+1)),
IF(E277="방어형",(INDEX(몬스터계수[[#Data],[속도]],MATCH(E277, 몬스터계수[[#Data],[타입]],0),1)*속도핸들러_곱계수)*(INT(몬스터밸런스[[#This Row],[Lv]]/속도핸들러_합계수+1)),
IF(E277="회피형",(INDEX(몬스터계수[[#Data],[속도]],MATCH(E277, 몬스터계수[[#Data],[타입]],0),1)*속도핸들러_곱계수)*(INT(몬스터밸런스[[#This Row],[Lv]]/속도핸들러_합계수+1)),
IF(E277="기본형",(INDEX(몬스터계수[[#Data],[속도]],MATCH(E277, 몬스터계수[[#Data],[타입]],0),1)*속도핸들러_곱계수)*(INT(몬스터밸런스[[#This Row],[Lv]]/속도핸들러_합계수+1)),0))))</f>
        <v>0</v>
      </c>
      <c r="S277">
        <f t="shared" si="13"/>
        <v>3661125.5</v>
      </c>
      <c r="U277">
        <v>5</v>
      </c>
      <c r="V277">
        <v>275</v>
      </c>
      <c r="W277">
        <f>$Z$1*몬스터밸런스9[[#This Row],[단계]]</f>
        <v>25</v>
      </c>
      <c r="X277" t="s">
        <v>67</v>
      </c>
      <c r="AE277" s="34">
        <f>몬스터밸런스[[#This Row],[생명]]*0.1</f>
        <v>685.75</v>
      </c>
      <c r="AF277" s="34"/>
      <c r="AG277" s="34">
        <f>몬스터밸런스[[#This Row],[Defense]]*0.4</f>
        <v>6857.6</v>
      </c>
      <c r="AH277" s="34"/>
      <c r="AI277" s="34"/>
      <c r="AJ277" s="34"/>
      <c r="AK277" s="34"/>
    </row>
    <row r="278" spans="1:38">
      <c r="A278">
        <v>2750</v>
      </c>
      <c r="B278">
        <v>276</v>
      </c>
      <c r="C278">
        <f>$F$1*몬스터밸런스[[#This Row],[Lv]]+15</f>
        <v>13765</v>
      </c>
      <c r="E278" t="s">
        <v>479</v>
      </c>
      <c r="F278">
        <f>IF(E278="공격형",INDEX(몬스터계수[[#Data],[생명계수]],MATCH(E278,몬스터계수[[#Data],[타입]],0),1)*C278,
IF(E278="방어형",INDEX(몬스터계수[[#Data],[생명계수]],MATCH(E278,몬스터계수[[#Data],[타입]],0),1)*C278,
IF(E278="회피형",INDEX(몬스터계수[[#Data],[생명계수]],MATCH(E278,몬스터계수[[#Data],[타입]],0),1)*C278,
IF(E278="체력형",INDEX(몬스터계수[[#Data],[생명계수]],MATCH(E278,몬스터계수[[#Data],[타입]],0),1)*C278,0))))*IF(몬스터밸런스[[#This Row],[보스]]=TRUE,2,1)</f>
        <v>6882.5</v>
      </c>
      <c r="G278">
        <f>IF(E278="공격형",INDEX(몬스터계수[[#Data],[힘계수]],MATCH(E278, 몬스터계수[[#Data],[타입]],0),1)*C278,
IF(E278="방어형",INDEX(몬스터계수[[#Data],[힘계수]],MATCH(E278, 몬스터계수[[#Data],[타입]],0),1)*C278,
IF(E278="회피형",INDEX(몬스터계수[[#Data],[힘계수]],MATCH(E278, 몬스터계수[[#Data],[타입]],0),1)*C278,
IF(E278="체력형",INDEX(몬스터계수[[#Data],[힘계수]],MATCH(E278, 몬스터계수[[#Data],[타입]],0),1)*C278,0))))</f>
        <v>3441.25</v>
      </c>
      <c r="H278">
        <f>IF(E278="공격형",INDEX(몬스터계수[[#Data],[근력게수]],MATCH(E278,몬스터계수[[#Data],[타입]],0),1)*C278,
IF(E278="방어형",INDEX(몬스터계수[[#Data],[근력게수]],MATCH(E278,몬스터계수[[#Data],[타입]],0),1)*C278,
IF(E278="회피형",INDEX(몬스터계수[[#Data],[근력게수]],MATCH(E278,몬스터계수[[#Data],[타입]],0),1)*C278,
IF(E278="체력형",INDEX(몬스터계수[[#Data],[근력게수]],MATCH(E278,몬스터계수[[#Data],[타입]],0),1)*C278,0))))</f>
        <v>688.25</v>
      </c>
      <c r="I278">
        <f>IF(E278="공격형",INDEX(몬스터계수[[#Data],[숙련도계수]],MATCH(E278,몬스터계수[[#Data],[타입]],0),1)*C278,
IF(E278="방어형",INDEX(몬스터계수[[#Data],[숙련도계수]],MATCH(E278,몬스터계수[[#Data],[타입]],0),1)*C278,
IF(E278="회피형",INDEX(몬스터계수[[#Data],[숙련도계수]],MATCH(E278,몬스터계수[[#Data],[타입]],0),1)*C278,
IF(E278="체력형",INDEX(몬스터계수[[#Data],[숙련도계수]],MATCH(E278,몬스터계수[[#Data],[타입]],0),1)*C278,0))))</f>
        <v>2064.75</v>
      </c>
      <c r="J278">
        <f>IF(E278="공격형",INDEX(몬스터계수[[#Data],[행운계수]],MATCH(E278, 몬스터계수[[#Data],[타입]],0),1)*C278,
IF(E278="방어형",INDEX(몬스터계수[[#Data],[행운계수]],MATCH(E278, 몬스터계수[[#Data],[타입]],0),1)*C278,
IF(E278="회피형",INDEX(몬스터계수[[#Data],[행운계수]],MATCH(E278, 몬스터계수[[#Data],[타입]],0),1)*C278,
IF(E278="체력형",INDEX(몬스터계수[[#Data],[행운계수]],MATCH(E278, 몬스터계수[[#Data],[타입]],0),1)*C278,0))))</f>
        <v>688.25</v>
      </c>
      <c r="K278" s="34">
        <f>ROUND(
(($F278)*참고!$D$5)
+(($G278)*참고!$D$6)
+(($H278)*참고!$D$7)
+(($I278)*참고!$D$8)
+(($J278))*참고!$D$9,0)</f>
        <v>107023</v>
      </c>
      <c r="L278" s="34">
        <f>ROUND(
(($F278)*참고!$E$5)
+(($G278)*참고!$E$6)
+(($H278)*참고!$E$7)
+(($I278)*참고!$E$8)
+(($J278))*참고!$E$9,0)</f>
        <v>61254</v>
      </c>
      <c r="M278" s="34">
        <f>ROUND(
(($F278)*참고!$F$5)
+(($G278)*참고!$F$6)
+(($H278)*참고!$F$7)
+(($I278)*참고!$F$8)
+(($J278))*참고!$F$9,0)</f>
        <v>17206</v>
      </c>
      <c r="N278" s="34">
        <f>ROUND(
(($F278)*참고!$G$5)
+(($G278)*참고!$G$6)
+(($H278)*참고!$G$7)
+(($I278)*참고!$G$8)
+(($J278))*참고!$G$9,0)</f>
        <v>482</v>
      </c>
      <c r="O278" s="34">
        <f>ROUND(
(($F278)*참고!$H$5)
+(($G278)*참고!$H$6)
+(($H278)*참고!$H$7)
+(($I278)*참고!$H$8)
+(($J278))*참고!$H$9,0)</f>
        <v>11356</v>
      </c>
      <c r="P278" s="34">
        <f>ROUND(
(($F278)*참고!$I$5)
+(($G278)*참고!$I$6)
+(($H278)*참고!$I$7)
+(($I278)*참고!$I$8)
+(($J278))*참고!$I$9,0)</f>
        <v>19959</v>
      </c>
      <c r="Q278" s="34">
        <f>ROUND(
(($F278)*참고!$J$5)
+(($G278)*참고!$J$6)
+(($H278)*참고!$J$7)
+(($I278)*참고!$J$8)
+(($J278))*참고!$J$9,0)</f>
        <v>13765</v>
      </c>
      <c r="R278" s="34">
        <f>IF(E278="공격형",(INDEX(몬스터계수[[#Data],[속도]],MATCH(E278, 몬스터계수[[#Data],[타입]],0),1)*속도핸들러_곱계수)*(INT(몬스터밸런스[[#This Row],[Lv]]/속도핸들러_합계수+1)),
IF(E278="방어형",(INDEX(몬스터계수[[#Data],[속도]],MATCH(E278, 몬스터계수[[#Data],[타입]],0),1)*속도핸들러_곱계수)*(INT(몬스터밸런스[[#This Row],[Lv]]/속도핸들러_합계수+1)),
IF(E278="회피형",(INDEX(몬스터계수[[#Data],[속도]],MATCH(E278, 몬스터계수[[#Data],[타입]],0),1)*속도핸들러_곱계수)*(INT(몬스터밸런스[[#This Row],[Lv]]/속도핸들러_합계수+1)),
IF(E278="기본형",(INDEX(몬스터계수[[#Data],[속도]],MATCH(E278, 몬스터계수[[#Data],[타입]],0),1)*속도핸들러_곱계수)*(INT(몬스터밸런스[[#This Row],[Lv]]/속도핸들러_합계수+1)),0))))</f>
        <v>0</v>
      </c>
      <c r="S278">
        <f t="shared" si="13"/>
        <v>3674454.5</v>
      </c>
      <c r="U278">
        <v>1</v>
      </c>
      <c r="V278">
        <v>276</v>
      </c>
      <c r="X278" t="s">
        <v>488</v>
      </c>
      <c r="AE278" s="34">
        <v>3441.25</v>
      </c>
      <c r="AF278" s="34"/>
      <c r="AG278" s="34"/>
      <c r="AH278" s="34"/>
      <c r="AI278" s="34"/>
      <c r="AJ278" s="34"/>
      <c r="AK278" s="34"/>
      <c r="AL278" s="35"/>
    </row>
    <row r="279" spans="1:38">
      <c r="A279">
        <v>2760</v>
      </c>
      <c r="B279">
        <v>277</v>
      </c>
      <c r="C279">
        <f>$F$1*몬스터밸런스[[#This Row],[Lv]]+15</f>
        <v>13815</v>
      </c>
      <c r="E279" t="s">
        <v>479</v>
      </c>
      <c r="F279">
        <f>IF(E279="공격형",INDEX(몬스터계수[[#Data],[생명계수]],MATCH(E279,몬스터계수[[#Data],[타입]],0),1)*C279,
IF(E279="방어형",INDEX(몬스터계수[[#Data],[생명계수]],MATCH(E279,몬스터계수[[#Data],[타입]],0),1)*C279,
IF(E279="회피형",INDEX(몬스터계수[[#Data],[생명계수]],MATCH(E279,몬스터계수[[#Data],[타입]],0),1)*C279,
IF(E279="체력형",INDEX(몬스터계수[[#Data],[생명계수]],MATCH(E279,몬스터계수[[#Data],[타입]],0),1)*C279,0))))*IF(몬스터밸런스[[#This Row],[보스]]=TRUE,2,1)</f>
        <v>6907.5</v>
      </c>
      <c r="G279">
        <f>IF(E279="공격형",INDEX(몬스터계수[[#Data],[힘계수]],MATCH(E279, 몬스터계수[[#Data],[타입]],0),1)*C279,
IF(E279="방어형",INDEX(몬스터계수[[#Data],[힘계수]],MATCH(E279, 몬스터계수[[#Data],[타입]],0),1)*C279,
IF(E279="회피형",INDEX(몬스터계수[[#Data],[힘계수]],MATCH(E279, 몬스터계수[[#Data],[타입]],0),1)*C279,
IF(E279="체력형",INDEX(몬스터계수[[#Data],[힘계수]],MATCH(E279, 몬스터계수[[#Data],[타입]],0),1)*C279,0))))</f>
        <v>3453.75</v>
      </c>
      <c r="H279">
        <f>IF(E279="공격형",INDEX(몬스터계수[[#Data],[근력게수]],MATCH(E279,몬스터계수[[#Data],[타입]],0),1)*C279,
IF(E279="방어형",INDEX(몬스터계수[[#Data],[근력게수]],MATCH(E279,몬스터계수[[#Data],[타입]],0),1)*C279,
IF(E279="회피형",INDEX(몬스터계수[[#Data],[근력게수]],MATCH(E279,몬스터계수[[#Data],[타입]],0),1)*C279,
IF(E279="체력형",INDEX(몬스터계수[[#Data],[근력게수]],MATCH(E279,몬스터계수[[#Data],[타입]],0),1)*C279,0))))</f>
        <v>690.75</v>
      </c>
      <c r="I279">
        <f>IF(E279="공격형",INDEX(몬스터계수[[#Data],[숙련도계수]],MATCH(E279,몬스터계수[[#Data],[타입]],0),1)*C279,
IF(E279="방어형",INDEX(몬스터계수[[#Data],[숙련도계수]],MATCH(E279,몬스터계수[[#Data],[타입]],0),1)*C279,
IF(E279="회피형",INDEX(몬스터계수[[#Data],[숙련도계수]],MATCH(E279,몬스터계수[[#Data],[타입]],0),1)*C279,
IF(E279="체력형",INDEX(몬스터계수[[#Data],[숙련도계수]],MATCH(E279,몬스터계수[[#Data],[타입]],0),1)*C279,0))))</f>
        <v>2072.25</v>
      </c>
      <c r="J279">
        <f>IF(E279="공격형",INDEX(몬스터계수[[#Data],[행운계수]],MATCH(E279, 몬스터계수[[#Data],[타입]],0),1)*C279,
IF(E279="방어형",INDEX(몬스터계수[[#Data],[행운계수]],MATCH(E279, 몬스터계수[[#Data],[타입]],0),1)*C279,
IF(E279="회피형",INDEX(몬스터계수[[#Data],[행운계수]],MATCH(E279, 몬스터계수[[#Data],[타입]],0),1)*C279,
IF(E279="체력형",INDEX(몬스터계수[[#Data],[행운계수]],MATCH(E279, 몬스터계수[[#Data],[타입]],0),1)*C279,0))))</f>
        <v>690.75</v>
      </c>
      <c r="K279" s="34">
        <f>ROUND(
(($F279)*참고!$D$5)
+(($G279)*참고!$D$6)
+(($H279)*참고!$D$7)
+(($I279)*참고!$D$8)
+(($J279))*참고!$D$9,0)</f>
        <v>107412</v>
      </c>
      <c r="L279" s="34">
        <f>ROUND(
(($F279)*참고!$E$5)
+(($G279)*참고!$E$6)
+(($H279)*참고!$E$7)
+(($I279)*참고!$E$8)
+(($J279))*참고!$E$9,0)</f>
        <v>61477</v>
      </c>
      <c r="M279" s="34">
        <f>ROUND(
(($F279)*참고!$F$5)
+(($G279)*참고!$F$6)
+(($H279)*참고!$F$7)
+(($I279)*참고!$F$8)
+(($J279))*참고!$F$9,0)</f>
        <v>17269</v>
      </c>
      <c r="N279" s="34">
        <f>ROUND(
(($F279)*참고!$G$5)
+(($G279)*참고!$G$6)
+(($H279)*참고!$G$7)
+(($I279)*참고!$G$8)
+(($J279))*참고!$G$9,0)</f>
        <v>484</v>
      </c>
      <c r="O279" s="34">
        <f>ROUND(
(($F279)*참고!$H$5)
+(($G279)*참고!$H$6)
+(($H279)*참고!$H$7)
+(($I279)*참고!$H$8)
+(($J279))*참고!$H$9,0)</f>
        <v>11397</v>
      </c>
      <c r="P279" s="34">
        <f>ROUND(
(($F279)*참고!$I$5)
+(($G279)*참고!$I$6)
+(($H279)*참고!$I$7)
+(($I279)*참고!$I$8)
+(($J279))*참고!$I$9,0)</f>
        <v>20032</v>
      </c>
      <c r="Q279" s="34">
        <f>ROUND(
(($F279)*참고!$J$5)
+(($G279)*참고!$J$6)
+(($H279)*참고!$J$7)
+(($I279)*참고!$J$8)
+(($J279))*참고!$J$9,0)</f>
        <v>13815</v>
      </c>
      <c r="R279" s="34">
        <f>IF(E279="공격형",(INDEX(몬스터계수[[#Data],[속도]],MATCH(E279, 몬스터계수[[#Data],[타입]],0),1)*속도핸들러_곱계수)*(INT(몬스터밸런스[[#This Row],[Lv]]/속도핸들러_합계수+1)),
IF(E279="방어형",(INDEX(몬스터계수[[#Data],[속도]],MATCH(E279, 몬스터계수[[#Data],[타입]],0),1)*속도핸들러_곱계수)*(INT(몬스터밸런스[[#This Row],[Lv]]/속도핸들러_합계수+1)),
IF(E279="회피형",(INDEX(몬스터계수[[#Data],[속도]],MATCH(E279, 몬스터계수[[#Data],[타입]],0),1)*속도핸들러_곱계수)*(INT(몬스터밸런스[[#This Row],[Lv]]/속도핸들러_합계수+1)),
IF(E279="기본형",(INDEX(몬스터계수[[#Data],[속도]],MATCH(E279, 몬스터계수[[#Data],[타입]],0),1)*속도핸들러_곱계수)*(INT(몬스터밸런스[[#This Row],[Lv]]/속도핸들러_합계수+1)),0))))</f>
        <v>0</v>
      </c>
      <c r="S279">
        <f t="shared" si="13"/>
        <v>3687826.5</v>
      </c>
      <c r="U279">
        <v>1</v>
      </c>
      <c r="V279">
        <v>277</v>
      </c>
      <c r="X279" t="s">
        <v>488</v>
      </c>
      <c r="AE279" s="34">
        <v>3453.75</v>
      </c>
      <c r="AF279" s="34"/>
      <c r="AG279" s="34"/>
      <c r="AH279" s="34"/>
      <c r="AI279" s="34"/>
      <c r="AJ279" s="34"/>
      <c r="AK279" s="34"/>
      <c r="AL279" s="35"/>
    </row>
    <row r="280" spans="1:38">
      <c r="A280">
        <v>2770</v>
      </c>
      <c r="B280">
        <v>278</v>
      </c>
      <c r="C280">
        <f>$F$1*몬스터밸런스[[#This Row],[Lv]]+15</f>
        <v>13865</v>
      </c>
      <c r="E280" t="s">
        <v>479</v>
      </c>
      <c r="F280">
        <f>IF(E280="공격형",INDEX(몬스터계수[[#Data],[생명계수]],MATCH(E280,몬스터계수[[#Data],[타입]],0),1)*C280,
IF(E280="방어형",INDEX(몬스터계수[[#Data],[생명계수]],MATCH(E280,몬스터계수[[#Data],[타입]],0),1)*C280,
IF(E280="회피형",INDEX(몬스터계수[[#Data],[생명계수]],MATCH(E280,몬스터계수[[#Data],[타입]],0),1)*C280,
IF(E280="체력형",INDEX(몬스터계수[[#Data],[생명계수]],MATCH(E280,몬스터계수[[#Data],[타입]],0),1)*C280,0))))*IF(몬스터밸런스[[#This Row],[보스]]=TRUE,2,1)</f>
        <v>6932.5</v>
      </c>
      <c r="G280">
        <f>IF(E280="공격형",INDEX(몬스터계수[[#Data],[힘계수]],MATCH(E280, 몬스터계수[[#Data],[타입]],0),1)*C280,
IF(E280="방어형",INDEX(몬스터계수[[#Data],[힘계수]],MATCH(E280, 몬스터계수[[#Data],[타입]],0),1)*C280,
IF(E280="회피형",INDEX(몬스터계수[[#Data],[힘계수]],MATCH(E280, 몬스터계수[[#Data],[타입]],0),1)*C280,
IF(E280="체력형",INDEX(몬스터계수[[#Data],[힘계수]],MATCH(E280, 몬스터계수[[#Data],[타입]],0),1)*C280,0))))</f>
        <v>3466.25</v>
      </c>
      <c r="H280">
        <f>IF(E280="공격형",INDEX(몬스터계수[[#Data],[근력게수]],MATCH(E280,몬스터계수[[#Data],[타입]],0),1)*C280,
IF(E280="방어형",INDEX(몬스터계수[[#Data],[근력게수]],MATCH(E280,몬스터계수[[#Data],[타입]],0),1)*C280,
IF(E280="회피형",INDEX(몬스터계수[[#Data],[근력게수]],MATCH(E280,몬스터계수[[#Data],[타입]],0),1)*C280,
IF(E280="체력형",INDEX(몬스터계수[[#Data],[근력게수]],MATCH(E280,몬스터계수[[#Data],[타입]],0),1)*C280,0))))</f>
        <v>693.25</v>
      </c>
      <c r="I280">
        <f>IF(E280="공격형",INDEX(몬스터계수[[#Data],[숙련도계수]],MATCH(E280,몬스터계수[[#Data],[타입]],0),1)*C280,
IF(E280="방어형",INDEX(몬스터계수[[#Data],[숙련도계수]],MATCH(E280,몬스터계수[[#Data],[타입]],0),1)*C280,
IF(E280="회피형",INDEX(몬스터계수[[#Data],[숙련도계수]],MATCH(E280,몬스터계수[[#Data],[타입]],0),1)*C280,
IF(E280="체력형",INDEX(몬스터계수[[#Data],[숙련도계수]],MATCH(E280,몬스터계수[[#Data],[타입]],0),1)*C280,0))))</f>
        <v>2079.75</v>
      </c>
      <c r="J280">
        <f>IF(E280="공격형",INDEX(몬스터계수[[#Data],[행운계수]],MATCH(E280, 몬스터계수[[#Data],[타입]],0),1)*C280,
IF(E280="방어형",INDEX(몬스터계수[[#Data],[행운계수]],MATCH(E280, 몬스터계수[[#Data],[타입]],0),1)*C280,
IF(E280="회피형",INDEX(몬스터계수[[#Data],[행운계수]],MATCH(E280, 몬스터계수[[#Data],[타입]],0),1)*C280,
IF(E280="체력형",INDEX(몬스터계수[[#Data],[행운계수]],MATCH(E280, 몬스터계수[[#Data],[타입]],0),1)*C280,0))))</f>
        <v>693.25</v>
      </c>
      <c r="K280" s="34">
        <f>ROUND(
(($F280)*참고!$D$5)
+(($G280)*참고!$D$6)
+(($H280)*참고!$D$7)
+(($I280)*참고!$D$8)
+(($J280))*참고!$D$9,0)</f>
        <v>107800</v>
      </c>
      <c r="L280" s="34">
        <f>ROUND(
(($F280)*참고!$E$5)
+(($G280)*참고!$E$6)
+(($H280)*참고!$E$7)
+(($I280)*참고!$E$8)
+(($J280))*참고!$E$9,0)</f>
        <v>61699</v>
      </c>
      <c r="M280" s="34">
        <f>ROUND(
(($F280)*참고!$F$5)
+(($G280)*참고!$F$6)
+(($H280)*참고!$F$7)
+(($I280)*참고!$F$8)
+(($J280))*참고!$F$9,0)</f>
        <v>17331</v>
      </c>
      <c r="N280" s="34">
        <f>ROUND(
(($F280)*참고!$G$5)
+(($G280)*참고!$G$6)
+(($H280)*참고!$G$7)
+(($I280)*참고!$G$8)
+(($J280))*참고!$G$9,0)</f>
        <v>485</v>
      </c>
      <c r="O280" s="34">
        <f>ROUND(
(($F280)*참고!$H$5)
+(($G280)*참고!$H$6)
+(($H280)*참고!$H$7)
+(($I280)*참고!$H$8)
+(($J280))*참고!$H$9,0)</f>
        <v>11439</v>
      </c>
      <c r="P280" s="34">
        <f>ROUND(
(($F280)*참고!$I$5)
+(($G280)*참고!$I$6)
+(($H280)*참고!$I$7)
+(($I280)*참고!$I$8)
+(($J280))*참고!$I$9,0)</f>
        <v>20104</v>
      </c>
      <c r="Q280" s="34">
        <f>ROUND(
(($F280)*참고!$J$5)
+(($G280)*참고!$J$6)
+(($H280)*참고!$J$7)
+(($I280)*참고!$J$8)
+(($J280))*참고!$J$9,0)</f>
        <v>13865</v>
      </c>
      <c r="R280" s="34">
        <f>IF(E280="공격형",(INDEX(몬스터계수[[#Data],[속도]],MATCH(E280, 몬스터계수[[#Data],[타입]],0),1)*속도핸들러_곱계수)*(INT(몬스터밸런스[[#This Row],[Lv]]/속도핸들러_합계수+1)),
IF(E280="방어형",(INDEX(몬스터계수[[#Data],[속도]],MATCH(E280, 몬스터계수[[#Data],[타입]],0),1)*속도핸들러_곱계수)*(INT(몬스터밸런스[[#This Row],[Lv]]/속도핸들러_합계수+1)),
IF(E280="회피형",(INDEX(몬스터계수[[#Data],[속도]],MATCH(E280, 몬스터계수[[#Data],[타입]],0),1)*속도핸들러_곱계수)*(INT(몬스터밸런스[[#This Row],[Lv]]/속도핸들러_합계수+1)),
IF(E280="기본형",(INDEX(몬스터계수[[#Data],[속도]],MATCH(E280, 몬스터계수[[#Data],[타입]],0),1)*속도핸들러_곱계수)*(INT(몬스터밸런스[[#This Row],[Lv]]/속도핸들러_합계수+1)),0))))</f>
        <v>0</v>
      </c>
      <c r="S280">
        <f t="shared" si="13"/>
        <v>3701142</v>
      </c>
      <c r="U280">
        <v>1</v>
      </c>
      <c r="V280">
        <v>278</v>
      </c>
      <c r="X280" t="s">
        <v>488</v>
      </c>
      <c r="AE280" s="34">
        <v>3466.25</v>
      </c>
      <c r="AF280" s="34"/>
      <c r="AG280" s="34"/>
      <c r="AH280" s="34"/>
      <c r="AI280" s="34"/>
      <c r="AJ280" s="34"/>
      <c r="AK280" s="34"/>
      <c r="AL280" s="35"/>
    </row>
    <row r="281" spans="1:38">
      <c r="A281">
        <v>2780</v>
      </c>
      <c r="B281">
        <v>279</v>
      </c>
      <c r="C281">
        <f>$F$1*몬스터밸런스[[#This Row],[Lv]]+15</f>
        <v>13915</v>
      </c>
      <c r="E281" t="s">
        <v>479</v>
      </c>
      <c r="F281">
        <f>IF(E281="공격형",INDEX(몬스터계수[[#Data],[생명계수]],MATCH(E281,몬스터계수[[#Data],[타입]],0),1)*C281,
IF(E281="방어형",INDEX(몬스터계수[[#Data],[생명계수]],MATCH(E281,몬스터계수[[#Data],[타입]],0),1)*C281,
IF(E281="회피형",INDEX(몬스터계수[[#Data],[생명계수]],MATCH(E281,몬스터계수[[#Data],[타입]],0),1)*C281,
IF(E281="체력형",INDEX(몬스터계수[[#Data],[생명계수]],MATCH(E281,몬스터계수[[#Data],[타입]],0),1)*C281,0))))*IF(몬스터밸런스[[#This Row],[보스]]=TRUE,2,1)</f>
        <v>6957.5</v>
      </c>
      <c r="G281">
        <f>IF(E281="공격형",INDEX(몬스터계수[[#Data],[힘계수]],MATCH(E281, 몬스터계수[[#Data],[타입]],0),1)*C281,
IF(E281="방어형",INDEX(몬스터계수[[#Data],[힘계수]],MATCH(E281, 몬스터계수[[#Data],[타입]],0),1)*C281,
IF(E281="회피형",INDEX(몬스터계수[[#Data],[힘계수]],MATCH(E281, 몬스터계수[[#Data],[타입]],0),1)*C281,
IF(E281="체력형",INDEX(몬스터계수[[#Data],[힘계수]],MATCH(E281, 몬스터계수[[#Data],[타입]],0),1)*C281,0))))</f>
        <v>3478.75</v>
      </c>
      <c r="H281">
        <f>IF(E281="공격형",INDEX(몬스터계수[[#Data],[근력게수]],MATCH(E281,몬스터계수[[#Data],[타입]],0),1)*C281,
IF(E281="방어형",INDEX(몬스터계수[[#Data],[근력게수]],MATCH(E281,몬스터계수[[#Data],[타입]],0),1)*C281,
IF(E281="회피형",INDEX(몬스터계수[[#Data],[근력게수]],MATCH(E281,몬스터계수[[#Data],[타입]],0),1)*C281,
IF(E281="체력형",INDEX(몬스터계수[[#Data],[근력게수]],MATCH(E281,몬스터계수[[#Data],[타입]],0),1)*C281,0))))</f>
        <v>695.75</v>
      </c>
      <c r="I281">
        <f>IF(E281="공격형",INDEX(몬스터계수[[#Data],[숙련도계수]],MATCH(E281,몬스터계수[[#Data],[타입]],0),1)*C281,
IF(E281="방어형",INDEX(몬스터계수[[#Data],[숙련도계수]],MATCH(E281,몬스터계수[[#Data],[타입]],0),1)*C281,
IF(E281="회피형",INDEX(몬스터계수[[#Data],[숙련도계수]],MATCH(E281,몬스터계수[[#Data],[타입]],0),1)*C281,
IF(E281="체력형",INDEX(몬스터계수[[#Data],[숙련도계수]],MATCH(E281,몬스터계수[[#Data],[타입]],0),1)*C281,0))))</f>
        <v>2087.25</v>
      </c>
      <c r="J281">
        <f>IF(E281="공격형",INDEX(몬스터계수[[#Data],[행운계수]],MATCH(E281, 몬스터계수[[#Data],[타입]],0),1)*C281,
IF(E281="방어형",INDEX(몬스터계수[[#Data],[행운계수]],MATCH(E281, 몬스터계수[[#Data],[타입]],0),1)*C281,
IF(E281="회피형",INDEX(몬스터계수[[#Data],[행운계수]],MATCH(E281, 몬스터계수[[#Data],[타입]],0),1)*C281,
IF(E281="체력형",INDEX(몬스터계수[[#Data],[행운계수]],MATCH(E281, 몬스터계수[[#Data],[타입]],0),1)*C281,0))))</f>
        <v>695.75</v>
      </c>
      <c r="K281" s="34">
        <f>ROUND(
(($F281)*참고!$D$5)
+(($G281)*참고!$D$6)
+(($H281)*참고!$D$7)
+(($I281)*참고!$D$8)
+(($J281))*참고!$D$9,0)</f>
        <v>108189</v>
      </c>
      <c r="L281" s="34">
        <f>ROUND(
(($F281)*참고!$E$5)
+(($G281)*참고!$E$6)
+(($H281)*참고!$E$7)
+(($I281)*참고!$E$8)
+(($J281))*참고!$E$9,0)</f>
        <v>61922</v>
      </c>
      <c r="M281" s="34">
        <f>ROUND(
(($F281)*참고!$F$5)
+(($G281)*참고!$F$6)
+(($H281)*참고!$F$7)
+(($I281)*참고!$F$8)
+(($J281))*참고!$F$9,0)</f>
        <v>17394</v>
      </c>
      <c r="N281" s="34">
        <f>ROUND(
(($F281)*참고!$G$5)
+(($G281)*참고!$G$6)
+(($H281)*참고!$G$7)
+(($I281)*참고!$G$8)
+(($J281))*참고!$G$9,0)</f>
        <v>487</v>
      </c>
      <c r="O281" s="34">
        <f>ROUND(
(($F281)*참고!$H$5)
+(($G281)*참고!$H$6)
+(($H281)*참고!$H$7)
+(($I281)*참고!$H$8)
+(($J281))*참고!$H$9,0)</f>
        <v>11480</v>
      </c>
      <c r="P281" s="34">
        <f>ROUND(
(($F281)*참고!$I$5)
+(($G281)*참고!$I$6)
+(($H281)*참고!$I$7)
+(($I281)*참고!$I$8)
+(($J281))*참고!$I$9,0)</f>
        <v>20177</v>
      </c>
      <c r="Q281" s="34">
        <f>ROUND(
(($F281)*참고!$J$5)
+(($G281)*참고!$J$6)
+(($H281)*참고!$J$7)
+(($I281)*참고!$J$8)
+(($J281))*참고!$J$9,0)</f>
        <v>13915</v>
      </c>
      <c r="R281" s="34">
        <f>IF(E281="공격형",(INDEX(몬스터계수[[#Data],[속도]],MATCH(E281, 몬스터계수[[#Data],[타입]],0),1)*속도핸들러_곱계수)*(INT(몬스터밸런스[[#This Row],[Lv]]/속도핸들러_합계수+1)),
IF(E281="방어형",(INDEX(몬스터계수[[#Data],[속도]],MATCH(E281, 몬스터계수[[#Data],[타입]],0),1)*속도핸들러_곱계수)*(INT(몬스터밸런스[[#This Row],[Lv]]/속도핸들러_합계수+1)),
IF(E281="회피형",(INDEX(몬스터계수[[#Data],[속도]],MATCH(E281, 몬스터계수[[#Data],[타입]],0),1)*속도핸들러_곱계수)*(INT(몬스터밸런스[[#This Row],[Lv]]/속도핸들러_합계수+1)),
IF(E281="기본형",(INDEX(몬스터계수[[#Data],[속도]],MATCH(E281, 몬스터계수[[#Data],[타입]],0),1)*속도핸들러_곱계수)*(INT(몬스터밸런스[[#This Row],[Lv]]/속도핸들러_합계수+1)),0))))</f>
        <v>0</v>
      </c>
      <c r="S281">
        <f t="shared" si="13"/>
        <v>3714514</v>
      </c>
      <c r="U281">
        <v>1</v>
      </c>
      <c r="V281">
        <v>279</v>
      </c>
      <c r="X281" t="s">
        <v>488</v>
      </c>
      <c r="AE281" s="34">
        <v>3478.75</v>
      </c>
      <c r="AF281" s="34"/>
      <c r="AG281" s="34"/>
      <c r="AH281" s="34"/>
      <c r="AI281" s="34"/>
      <c r="AJ281" s="34"/>
      <c r="AK281" s="34"/>
      <c r="AL281" s="35"/>
    </row>
    <row r="282" spans="1:38">
      <c r="A282">
        <v>2790</v>
      </c>
      <c r="B282">
        <v>280</v>
      </c>
      <c r="C282">
        <f>$F$1*몬스터밸런스[[#This Row],[Lv]]+15</f>
        <v>13965</v>
      </c>
      <c r="E282" t="s">
        <v>479</v>
      </c>
      <c r="F282">
        <f>IF(E282="공격형",INDEX(몬스터계수[[#Data],[생명계수]],MATCH(E282,몬스터계수[[#Data],[타입]],0),1)*C282,
IF(E282="방어형",INDEX(몬스터계수[[#Data],[생명계수]],MATCH(E282,몬스터계수[[#Data],[타입]],0),1)*C282,
IF(E282="회피형",INDEX(몬스터계수[[#Data],[생명계수]],MATCH(E282,몬스터계수[[#Data],[타입]],0),1)*C282,
IF(E282="체력형",INDEX(몬스터계수[[#Data],[생명계수]],MATCH(E282,몬스터계수[[#Data],[타입]],0),1)*C282,0))))*IF(몬스터밸런스[[#This Row],[보스]]=TRUE,2,1)</f>
        <v>6982.5</v>
      </c>
      <c r="G282">
        <f>IF(E282="공격형",INDEX(몬스터계수[[#Data],[힘계수]],MATCH(E282, 몬스터계수[[#Data],[타입]],0),1)*C282,
IF(E282="방어형",INDEX(몬스터계수[[#Data],[힘계수]],MATCH(E282, 몬스터계수[[#Data],[타입]],0),1)*C282,
IF(E282="회피형",INDEX(몬스터계수[[#Data],[힘계수]],MATCH(E282, 몬스터계수[[#Data],[타입]],0),1)*C282,
IF(E282="체력형",INDEX(몬스터계수[[#Data],[힘계수]],MATCH(E282, 몬스터계수[[#Data],[타입]],0),1)*C282,0))))</f>
        <v>3491.25</v>
      </c>
      <c r="H282">
        <f>IF(E282="공격형",INDEX(몬스터계수[[#Data],[근력게수]],MATCH(E282,몬스터계수[[#Data],[타입]],0),1)*C282,
IF(E282="방어형",INDEX(몬스터계수[[#Data],[근력게수]],MATCH(E282,몬스터계수[[#Data],[타입]],0),1)*C282,
IF(E282="회피형",INDEX(몬스터계수[[#Data],[근력게수]],MATCH(E282,몬스터계수[[#Data],[타입]],0),1)*C282,
IF(E282="체력형",INDEX(몬스터계수[[#Data],[근력게수]],MATCH(E282,몬스터계수[[#Data],[타입]],0),1)*C282,0))))</f>
        <v>698.25</v>
      </c>
      <c r="I282">
        <f>IF(E282="공격형",INDEX(몬스터계수[[#Data],[숙련도계수]],MATCH(E282,몬스터계수[[#Data],[타입]],0),1)*C282,
IF(E282="방어형",INDEX(몬스터계수[[#Data],[숙련도계수]],MATCH(E282,몬스터계수[[#Data],[타입]],0),1)*C282,
IF(E282="회피형",INDEX(몬스터계수[[#Data],[숙련도계수]],MATCH(E282,몬스터계수[[#Data],[타입]],0),1)*C282,
IF(E282="체력형",INDEX(몬스터계수[[#Data],[숙련도계수]],MATCH(E282,몬스터계수[[#Data],[타입]],0),1)*C282,0))))</f>
        <v>2094.75</v>
      </c>
      <c r="J282">
        <f>IF(E282="공격형",INDEX(몬스터계수[[#Data],[행운계수]],MATCH(E282, 몬스터계수[[#Data],[타입]],0),1)*C282,
IF(E282="방어형",INDEX(몬스터계수[[#Data],[행운계수]],MATCH(E282, 몬스터계수[[#Data],[타입]],0),1)*C282,
IF(E282="회피형",INDEX(몬스터계수[[#Data],[행운계수]],MATCH(E282, 몬스터계수[[#Data],[타입]],0),1)*C282,
IF(E282="체력형",INDEX(몬스터계수[[#Data],[행운계수]],MATCH(E282, 몬스터계수[[#Data],[타입]],0),1)*C282,0))))</f>
        <v>698.25</v>
      </c>
      <c r="K282" s="34">
        <f>ROUND(
(($F282)*참고!$D$5)
+(($G282)*참고!$D$6)
+(($H282)*참고!$D$7)
+(($I282)*참고!$D$8)
+(($J282))*참고!$D$9,0)</f>
        <v>108578</v>
      </c>
      <c r="L282" s="34">
        <f>ROUND(
(($F282)*참고!$E$5)
+(($G282)*참고!$E$6)
+(($H282)*참고!$E$7)
+(($I282)*참고!$E$8)
+(($J282))*참고!$E$9,0)</f>
        <v>62144</v>
      </c>
      <c r="M282" s="34">
        <f>ROUND(
(($F282)*참고!$F$5)
+(($G282)*참고!$F$6)
+(($H282)*참고!$F$7)
+(($I282)*참고!$F$8)
+(($J282))*참고!$F$9,0)</f>
        <v>17456</v>
      </c>
      <c r="N282" s="34">
        <f>ROUND(
(($F282)*참고!$G$5)
+(($G282)*참고!$G$6)
+(($H282)*참고!$G$7)
+(($I282)*참고!$G$8)
+(($J282))*참고!$G$9,0)</f>
        <v>489</v>
      </c>
      <c r="O282" s="34">
        <f>ROUND(
(($F282)*참고!$H$5)
+(($G282)*참고!$H$6)
+(($H282)*참고!$H$7)
+(($I282)*참고!$H$8)
+(($J282))*참고!$H$9,0)</f>
        <v>11521</v>
      </c>
      <c r="P282" s="34">
        <f>ROUND(
(($F282)*참고!$I$5)
+(($G282)*참고!$I$6)
+(($H282)*참고!$I$7)
+(($I282)*참고!$I$8)
+(($J282))*참고!$I$9,0)</f>
        <v>20249</v>
      </c>
      <c r="Q282" s="34">
        <f>ROUND(
(($F282)*참고!$J$5)
+(($G282)*참고!$J$6)
+(($H282)*참고!$J$7)
+(($I282)*참고!$J$8)
+(($J282))*참고!$J$9,0)</f>
        <v>13965</v>
      </c>
      <c r="R282" s="34">
        <f>IF(E282="공격형",(INDEX(몬스터계수[[#Data],[속도]],MATCH(E282, 몬스터계수[[#Data],[타입]],0),1)*속도핸들러_곱계수)*(INT(몬스터밸런스[[#This Row],[Lv]]/속도핸들러_합계수+1)),
IF(E282="방어형",(INDEX(몬스터계수[[#Data],[속도]],MATCH(E282, 몬스터계수[[#Data],[타입]],0),1)*속도핸들러_곱계수)*(INT(몬스터밸런스[[#This Row],[Lv]]/속도핸들러_합계수+1)),
IF(E282="회피형",(INDEX(몬스터계수[[#Data],[속도]],MATCH(E282, 몬스터계수[[#Data],[타입]],0),1)*속도핸들러_곱계수)*(INT(몬스터밸런스[[#This Row],[Lv]]/속도핸들러_합계수+1)),
IF(E282="기본형",(INDEX(몬스터계수[[#Data],[속도]],MATCH(E282, 몬스터계수[[#Data],[타입]],0),1)*속도핸들러_곱계수)*(INT(몬스터밸런스[[#This Row],[Lv]]/속도핸들러_합계수+1)),0))))</f>
        <v>0</v>
      </c>
      <c r="S282">
        <f t="shared" si="13"/>
        <v>3727843</v>
      </c>
      <c r="U282">
        <v>1</v>
      </c>
      <c r="V282">
        <v>280</v>
      </c>
      <c r="X282" t="s">
        <v>488</v>
      </c>
      <c r="AE282" s="34">
        <v>3491.25</v>
      </c>
      <c r="AF282" s="34"/>
      <c r="AG282" s="34"/>
      <c r="AH282" s="34"/>
      <c r="AI282" s="34"/>
      <c r="AJ282" s="34"/>
      <c r="AK282" s="34"/>
      <c r="AL282" s="35"/>
    </row>
    <row r="283" spans="1:38">
      <c r="A283">
        <v>2800</v>
      </c>
      <c r="B283">
        <v>281</v>
      </c>
      <c r="C283">
        <f>$F$1*몬스터밸런스[[#This Row],[Lv]]+15</f>
        <v>14015</v>
      </c>
      <c r="E283" t="s">
        <v>479</v>
      </c>
      <c r="F283">
        <f>IF(E283="공격형",INDEX(몬스터계수[[#Data],[생명계수]],MATCH(E283,몬스터계수[[#Data],[타입]],0),1)*C283,
IF(E283="방어형",INDEX(몬스터계수[[#Data],[생명계수]],MATCH(E283,몬스터계수[[#Data],[타입]],0),1)*C283,
IF(E283="회피형",INDEX(몬스터계수[[#Data],[생명계수]],MATCH(E283,몬스터계수[[#Data],[타입]],0),1)*C283,
IF(E283="체력형",INDEX(몬스터계수[[#Data],[생명계수]],MATCH(E283,몬스터계수[[#Data],[타입]],0),1)*C283,0))))*IF(몬스터밸런스[[#This Row],[보스]]=TRUE,2,1)</f>
        <v>7007.5</v>
      </c>
      <c r="G283">
        <f>IF(E283="공격형",INDEX(몬스터계수[[#Data],[힘계수]],MATCH(E283, 몬스터계수[[#Data],[타입]],0),1)*C283,
IF(E283="방어형",INDEX(몬스터계수[[#Data],[힘계수]],MATCH(E283, 몬스터계수[[#Data],[타입]],0),1)*C283,
IF(E283="회피형",INDEX(몬스터계수[[#Data],[힘계수]],MATCH(E283, 몬스터계수[[#Data],[타입]],0),1)*C283,
IF(E283="체력형",INDEX(몬스터계수[[#Data],[힘계수]],MATCH(E283, 몬스터계수[[#Data],[타입]],0),1)*C283,0))))</f>
        <v>3503.75</v>
      </c>
      <c r="H283">
        <f>IF(E283="공격형",INDEX(몬스터계수[[#Data],[근력게수]],MATCH(E283,몬스터계수[[#Data],[타입]],0),1)*C283,
IF(E283="방어형",INDEX(몬스터계수[[#Data],[근력게수]],MATCH(E283,몬스터계수[[#Data],[타입]],0),1)*C283,
IF(E283="회피형",INDEX(몬스터계수[[#Data],[근력게수]],MATCH(E283,몬스터계수[[#Data],[타입]],0),1)*C283,
IF(E283="체력형",INDEX(몬스터계수[[#Data],[근력게수]],MATCH(E283,몬스터계수[[#Data],[타입]],0),1)*C283,0))))</f>
        <v>700.75</v>
      </c>
      <c r="I283">
        <f>IF(E283="공격형",INDEX(몬스터계수[[#Data],[숙련도계수]],MATCH(E283,몬스터계수[[#Data],[타입]],0),1)*C283,
IF(E283="방어형",INDEX(몬스터계수[[#Data],[숙련도계수]],MATCH(E283,몬스터계수[[#Data],[타입]],0),1)*C283,
IF(E283="회피형",INDEX(몬스터계수[[#Data],[숙련도계수]],MATCH(E283,몬스터계수[[#Data],[타입]],0),1)*C283,
IF(E283="체력형",INDEX(몬스터계수[[#Data],[숙련도계수]],MATCH(E283,몬스터계수[[#Data],[타입]],0),1)*C283,0))))</f>
        <v>2102.25</v>
      </c>
      <c r="J283">
        <f>IF(E283="공격형",INDEX(몬스터계수[[#Data],[행운계수]],MATCH(E283, 몬스터계수[[#Data],[타입]],0),1)*C283,
IF(E283="방어형",INDEX(몬스터계수[[#Data],[행운계수]],MATCH(E283, 몬스터계수[[#Data],[타입]],0),1)*C283,
IF(E283="회피형",INDEX(몬스터계수[[#Data],[행운계수]],MATCH(E283, 몬스터계수[[#Data],[타입]],0),1)*C283,
IF(E283="체력형",INDEX(몬스터계수[[#Data],[행운계수]],MATCH(E283, 몬스터계수[[#Data],[타입]],0),1)*C283,0))))</f>
        <v>700.75</v>
      </c>
      <c r="K283" s="34">
        <f>ROUND(
(($F283)*참고!$D$5)
+(($G283)*참고!$D$6)
+(($H283)*참고!$D$7)
+(($I283)*참고!$D$8)
+(($J283))*참고!$D$9,0)</f>
        <v>108967</v>
      </c>
      <c r="L283" s="34">
        <f>ROUND(
(($F283)*참고!$E$5)
+(($G283)*참고!$E$6)
+(($H283)*참고!$E$7)
+(($I283)*참고!$E$8)
+(($J283))*참고!$E$9,0)</f>
        <v>62367</v>
      </c>
      <c r="M283" s="34">
        <f>ROUND(
(($F283)*참고!$F$5)
+(($G283)*참고!$F$6)
+(($H283)*참고!$F$7)
+(($I283)*참고!$F$8)
+(($J283))*참고!$F$9,0)</f>
        <v>17519</v>
      </c>
      <c r="N283" s="34">
        <f>ROUND(
(($F283)*참고!$G$5)
+(($G283)*참고!$G$6)
+(($H283)*참고!$G$7)
+(($I283)*참고!$G$8)
+(($J283))*참고!$G$9,0)</f>
        <v>491</v>
      </c>
      <c r="O283" s="34">
        <f>ROUND(
(($F283)*참고!$H$5)
+(($G283)*참고!$H$6)
+(($H283)*참고!$H$7)
+(($I283)*참고!$H$8)
+(($J283))*참고!$H$9,0)</f>
        <v>11562</v>
      </c>
      <c r="P283" s="34">
        <f>ROUND(
(($F283)*참고!$I$5)
+(($G283)*참고!$I$6)
+(($H283)*참고!$I$7)
+(($I283)*참고!$I$8)
+(($J283))*참고!$I$9,0)</f>
        <v>20322</v>
      </c>
      <c r="Q283" s="34">
        <f>ROUND(
(($F283)*참고!$J$5)
+(($G283)*참고!$J$6)
+(($H283)*참고!$J$7)
+(($I283)*참고!$J$8)
+(($J283))*참고!$J$9,0)</f>
        <v>14015</v>
      </c>
      <c r="R283" s="34">
        <f>IF(E283="공격형",(INDEX(몬스터계수[[#Data],[속도]],MATCH(E283, 몬스터계수[[#Data],[타입]],0),1)*속도핸들러_곱계수)*(INT(몬스터밸런스[[#This Row],[Lv]]/속도핸들러_합계수+1)),
IF(E283="방어형",(INDEX(몬스터계수[[#Data],[속도]],MATCH(E283, 몬스터계수[[#Data],[타입]],0),1)*속도핸들러_곱계수)*(INT(몬스터밸런스[[#This Row],[Lv]]/속도핸들러_합계수+1)),
IF(E283="회피형",(INDEX(몬스터계수[[#Data],[속도]],MATCH(E283, 몬스터계수[[#Data],[타입]],0),1)*속도핸들러_곱계수)*(INT(몬스터밸런스[[#This Row],[Lv]]/속도핸들러_합계수+1)),
IF(E283="기본형",(INDEX(몬스터계수[[#Data],[속도]],MATCH(E283, 몬스터계수[[#Data],[타입]],0),1)*속도핸들러_곱계수)*(INT(몬스터밸런스[[#This Row],[Lv]]/속도핸들러_합계수+1)),0))))</f>
        <v>0</v>
      </c>
      <c r="S283">
        <f t="shared" si="13"/>
        <v>3741215</v>
      </c>
      <c r="U283">
        <v>2</v>
      </c>
      <c r="V283">
        <v>281</v>
      </c>
      <c r="X283" t="s">
        <v>488</v>
      </c>
      <c r="AE283" s="34"/>
      <c r="AF283" s="34">
        <v>30627</v>
      </c>
      <c r="AG283" s="34"/>
      <c r="AH283" s="34"/>
      <c r="AI283" s="34"/>
      <c r="AJ283" s="34"/>
      <c r="AK283" s="34"/>
      <c r="AL283" s="35"/>
    </row>
    <row r="284" spans="1:38">
      <c r="A284">
        <v>2810</v>
      </c>
      <c r="B284">
        <v>282</v>
      </c>
      <c r="C284">
        <f>$F$1*몬스터밸런스[[#This Row],[Lv]]+15</f>
        <v>14065</v>
      </c>
      <c r="E284" t="s">
        <v>479</v>
      </c>
      <c r="F284">
        <f>IF(E284="공격형",INDEX(몬스터계수[[#Data],[생명계수]],MATCH(E284,몬스터계수[[#Data],[타입]],0),1)*C284,
IF(E284="방어형",INDEX(몬스터계수[[#Data],[생명계수]],MATCH(E284,몬스터계수[[#Data],[타입]],0),1)*C284,
IF(E284="회피형",INDEX(몬스터계수[[#Data],[생명계수]],MATCH(E284,몬스터계수[[#Data],[타입]],0),1)*C284,
IF(E284="체력형",INDEX(몬스터계수[[#Data],[생명계수]],MATCH(E284,몬스터계수[[#Data],[타입]],0),1)*C284,0))))*IF(몬스터밸런스[[#This Row],[보스]]=TRUE,2,1)</f>
        <v>7032.5</v>
      </c>
      <c r="G284">
        <f>IF(E284="공격형",INDEX(몬스터계수[[#Data],[힘계수]],MATCH(E284, 몬스터계수[[#Data],[타입]],0),1)*C284,
IF(E284="방어형",INDEX(몬스터계수[[#Data],[힘계수]],MATCH(E284, 몬스터계수[[#Data],[타입]],0),1)*C284,
IF(E284="회피형",INDEX(몬스터계수[[#Data],[힘계수]],MATCH(E284, 몬스터계수[[#Data],[타입]],0),1)*C284,
IF(E284="체력형",INDEX(몬스터계수[[#Data],[힘계수]],MATCH(E284, 몬스터계수[[#Data],[타입]],0),1)*C284,0))))</f>
        <v>3516.25</v>
      </c>
      <c r="H284">
        <f>IF(E284="공격형",INDEX(몬스터계수[[#Data],[근력게수]],MATCH(E284,몬스터계수[[#Data],[타입]],0),1)*C284,
IF(E284="방어형",INDEX(몬스터계수[[#Data],[근력게수]],MATCH(E284,몬스터계수[[#Data],[타입]],0),1)*C284,
IF(E284="회피형",INDEX(몬스터계수[[#Data],[근력게수]],MATCH(E284,몬스터계수[[#Data],[타입]],0),1)*C284,
IF(E284="체력형",INDEX(몬스터계수[[#Data],[근력게수]],MATCH(E284,몬스터계수[[#Data],[타입]],0),1)*C284,0))))</f>
        <v>703.25</v>
      </c>
      <c r="I284">
        <f>IF(E284="공격형",INDEX(몬스터계수[[#Data],[숙련도계수]],MATCH(E284,몬스터계수[[#Data],[타입]],0),1)*C284,
IF(E284="방어형",INDEX(몬스터계수[[#Data],[숙련도계수]],MATCH(E284,몬스터계수[[#Data],[타입]],0),1)*C284,
IF(E284="회피형",INDEX(몬스터계수[[#Data],[숙련도계수]],MATCH(E284,몬스터계수[[#Data],[타입]],0),1)*C284,
IF(E284="체력형",INDEX(몬스터계수[[#Data],[숙련도계수]],MATCH(E284,몬스터계수[[#Data],[타입]],0),1)*C284,0))))</f>
        <v>2109.75</v>
      </c>
      <c r="J284">
        <f>IF(E284="공격형",INDEX(몬스터계수[[#Data],[행운계수]],MATCH(E284, 몬스터계수[[#Data],[타입]],0),1)*C284,
IF(E284="방어형",INDEX(몬스터계수[[#Data],[행운계수]],MATCH(E284, 몬스터계수[[#Data],[타입]],0),1)*C284,
IF(E284="회피형",INDEX(몬스터계수[[#Data],[행운계수]],MATCH(E284, 몬스터계수[[#Data],[타입]],0),1)*C284,
IF(E284="체력형",INDEX(몬스터계수[[#Data],[행운계수]],MATCH(E284, 몬스터계수[[#Data],[타입]],0),1)*C284,0))))</f>
        <v>703.25</v>
      </c>
      <c r="K284" s="34">
        <f>ROUND(
(($F284)*참고!$D$5)
+(($G284)*참고!$D$6)
+(($H284)*참고!$D$7)
+(($I284)*참고!$D$8)
+(($J284))*참고!$D$9,0)</f>
        <v>109355</v>
      </c>
      <c r="L284" s="34">
        <f>ROUND(
(($F284)*참고!$E$5)
+(($G284)*참고!$E$6)
+(($H284)*참고!$E$7)
+(($I284)*참고!$E$8)
+(($J284))*참고!$E$9,0)</f>
        <v>62589</v>
      </c>
      <c r="M284" s="34">
        <f>ROUND(
(($F284)*참고!$F$5)
+(($G284)*참고!$F$6)
+(($H284)*참고!$F$7)
+(($I284)*참고!$F$8)
+(($J284))*참고!$F$9,0)</f>
        <v>17581</v>
      </c>
      <c r="N284" s="34">
        <f>ROUND(
(($F284)*참고!$G$5)
+(($G284)*참고!$G$6)
+(($H284)*참고!$G$7)
+(($I284)*참고!$G$8)
+(($J284))*참고!$G$9,0)</f>
        <v>492</v>
      </c>
      <c r="O284" s="34">
        <f>ROUND(
(($F284)*참고!$H$5)
+(($G284)*참고!$H$6)
+(($H284)*참고!$H$7)
+(($I284)*참고!$H$8)
+(($J284))*참고!$H$9,0)</f>
        <v>11604</v>
      </c>
      <c r="P284" s="34">
        <f>ROUND(
(($F284)*참고!$I$5)
+(($G284)*참고!$I$6)
+(($H284)*참고!$I$7)
+(($I284)*참고!$I$8)
+(($J284))*참고!$I$9,0)</f>
        <v>20394</v>
      </c>
      <c r="Q284" s="34">
        <f>ROUND(
(($F284)*참고!$J$5)
+(($G284)*참고!$J$6)
+(($H284)*참고!$J$7)
+(($I284)*참고!$J$8)
+(($J284))*참고!$J$9,0)</f>
        <v>14065</v>
      </c>
      <c r="R284" s="34">
        <f>IF(E284="공격형",(INDEX(몬스터계수[[#Data],[속도]],MATCH(E284, 몬스터계수[[#Data],[타입]],0),1)*속도핸들러_곱계수)*(INT(몬스터밸런스[[#This Row],[Lv]]/속도핸들러_합계수+1)),
IF(E284="방어형",(INDEX(몬스터계수[[#Data],[속도]],MATCH(E284, 몬스터계수[[#Data],[타입]],0),1)*속도핸들러_곱계수)*(INT(몬스터밸런스[[#This Row],[Lv]]/속도핸들러_합계수+1)),
IF(E284="회피형",(INDEX(몬스터계수[[#Data],[속도]],MATCH(E284, 몬스터계수[[#Data],[타입]],0),1)*속도핸들러_곱계수)*(INT(몬스터밸런스[[#This Row],[Lv]]/속도핸들러_합계수+1)),
IF(E284="기본형",(INDEX(몬스터계수[[#Data],[속도]],MATCH(E284, 몬스터계수[[#Data],[타입]],0),1)*속도핸들러_곱계수)*(INT(몬스터밸런스[[#This Row],[Lv]]/속도핸들러_합계수+1)),0))))</f>
        <v>0</v>
      </c>
      <c r="S284">
        <f t="shared" si="13"/>
        <v>3754530.5</v>
      </c>
      <c r="U284">
        <v>2</v>
      </c>
      <c r="V284">
        <v>282</v>
      </c>
      <c r="X284" t="s">
        <v>488</v>
      </c>
      <c r="AE284" s="34"/>
      <c r="AF284" s="34">
        <v>30738.5</v>
      </c>
      <c r="AG284" s="34"/>
      <c r="AH284" s="34"/>
      <c r="AI284" s="34"/>
      <c r="AJ284" s="34"/>
      <c r="AK284" s="34"/>
      <c r="AL284" s="35"/>
    </row>
    <row r="285" spans="1:38">
      <c r="A285">
        <v>2820</v>
      </c>
      <c r="B285">
        <v>283</v>
      </c>
      <c r="C285">
        <f>$F$1*몬스터밸런스[[#This Row],[Lv]]+15</f>
        <v>14115</v>
      </c>
      <c r="E285" t="s">
        <v>479</v>
      </c>
      <c r="F285">
        <f>IF(E285="공격형",INDEX(몬스터계수[[#Data],[생명계수]],MATCH(E285,몬스터계수[[#Data],[타입]],0),1)*C285,
IF(E285="방어형",INDEX(몬스터계수[[#Data],[생명계수]],MATCH(E285,몬스터계수[[#Data],[타입]],0),1)*C285,
IF(E285="회피형",INDEX(몬스터계수[[#Data],[생명계수]],MATCH(E285,몬스터계수[[#Data],[타입]],0),1)*C285,
IF(E285="체력형",INDEX(몬스터계수[[#Data],[생명계수]],MATCH(E285,몬스터계수[[#Data],[타입]],0),1)*C285,0))))*IF(몬스터밸런스[[#This Row],[보스]]=TRUE,2,1)</f>
        <v>7057.5</v>
      </c>
      <c r="G285">
        <f>IF(E285="공격형",INDEX(몬스터계수[[#Data],[힘계수]],MATCH(E285, 몬스터계수[[#Data],[타입]],0),1)*C285,
IF(E285="방어형",INDEX(몬스터계수[[#Data],[힘계수]],MATCH(E285, 몬스터계수[[#Data],[타입]],0),1)*C285,
IF(E285="회피형",INDEX(몬스터계수[[#Data],[힘계수]],MATCH(E285, 몬스터계수[[#Data],[타입]],0),1)*C285,
IF(E285="체력형",INDEX(몬스터계수[[#Data],[힘계수]],MATCH(E285, 몬스터계수[[#Data],[타입]],0),1)*C285,0))))</f>
        <v>3528.75</v>
      </c>
      <c r="H285">
        <f>IF(E285="공격형",INDEX(몬스터계수[[#Data],[근력게수]],MATCH(E285,몬스터계수[[#Data],[타입]],0),1)*C285,
IF(E285="방어형",INDEX(몬스터계수[[#Data],[근력게수]],MATCH(E285,몬스터계수[[#Data],[타입]],0),1)*C285,
IF(E285="회피형",INDEX(몬스터계수[[#Data],[근력게수]],MATCH(E285,몬스터계수[[#Data],[타입]],0),1)*C285,
IF(E285="체력형",INDEX(몬스터계수[[#Data],[근력게수]],MATCH(E285,몬스터계수[[#Data],[타입]],0),1)*C285,0))))</f>
        <v>705.75</v>
      </c>
      <c r="I285">
        <f>IF(E285="공격형",INDEX(몬스터계수[[#Data],[숙련도계수]],MATCH(E285,몬스터계수[[#Data],[타입]],0),1)*C285,
IF(E285="방어형",INDEX(몬스터계수[[#Data],[숙련도계수]],MATCH(E285,몬스터계수[[#Data],[타입]],0),1)*C285,
IF(E285="회피형",INDEX(몬스터계수[[#Data],[숙련도계수]],MATCH(E285,몬스터계수[[#Data],[타입]],0),1)*C285,
IF(E285="체력형",INDEX(몬스터계수[[#Data],[숙련도계수]],MATCH(E285,몬스터계수[[#Data],[타입]],0),1)*C285,0))))</f>
        <v>2117.25</v>
      </c>
      <c r="J285">
        <f>IF(E285="공격형",INDEX(몬스터계수[[#Data],[행운계수]],MATCH(E285, 몬스터계수[[#Data],[타입]],0),1)*C285,
IF(E285="방어형",INDEX(몬스터계수[[#Data],[행운계수]],MATCH(E285, 몬스터계수[[#Data],[타입]],0),1)*C285,
IF(E285="회피형",INDEX(몬스터계수[[#Data],[행운계수]],MATCH(E285, 몬스터계수[[#Data],[타입]],0),1)*C285,
IF(E285="체력형",INDEX(몬스터계수[[#Data],[행운계수]],MATCH(E285, 몬스터계수[[#Data],[타입]],0),1)*C285,0))))</f>
        <v>705.75</v>
      </c>
      <c r="K285" s="34">
        <f>ROUND(
(($F285)*참고!$D$5)
+(($G285)*참고!$D$6)
+(($H285)*참고!$D$7)
+(($I285)*참고!$D$8)
+(($J285))*참고!$D$9,0)</f>
        <v>109744</v>
      </c>
      <c r="L285" s="34">
        <f>ROUND(
(($F285)*참고!$E$5)
+(($G285)*참고!$E$6)
+(($H285)*참고!$E$7)
+(($I285)*참고!$E$8)
+(($J285))*참고!$E$9,0)</f>
        <v>62812</v>
      </c>
      <c r="M285" s="34">
        <f>ROUND(
(($F285)*참고!$F$5)
+(($G285)*참고!$F$6)
+(($H285)*참고!$F$7)
+(($I285)*참고!$F$8)
+(($J285))*참고!$F$9,0)</f>
        <v>17644</v>
      </c>
      <c r="N285" s="34">
        <f>ROUND(
(($F285)*참고!$G$5)
+(($G285)*참고!$G$6)
+(($H285)*참고!$G$7)
+(($I285)*참고!$G$8)
+(($J285))*참고!$G$9,0)</f>
        <v>494</v>
      </c>
      <c r="O285" s="34">
        <f>ROUND(
(($F285)*참고!$H$5)
+(($G285)*참고!$H$6)
+(($H285)*참고!$H$7)
+(($I285)*참고!$H$8)
+(($J285))*참고!$H$9,0)</f>
        <v>11645</v>
      </c>
      <c r="P285" s="34">
        <f>ROUND(
(($F285)*참고!$I$5)
+(($G285)*참고!$I$6)
+(($H285)*참고!$I$7)
+(($I285)*참고!$I$8)
+(($J285))*참고!$I$9,0)</f>
        <v>20467</v>
      </c>
      <c r="Q285" s="34">
        <f>ROUND(
(($F285)*참고!$J$5)
+(($G285)*참고!$J$6)
+(($H285)*참고!$J$7)
+(($I285)*참고!$J$8)
+(($J285))*참고!$J$9,0)</f>
        <v>14115</v>
      </c>
      <c r="R285" s="34">
        <f>IF(E285="공격형",(INDEX(몬스터계수[[#Data],[속도]],MATCH(E285, 몬스터계수[[#Data],[타입]],0),1)*속도핸들러_곱계수)*(INT(몬스터밸런스[[#This Row],[Lv]]/속도핸들러_합계수+1)),
IF(E285="방어형",(INDEX(몬스터계수[[#Data],[속도]],MATCH(E285, 몬스터계수[[#Data],[타입]],0),1)*속도핸들러_곱계수)*(INT(몬스터밸런스[[#This Row],[Lv]]/속도핸들러_합계수+1)),
IF(E285="회피형",(INDEX(몬스터계수[[#Data],[속도]],MATCH(E285, 몬스터계수[[#Data],[타입]],0),1)*속도핸들러_곱계수)*(INT(몬스터밸런스[[#This Row],[Lv]]/속도핸들러_합계수+1)),
IF(E285="기본형",(INDEX(몬스터계수[[#Data],[속도]],MATCH(E285, 몬스터계수[[#Data],[타입]],0),1)*속도핸들러_곱계수)*(INT(몬스터밸런스[[#This Row],[Lv]]/속도핸들러_합계수+1)),0))))</f>
        <v>0</v>
      </c>
      <c r="S285">
        <f t="shared" si="13"/>
        <v>3767902.5</v>
      </c>
      <c r="U285">
        <v>2</v>
      </c>
      <c r="V285">
        <v>283</v>
      </c>
      <c r="X285" t="s">
        <v>488</v>
      </c>
      <c r="AE285" s="34"/>
      <c r="AF285" s="34">
        <v>30849.5</v>
      </c>
      <c r="AG285" s="34"/>
      <c r="AH285" s="34"/>
      <c r="AI285" s="34"/>
      <c r="AJ285" s="34"/>
      <c r="AK285" s="34"/>
      <c r="AL285" s="35"/>
    </row>
    <row r="286" spans="1:38">
      <c r="A286">
        <v>2830</v>
      </c>
      <c r="B286">
        <v>284</v>
      </c>
      <c r="C286">
        <f>$F$1*몬스터밸런스[[#This Row],[Lv]]+15</f>
        <v>14165</v>
      </c>
      <c r="E286" t="s">
        <v>479</v>
      </c>
      <c r="F286">
        <f>IF(E286="공격형",INDEX(몬스터계수[[#Data],[생명계수]],MATCH(E286,몬스터계수[[#Data],[타입]],0),1)*C286,
IF(E286="방어형",INDEX(몬스터계수[[#Data],[생명계수]],MATCH(E286,몬스터계수[[#Data],[타입]],0),1)*C286,
IF(E286="회피형",INDEX(몬스터계수[[#Data],[생명계수]],MATCH(E286,몬스터계수[[#Data],[타입]],0),1)*C286,
IF(E286="체력형",INDEX(몬스터계수[[#Data],[생명계수]],MATCH(E286,몬스터계수[[#Data],[타입]],0),1)*C286,0))))*IF(몬스터밸런스[[#This Row],[보스]]=TRUE,2,1)</f>
        <v>7082.5</v>
      </c>
      <c r="G286">
        <f>IF(E286="공격형",INDEX(몬스터계수[[#Data],[힘계수]],MATCH(E286, 몬스터계수[[#Data],[타입]],0),1)*C286,
IF(E286="방어형",INDEX(몬스터계수[[#Data],[힘계수]],MATCH(E286, 몬스터계수[[#Data],[타입]],0),1)*C286,
IF(E286="회피형",INDEX(몬스터계수[[#Data],[힘계수]],MATCH(E286, 몬스터계수[[#Data],[타입]],0),1)*C286,
IF(E286="체력형",INDEX(몬스터계수[[#Data],[힘계수]],MATCH(E286, 몬스터계수[[#Data],[타입]],0),1)*C286,0))))</f>
        <v>3541.25</v>
      </c>
      <c r="H286">
        <f>IF(E286="공격형",INDEX(몬스터계수[[#Data],[근력게수]],MATCH(E286,몬스터계수[[#Data],[타입]],0),1)*C286,
IF(E286="방어형",INDEX(몬스터계수[[#Data],[근력게수]],MATCH(E286,몬스터계수[[#Data],[타입]],0),1)*C286,
IF(E286="회피형",INDEX(몬스터계수[[#Data],[근력게수]],MATCH(E286,몬스터계수[[#Data],[타입]],0),1)*C286,
IF(E286="체력형",INDEX(몬스터계수[[#Data],[근력게수]],MATCH(E286,몬스터계수[[#Data],[타입]],0),1)*C286,0))))</f>
        <v>708.25</v>
      </c>
      <c r="I286">
        <f>IF(E286="공격형",INDEX(몬스터계수[[#Data],[숙련도계수]],MATCH(E286,몬스터계수[[#Data],[타입]],0),1)*C286,
IF(E286="방어형",INDEX(몬스터계수[[#Data],[숙련도계수]],MATCH(E286,몬스터계수[[#Data],[타입]],0),1)*C286,
IF(E286="회피형",INDEX(몬스터계수[[#Data],[숙련도계수]],MATCH(E286,몬스터계수[[#Data],[타입]],0),1)*C286,
IF(E286="체력형",INDEX(몬스터계수[[#Data],[숙련도계수]],MATCH(E286,몬스터계수[[#Data],[타입]],0),1)*C286,0))))</f>
        <v>2124.75</v>
      </c>
      <c r="J286">
        <f>IF(E286="공격형",INDEX(몬스터계수[[#Data],[행운계수]],MATCH(E286, 몬스터계수[[#Data],[타입]],0),1)*C286,
IF(E286="방어형",INDEX(몬스터계수[[#Data],[행운계수]],MATCH(E286, 몬스터계수[[#Data],[타입]],0),1)*C286,
IF(E286="회피형",INDEX(몬스터계수[[#Data],[행운계수]],MATCH(E286, 몬스터계수[[#Data],[타입]],0),1)*C286,
IF(E286="체력형",INDEX(몬스터계수[[#Data],[행운계수]],MATCH(E286, 몬스터계수[[#Data],[타입]],0),1)*C286,0))))</f>
        <v>708.25</v>
      </c>
      <c r="K286" s="34">
        <f>ROUND(
(($F286)*참고!$D$5)
+(($G286)*참고!$D$6)
+(($H286)*참고!$D$7)
+(($I286)*참고!$D$8)
+(($J286))*참고!$D$9,0)</f>
        <v>110133</v>
      </c>
      <c r="L286" s="34">
        <f>ROUND(
(($F286)*참고!$E$5)
+(($G286)*참고!$E$6)
+(($H286)*참고!$E$7)
+(($I286)*참고!$E$8)
+(($J286))*참고!$E$9,0)</f>
        <v>63034</v>
      </c>
      <c r="M286" s="34">
        <f>ROUND(
(($F286)*참고!$F$5)
+(($G286)*참고!$F$6)
+(($H286)*참고!$F$7)
+(($I286)*참고!$F$8)
+(($J286))*참고!$F$9,0)</f>
        <v>17706</v>
      </c>
      <c r="N286" s="34">
        <f>ROUND(
(($F286)*참고!$G$5)
+(($G286)*참고!$G$6)
+(($H286)*참고!$G$7)
+(($I286)*참고!$G$8)
+(($J286))*참고!$G$9,0)</f>
        <v>496</v>
      </c>
      <c r="O286" s="34">
        <f>ROUND(
(($F286)*참고!$H$5)
+(($G286)*참고!$H$6)
+(($H286)*참고!$H$7)
+(($I286)*참고!$H$8)
+(($J286))*참고!$H$9,0)</f>
        <v>11686</v>
      </c>
      <c r="P286" s="34">
        <f>ROUND(
(($F286)*참고!$I$5)
+(($G286)*참고!$I$6)
+(($H286)*참고!$I$7)
+(($I286)*참고!$I$8)
+(($J286))*참고!$I$9,0)</f>
        <v>20539</v>
      </c>
      <c r="Q286" s="34">
        <f>ROUND(
(($F286)*참고!$J$5)
+(($G286)*참고!$J$6)
+(($H286)*참고!$J$7)
+(($I286)*참고!$J$8)
+(($J286))*참고!$J$9,0)</f>
        <v>14165</v>
      </c>
      <c r="R286" s="34">
        <f>IF(E286="공격형",(INDEX(몬스터계수[[#Data],[속도]],MATCH(E286, 몬스터계수[[#Data],[타입]],0),1)*속도핸들러_곱계수)*(INT(몬스터밸런스[[#This Row],[Lv]]/속도핸들러_합계수+1)),
IF(E286="방어형",(INDEX(몬스터계수[[#Data],[속도]],MATCH(E286, 몬스터계수[[#Data],[타입]],0),1)*속도핸들러_곱계수)*(INT(몬스터밸런스[[#This Row],[Lv]]/속도핸들러_합계수+1)),
IF(E286="회피형",(INDEX(몬스터계수[[#Data],[속도]],MATCH(E286, 몬스터계수[[#Data],[타입]],0),1)*속도핸들러_곱계수)*(INT(몬스터밸런스[[#This Row],[Lv]]/속도핸들러_합계수+1)),
IF(E286="기본형",(INDEX(몬스터계수[[#Data],[속도]],MATCH(E286, 몬스터계수[[#Data],[타입]],0),1)*속도핸들러_곱계수)*(INT(몬스터밸런스[[#This Row],[Lv]]/속도핸들러_합계수+1)),0))))</f>
        <v>0</v>
      </c>
      <c r="S286">
        <f t="shared" si="13"/>
        <v>3781231.5</v>
      </c>
      <c r="U286">
        <v>2</v>
      </c>
      <c r="V286">
        <v>284</v>
      </c>
      <c r="X286" t="s">
        <v>488</v>
      </c>
      <c r="AE286" s="34"/>
      <c r="AF286" s="34">
        <v>30961</v>
      </c>
      <c r="AG286" s="34"/>
      <c r="AH286" s="34"/>
      <c r="AI286" s="34"/>
      <c r="AJ286" s="34"/>
      <c r="AK286" s="34"/>
      <c r="AL286" s="35"/>
    </row>
    <row r="287" spans="1:38">
      <c r="A287">
        <v>2840</v>
      </c>
      <c r="B287">
        <v>285</v>
      </c>
      <c r="C287">
        <f>$F$1*몬스터밸런스[[#This Row],[Lv]]+15</f>
        <v>14215</v>
      </c>
      <c r="E287" t="s">
        <v>479</v>
      </c>
      <c r="F287">
        <f>IF(E287="공격형",INDEX(몬스터계수[[#Data],[생명계수]],MATCH(E287,몬스터계수[[#Data],[타입]],0),1)*C287,
IF(E287="방어형",INDEX(몬스터계수[[#Data],[생명계수]],MATCH(E287,몬스터계수[[#Data],[타입]],0),1)*C287,
IF(E287="회피형",INDEX(몬스터계수[[#Data],[생명계수]],MATCH(E287,몬스터계수[[#Data],[타입]],0),1)*C287,
IF(E287="체력형",INDEX(몬스터계수[[#Data],[생명계수]],MATCH(E287,몬스터계수[[#Data],[타입]],0),1)*C287,0))))*IF(몬스터밸런스[[#This Row],[보스]]=TRUE,2,1)</f>
        <v>7107.5</v>
      </c>
      <c r="G287">
        <f>IF(E287="공격형",INDEX(몬스터계수[[#Data],[힘계수]],MATCH(E287, 몬스터계수[[#Data],[타입]],0),1)*C287,
IF(E287="방어형",INDEX(몬스터계수[[#Data],[힘계수]],MATCH(E287, 몬스터계수[[#Data],[타입]],0),1)*C287,
IF(E287="회피형",INDEX(몬스터계수[[#Data],[힘계수]],MATCH(E287, 몬스터계수[[#Data],[타입]],0),1)*C287,
IF(E287="체력형",INDEX(몬스터계수[[#Data],[힘계수]],MATCH(E287, 몬스터계수[[#Data],[타입]],0),1)*C287,0))))</f>
        <v>3553.75</v>
      </c>
      <c r="H287">
        <f>IF(E287="공격형",INDEX(몬스터계수[[#Data],[근력게수]],MATCH(E287,몬스터계수[[#Data],[타입]],0),1)*C287,
IF(E287="방어형",INDEX(몬스터계수[[#Data],[근력게수]],MATCH(E287,몬스터계수[[#Data],[타입]],0),1)*C287,
IF(E287="회피형",INDEX(몬스터계수[[#Data],[근력게수]],MATCH(E287,몬스터계수[[#Data],[타입]],0),1)*C287,
IF(E287="체력형",INDEX(몬스터계수[[#Data],[근력게수]],MATCH(E287,몬스터계수[[#Data],[타입]],0),1)*C287,0))))</f>
        <v>710.75</v>
      </c>
      <c r="I287">
        <f>IF(E287="공격형",INDEX(몬스터계수[[#Data],[숙련도계수]],MATCH(E287,몬스터계수[[#Data],[타입]],0),1)*C287,
IF(E287="방어형",INDEX(몬스터계수[[#Data],[숙련도계수]],MATCH(E287,몬스터계수[[#Data],[타입]],0),1)*C287,
IF(E287="회피형",INDEX(몬스터계수[[#Data],[숙련도계수]],MATCH(E287,몬스터계수[[#Data],[타입]],0),1)*C287,
IF(E287="체력형",INDEX(몬스터계수[[#Data],[숙련도계수]],MATCH(E287,몬스터계수[[#Data],[타입]],0),1)*C287,0))))</f>
        <v>2132.25</v>
      </c>
      <c r="J287">
        <f>IF(E287="공격형",INDEX(몬스터계수[[#Data],[행운계수]],MATCH(E287, 몬스터계수[[#Data],[타입]],0),1)*C287,
IF(E287="방어형",INDEX(몬스터계수[[#Data],[행운계수]],MATCH(E287, 몬스터계수[[#Data],[타입]],0),1)*C287,
IF(E287="회피형",INDEX(몬스터계수[[#Data],[행운계수]],MATCH(E287, 몬스터계수[[#Data],[타입]],0),1)*C287,
IF(E287="체력형",INDEX(몬스터계수[[#Data],[행운계수]],MATCH(E287, 몬스터계수[[#Data],[타입]],0),1)*C287,0))))</f>
        <v>710.75</v>
      </c>
      <c r="K287" s="34">
        <f>ROUND(
(($F287)*참고!$D$5)
+(($G287)*참고!$D$6)
+(($H287)*참고!$D$7)
+(($I287)*참고!$D$8)
+(($J287))*참고!$D$9,0)</f>
        <v>110522</v>
      </c>
      <c r="L287" s="34">
        <f>ROUND(
(($F287)*참고!$E$5)
+(($G287)*참고!$E$6)
+(($H287)*참고!$E$7)
+(($I287)*참고!$E$8)
+(($J287))*참고!$E$9,0)</f>
        <v>63257</v>
      </c>
      <c r="M287" s="34">
        <f>ROUND(
(($F287)*참고!$F$5)
+(($G287)*참고!$F$6)
+(($H287)*참고!$F$7)
+(($I287)*참고!$F$8)
+(($J287))*참고!$F$9,0)</f>
        <v>17769</v>
      </c>
      <c r="N287" s="34">
        <f>ROUND(
(($F287)*참고!$G$5)
+(($G287)*참고!$G$6)
+(($H287)*참고!$G$7)
+(($I287)*참고!$G$8)
+(($J287))*참고!$G$9,0)</f>
        <v>498</v>
      </c>
      <c r="O287" s="34">
        <f>ROUND(
(($F287)*참고!$H$5)
+(($G287)*참고!$H$6)
+(($H287)*참고!$H$7)
+(($I287)*참고!$H$8)
+(($J287))*참고!$H$9,0)</f>
        <v>11727</v>
      </c>
      <c r="P287" s="34">
        <f>ROUND(
(($F287)*참고!$I$5)
+(($G287)*참고!$I$6)
+(($H287)*참고!$I$7)
+(($I287)*참고!$I$8)
+(($J287))*참고!$I$9,0)</f>
        <v>20612</v>
      </c>
      <c r="Q287" s="34">
        <f>ROUND(
(($F287)*참고!$J$5)
+(($G287)*참고!$J$6)
+(($H287)*참고!$J$7)
+(($I287)*참고!$J$8)
+(($J287))*참고!$J$9,0)</f>
        <v>14215</v>
      </c>
      <c r="R287" s="34">
        <f>IF(E287="공격형",(INDEX(몬스터계수[[#Data],[속도]],MATCH(E287, 몬스터계수[[#Data],[타입]],0),1)*속도핸들러_곱계수)*(INT(몬스터밸런스[[#This Row],[Lv]]/속도핸들러_합계수+1)),
IF(E287="방어형",(INDEX(몬스터계수[[#Data],[속도]],MATCH(E287, 몬스터계수[[#Data],[타입]],0),1)*속도핸들러_곱계수)*(INT(몬스터밸런스[[#This Row],[Lv]]/속도핸들러_합계수+1)),
IF(E287="회피형",(INDEX(몬스터계수[[#Data],[속도]],MATCH(E287, 몬스터계수[[#Data],[타입]],0),1)*속도핸들러_곱계수)*(INT(몬스터밸런스[[#This Row],[Lv]]/속도핸들러_합계수+1)),
IF(E287="기본형",(INDEX(몬스터계수[[#Data],[속도]],MATCH(E287, 몬스터계수[[#Data],[타입]],0),1)*속도핸들러_곱계수)*(INT(몬스터밸런스[[#This Row],[Lv]]/속도핸들러_합계수+1)),0))))</f>
        <v>0</v>
      </c>
      <c r="S287">
        <f t="shared" si="13"/>
        <v>3794603.5</v>
      </c>
      <c r="U287">
        <v>2</v>
      </c>
      <c r="V287">
        <v>285</v>
      </c>
      <c r="X287" t="s">
        <v>488</v>
      </c>
      <c r="AE287" s="34"/>
      <c r="AF287" s="34">
        <v>31072</v>
      </c>
      <c r="AG287" s="34"/>
      <c r="AH287" s="34"/>
      <c r="AI287" s="34"/>
      <c r="AJ287" s="34"/>
      <c r="AK287" s="34"/>
      <c r="AL287" s="35"/>
    </row>
    <row r="288" spans="1:38">
      <c r="A288">
        <v>2850</v>
      </c>
      <c r="B288">
        <v>286</v>
      </c>
      <c r="C288">
        <f>$F$1*몬스터밸런스[[#This Row],[Lv]]+15</f>
        <v>14265</v>
      </c>
      <c r="E288" t="s">
        <v>479</v>
      </c>
      <c r="F288">
        <f>IF(E288="공격형",INDEX(몬스터계수[[#Data],[생명계수]],MATCH(E288,몬스터계수[[#Data],[타입]],0),1)*C288,
IF(E288="방어형",INDEX(몬스터계수[[#Data],[생명계수]],MATCH(E288,몬스터계수[[#Data],[타입]],0),1)*C288,
IF(E288="회피형",INDEX(몬스터계수[[#Data],[생명계수]],MATCH(E288,몬스터계수[[#Data],[타입]],0),1)*C288,
IF(E288="체력형",INDEX(몬스터계수[[#Data],[생명계수]],MATCH(E288,몬스터계수[[#Data],[타입]],0),1)*C288,0))))*IF(몬스터밸런스[[#This Row],[보스]]=TRUE,2,1)</f>
        <v>7132.5</v>
      </c>
      <c r="G288">
        <f>IF(E288="공격형",INDEX(몬스터계수[[#Data],[힘계수]],MATCH(E288, 몬스터계수[[#Data],[타입]],0),1)*C288,
IF(E288="방어형",INDEX(몬스터계수[[#Data],[힘계수]],MATCH(E288, 몬스터계수[[#Data],[타입]],0),1)*C288,
IF(E288="회피형",INDEX(몬스터계수[[#Data],[힘계수]],MATCH(E288, 몬스터계수[[#Data],[타입]],0),1)*C288,
IF(E288="체력형",INDEX(몬스터계수[[#Data],[힘계수]],MATCH(E288, 몬스터계수[[#Data],[타입]],0),1)*C288,0))))</f>
        <v>3566.25</v>
      </c>
      <c r="H288">
        <f>IF(E288="공격형",INDEX(몬스터계수[[#Data],[근력게수]],MATCH(E288,몬스터계수[[#Data],[타입]],0),1)*C288,
IF(E288="방어형",INDEX(몬스터계수[[#Data],[근력게수]],MATCH(E288,몬스터계수[[#Data],[타입]],0),1)*C288,
IF(E288="회피형",INDEX(몬스터계수[[#Data],[근력게수]],MATCH(E288,몬스터계수[[#Data],[타입]],0),1)*C288,
IF(E288="체력형",INDEX(몬스터계수[[#Data],[근력게수]],MATCH(E288,몬스터계수[[#Data],[타입]],0),1)*C288,0))))</f>
        <v>713.25</v>
      </c>
      <c r="I288">
        <f>IF(E288="공격형",INDEX(몬스터계수[[#Data],[숙련도계수]],MATCH(E288,몬스터계수[[#Data],[타입]],0),1)*C288,
IF(E288="방어형",INDEX(몬스터계수[[#Data],[숙련도계수]],MATCH(E288,몬스터계수[[#Data],[타입]],0),1)*C288,
IF(E288="회피형",INDEX(몬스터계수[[#Data],[숙련도계수]],MATCH(E288,몬스터계수[[#Data],[타입]],0),1)*C288,
IF(E288="체력형",INDEX(몬스터계수[[#Data],[숙련도계수]],MATCH(E288,몬스터계수[[#Data],[타입]],0),1)*C288,0))))</f>
        <v>2139.75</v>
      </c>
      <c r="J288">
        <f>IF(E288="공격형",INDEX(몬스터계수[[#Data],[행운계수]],MATCH(E288, 몬스터계수[[#Data],[타입]],0),1)*C288,
IF(E288="방어형",INDEX(몬스터계수[[#Data],[행운계수]],MATCH(E288, 몬스터계수[[#Data],[타입]],0),1)*C288,
IF(E288="회피형",INDEX(몬스터계수[[#Data],[행운계수]],MATCH(E288, 몬스터계수[[#Data],[타입]],0),1)*C288,
IF(E288="체력형",INDEX(몬스터계수[[#Data],[행운계수]],MATCH(E288, 몬스터계수[[#Data],[타입]],0),1)*C288,0))))</f>
        <v>713.25</v>
      </c>
      <c r="K288" s="34">
        <f>ROUND(
(($F288)*참고!$D$5)
+(($G288)*참고!$D$6)
+(($H288)*참고!$D$7)
+(($I288)*참고!$D$8)
+(($J288))*참고!$D$9,0)</f>
        <v>110910</v>
      </c>
      <c r="L288" s="34">
        <f>ROUND(
(($F288)*참고!$E$5)
+(($G288)*참고!$E$6)
+(($H288)*참고!$E$7)
+(($I288)*참고!$E$8)
+(($J288))*참고!$E$9,0)</f>
        <v>63479</v>
      </c>
      <c r="M288" s="34">
        <f>ROUND(
(($F288)*참고!$F$5)
+(($G288)*참고!$F$6)
+(($H288)*참고!$F$7)
+(($I288)*참고!$F$8)
+(($J288))*참고!$F$9,0)</f>
        <v>17831</v>
      </c>
      <c r="N288" s="34">
        <f>ROUND(
(($F288)*참고!$G$5)
+(($G288)*참고!$G$6)
+(($H288)*참고!$G$7)
+(($I288)*참고!$G$8)
+(($J288))*참고!$G$9,0)</f>
        <v>499</v>
      </c>
      <c r="O288" s="34">
        <f>ROUND(
(($F288)*참고!$H$5)
+(($G288)*참고!$H$6)
+(($H288)*참고!$H$7)
+(($I288)*참고!$H$8)
+(($J288))*참고!$H$9,0)</f>
        <v>11769</v>
      </c>
      <c r="P288" s="34">
        <f>ROUND(
(($F288)*참고!$I$5)
+(($G288)*참고!$I$6)
+(($H288)*참고!$I$7)
+(($I288)*참고!$I$8)
+(($J288))*참고!$I$9,0)</f>
        <v>20684</v>
      </c>
      <c r="Q288" s="34">
        <f>ROUND(
(($F288)*참고!$J$5)
+(($G288)*참고!$J$6)
+(($H288)*참고!$J$7)
+(($I288)*참고!$J$8)
+(($J288))*참고!$J$9,0)</f>
        <v>14265</v>
      </c>
      <c r="R288" s="34">
        <f>IF(E288="공격형",(INDEX(몬스터계수[[#Data],[속도]],MATCH(E288, 몬스터계수[[#Data],[타입]],0),1)*속도핸들러_곱계수)*(INT(몬스터밸런스[[#This Row],[Lv]]/속도핸들러_합계수+1)),
IF(E288="방어형",(INDEX(몬스터계수[[#Data],[속도]],MATCH(E288, 몬스터계수[[#Data],[타입]],0),1)*속도핸들러_곱계수)*(INT(몬스터밸런스[[#This Row],[Lv]]/속도핸들러_합계수+1)),
IF(E288="회피형",(INDEX(몬스터계수[[#Data],[속도]],MATCH(E288, 몬스터계수[[#Data],[타입]],0),1)*속도핸들러_곱계수)*(INT(몬스터밸런스[[#This Row],[Lv]]/속도핸들러_합계수+1)),
IF(E288="기본형",(INDEX(몬스터계수[[#Data],[속도]],MATCH(E288, 몬스터계수[[#Data],[타입]],0),1)*속도핸들러_곱계수)*(INT(몬스터밸런스[[#This Row],[Lv]]/속도핸들러_합계수+1)),0))))</f>
        <v>0</v>
      </c>
      <c r="S288">
        <f t="shared" si="13"/>
        <v>3807919</v>
      </c>
      <c r="U288">
        <v>3</v>
      </c>
      <c r="V288">
        <v>286</v>
      </c>
      <c r="X288" t="s">
        <v>488</v>
      </c>
      <c r="AE288" s="34"/>
      <c r="AF288" s="34"/>
      <c r="AG288" s="34">
        <v>8603</v>
      </c>
      <c r="AH288" s="34"/>
      <c r="AI288" s="34"/>
      <c r="AJ288" s="34"/>
      <c r="AK288" s="34"/>
      <c r="AL288" s="35"/>
    </row>
    <row r="289" spans="1:38">
      <c r="A289">
        <v>2860</v>
      </c>
      <c r="B289">
        <v>287</v>
      </c>
      <c r="C289">
        <f>$F$1*몬스터밸런스[[#This Row],[Lv]]+15</f>
        <v>14315</v>
      </c>
      <c r="E289" t="s">
        <v>479</v>
      </c>
      <c r="F289">
        <f>IF(E289="공격형",INDEX(몬스터계수[[#Data],[생명계수]],MATCH(E289,몬스터계수[[#Data],[타입]],0),1)*C289,
IF(E289="방어형",INDEX(몬스터계수[[#Data],[생명계수]],MATCH(E289,몬스터계수[[#Data],[타입]],0),1)*C289,
IF(E289="회피형",INDEX(몬스터계수[[#Data],[생명계수]],MATCH(E289,몬스터계수[[#Data],[타입]],0),1)*C289,
IF(E289="체력형",INDEX(몬스터계수[[#Data],[생명계수]],MATCH(E289,몬스터계수[[#Data],[타입]],0),1)*C289,0))))*IF(몬스터밸런스[[#This Row],[보스]]=TRUE,2,1)</f>
        <v>7157.5</v>
      </c>
      <c r="G289">
        <f>IF(E289="공격형",INDEX(몬스터계수[[#Data],[힘계수]],MATCH(E289, 몬스터계수[[#Data],[타입]],0),1)*C289,
IF(E289="방어형",INDEX(몬스터계수[[#Data],[힘계수]],MATCH(E289, 몬스터계수[[#Data],[타입]],0),1)*C289,
IF(E289="회피형",INDEX(몬스터계수[[#Data],[힘계수]],MATCH(E289, 몬스터계수[[#Data],[타입]],0),1)*C289,
IF(E289="체력형",INDEX(몬스터계수[[#Data],[힘계수]],MATCH(E289, 몬스터계수[[#Data],[타입]],0),1)*C289,0))))</f>
        <v>3578.75</v>
      </c>
      <c r="H289">
        <f>IF(E289="공격형",INDEX(몬스터계수[[#Data],[근력게수]],MATCH(E289,몬스터계수[[#Data],[타입]],0),1)*C289,
IF(E289="방어형",INDEX(몬스터계수[[#Data],[근력게수]],MATCH(E289,몬스터계수[[#Data],[타입]],0),1)*C289,
IF(E289="회피형",INDEX(몬스터계수[[#Data],[근력게수]],MATCH(E289,몬스터계수[[#Data],[타입]],0),1)*C289,
IF(E289="체력형",INDEX(몬스터계수[[#Data],[근력게수]],MATCH(E289,몬스터계수[[#Data],[타입]],0),1)*C289,0))))</f>
        <v>715.75</v>
      </c>
      <c r="I289">
        <f>IF(E289="공격형",INDEX(몬스터계수[[#Data],[숙련도계수]],MATCH(E289,몬스터계수[[#Data],[타입]],0),1)*C289,
IF(E289="방어형",INDEX(몬스터계수[[#Data],[숙련도계수]],MATCH(E289,몬스터계수[[#Data],[타입]],0),1)*C289,
IF(E289="회피형",INDEX(몬스터계수[[#Data],[숙련도계수]],MATCH(E289,몬스터계수[[#Data],[타입]],0),1)*C289,
IF(E289="체력형",INDEX(몬스터계수[[#Data],[숙련도계수]],MATCH(E289,몬스터계수[[#Data],[타입]],0),1)*C289,0))))</f>
        <v>2147.25</v>
      </c>
      <c r="J289">
        <f>IF(E289="공격형",INDEX(몬스터계수[[#Data],[행운계수]],MATCH(E289, 몬스터계수[[#Data],[타입]],0),1)*C289,
IF(E289="방어형",INDEX(몬스터계수[[#Data],[행운계수]],MATCH(E289, 몬스터계수[[#Data],[타입]],0),1)*C289,
IF(E289="회피형",INDEX(몬스터계수[[#Data],[행운계수]],MATCH(E289, 몬스터계수[[#Data],[타입]],0),1)*C289,
IF(E289="체력형",INDEX(몬스터계수[[#Data],[행운계수]],MATCH(E289, 몬스터계수[[#Data],[타입]],0),1)*C289,0))))</f>
        <v>715.75</v>
      </c>
      <c r="K289" s="34">
        <f>ROUND(
(($F289)*참고!$D$5)
+(($G289)*참고!$D$6)
+(($H289)*참고!$D$7)
+(($I289)*참고!$D$8)
+(($J289))*참고!$D$9,0)</f>
        <v>111299</v>
      </c>
      <c r="L289" s="34">
        <f>ROUND(
(($F289)*참고!$E$5)
+(($G289)*참고!$E$6)
+(($H289)*참고!$E$7)
+(($I289)*참고!$E$8)
+(($J289))*참고!$E$9,0)</f>
        <v>63702</v>
      </c>
      <c r="M289" s="34">
        <f>ROUND(
(($F289)*참고!$F$5)
+(($G289)*참고!$F$6)
+(($H289)*참고!$F$7)
+(($I289)*참고!$F$8)
+(($J289))*참고!$F$9,0)</f>
        <v>17894</v>
      </c>
      <c r="N289" s="34">
        <f>ROUND(
(($F289)*참고!$G$5)
+(($G289)*참고!$G$6)
+(($H289)*참고!$G$7)
+(($I289)*참고!$G$8)
+(($J289))*참고!$G$9,0)</f>
        <v>501</v>
      </c>
      <c r="O289" s="34">
        <f>ROUND(
(($F289)*참고!$H$5)
+(($G289)*참고!$H$6)
+(($H289)*참고!$H$7)
+(($I289)*참고!$H$8)
+(($J289))*참고!$H$9,0)</f>
        <v>11810</v>
      </c>
      <c r="P289" s="34">
        <f>ROUND(
(($F289)*참고!$I$5)
+(($G289)*참고!$I$6)
+(($H289)*참고!$I$7)
+(($I289)*참고!$I$8)
+(($J289))*참고!$I$9,0)</f>
        <v>20757</v>
      </c>
      <c r="Q289" s="34">
        <f>ROUND(
(($F289)*참고!$J$5)
+(($G289)*참고!$J$6)
+(($H289)*참고!$J$7)
+(($I289)*참고!$J$8)
+(($J289))*참고!$J$9,0)</f>
        <v>14315</v>
      </c>
      <c r="R289" s="34">
        <f>IF(E289="공격형",(INDEX(몬스터계수[[#Data],[속도]],MATCH(E289, 몬스터계수[[#Data],[타입]],0),1)*속도핸들러_곱계수)*(INT(몬스터밸런스[[#This Row],[Lv]]/속도핸들러_합계수+1)),
IF(E289="방어형",(INDEX(몬스터계수[[#Data],[속도]],MATCH(E289, 몬스터계수[[#Data],[타입]],0),1)*속도핸들러_곱계수)*(INT(몬스터밸런스[[#This Row],[Lv]]/속도핸들러_합계수+1)),
IF(E289="회피형",(INDEX(몬스터계수[[#Data],[속도]],MATCH(E289, 몬스터계수[[#Data],[타입]],0),1)*속도핸들러_곱계수)*(INT(몬스터밸런스[[#This Row],[Lv]]/속도핸들러_합계수+1)),
IF(E289="기본형",(INDEX(몬스터계수[[#Data],[속도]],MATCH(E289, 몬스터계수[[#Data],[타입]],0),1)*속도핸들러_곱계수)*(INT(몬스터밸런스[[#This Row],[Lv]]/속도핸들러_합계수+1)),0))))</f>
        <v>0</v>
      </c>
      <c r="S289">
        <f t="shared" si="13"/>
        <v>3821291</v>
      </c>
      <c r="U289">
        <v>3</v>
      </c>
      <c r="V289">
        <v>287</v>
      </c>
      <c r="X289" t="s">
        <v>488</v>
      </c>
      <c r="AE289" s="34"/>
      <c r="AF289" s="34"/>
      <c r="AG289" s="34">
        <v>8634.5</v>
      </c>
      <c r="AH289" s="34"/>
      <c r="AI289" s="34"/>
      <c r="AJ289" s="34"/>
      <c r="AK289" s="34"/>
      <c r="AL289" s="35"/>
    </row>
    <row r="290" spans="1:38">
      <c r="A290">
        <v>2870</v>
      </c>
      <c r="B290">
        <v>288</v>
      </c>
      <c r="C290">
        <f>$F$1*몬스터밸런스[[#This Row],[Lv]]+15</f>
        <v>14365</v>
      </c>
      <c r="E290" t="s">
        <v>479</v>
      </c>
      <c r="F290">
        <f>IF(E290="공격형",INDEX(몬스터계수[[#Data],[생명계수]],MATCH(E290,몬스터계수[[#Data],[타입]],0),1)*C290,
IF(E290="방어형",INDEX(몬스터계수[[#Data],[생명계수]],MATCH(E290,몬스터계수[[#Data],[타입]],0),1)*C290,
IF(E290="회피형",INDEX(몬스터계수[[#Data],[생명계수]],MATCH(E290,몬스터계수[[#Data],[타입]],0),1)*C290,
IF(E290="체력형",INDEX(몬스터계수[[#Data],[생명계수]],MATCH(E290,몬스터계수[[#Data],[타입]],0),1)*C290,0))))*IF(몬스터밸런스[[#This Row],[보스]]=TRUE,2,1)</f>
        <v>7182.5</v>
      </c>
      <c r="G290">
        <f>IF(E290="공격형",INDEX(몬스터계수[[#Data],[힘계수]],MATCH(E290, 몬스터계수[[#Data],[타입]],0),1)*C290,
IF(E290="방어형",INDEX(몬스터계수[[#Data],[힘계수]],MATCH(E290, 몬스터계수[[#Data],[타입]],0),1)*C290,
IF(E290="회피형",INDEX(몬스터계수[[#Data],[힘계수]],MATCH(E290, 몬스터계수[[#Data],[타입]],0),1)*C290,
IF(E290="체력형",INDEX(몬스터계수[[#Data],[힘계수]],MATCH(E290, 몬스터계수[[#Data],[타입]],0),1)*C290,0))))</f>
        <v>3591.25</v>
      </c>
      <c r="H290">
        <f>IF(E290="공격형",INDEX(몬스터계수[[#Data],[근력게수]],MATCH(E290,몬스터계수[[#Data],[타입]],0),1)*C290,
IF(E290="방어형",INDEX(몬스터계수[[#Data],[근력게수]],MATCH(E290,몬스터계수[[#Data],[타입]],0),1)*C290,
IF(E290="회피형",INDEX(몬스터계수[[#Data],[근력게수]],MATCH(E290,몬스터계수[[#Data],[타입]],0),1)*C290,
IF(E290="체력형",INDEX(몬스터계수[[#Data],[근력게수]],MATCH(E290,몬스터계수[[#Data],[타입]],0),1)*C290,0))))</f>
        <v>718.25</v>
      </c>
      <c r="I290">
        <f>IF(E290="공격형",INDEX(몬스터계수[[#Data],[숙련도계수]],MATCH(E290,몬스터계수[[#Data],[타입]],0),1)*C290,
IF(E290="방어형",INDEX(몬스터계수[[#Data],[숙련도계수]],MATCH(E290,몬스터계수[[#Data],[타입]],0),1)*C290,
IF(E290="회피형",INDEX(몬스터계수[[#Data],[숙련도계수]],MATCH(E290,몬스터계수[[#Data],[타입]],0),1)*C290,
IF(E290="체력형",INDEX(몬스터계수[[#Data],[숙련도계수]],MATCH(E290,몬스터계수[[#Data],[타입]],0),1)*C290,0))))</f>
        <v>2154.75</v>
      </c>
      <c r="J290">
        <f>IF(E290="공격형",INDEX(몬스터계수[[#Data],[행운계수]],MATCH(E290, 몬스터계수[[#Data],[타입]],0),1)*C290,
IF(E290="방어형",INDEX(몬스터계수[[#Data],[행운계수]],MATCH(E290, 몬스터계수[[#Data],[타입]],0),1)*C290,
IF(E290="회피형",INDEX(몬스터계수[[#Data],[행운계수]],MATCH(E290, 몬스터계수[[#Data],[타입]],0),1)*C290,
IF(E290="체력형",INDEX(몬스터계수[[#Data],[행운계수]],MATCH(E290, 몬스터계수[[#Data],[타입]],0),1)*C290,0))))</f>
        <v>718.25</v>
      </c>
      <c r="K290" s="34">
        <f>ROUND(
(($F290)*참고!$D$5)
+(($G290)*참고!$D$6)
+(($H290)*참고!$D$7)
+(($I290)*참고!$D$8)
+(($J290))*참고!$D$9,0)</f>
        <v>111688</v>
      </c>
      <c r="L290" s="34">
        <f>ROUND(
(($F290)*참고!$E$5)
+(($G290)*참고!$E$6)
+(($H290)*참고!$E$7)
+(($I290)*참고!$E$8)
+(($J290))*참고!$E$9,0)</f>
        <v>63924</v>
      </c>
      <c r="M290" s="34">
        <f>ROUND(
(($F290)*참고!$F$5)
+(($G290)*참고!$F$6)
+(($H290)*참고!$F$7)
+(($I290)*참고!$F$8)
+(($J290))*참고!$F$9,0)</f>
        <v>17956</v>
      </c>
      <c r="N290" s="34">
        <f>ROUND(
(($F290)*참고!$G$5)
+(($G290)*참고!$G$6)
+(($H290)*참고!$G$7)
+(($I290)*참고!$G$8)
+(($J290))*참고!$G$9,0)</f>
        <v>503</v>
      </c>
      <c r="O290" s="34">
        <f>ROUND(
(($F290)*참고!$H$5)
+(($G290)*참고!$H$6)
+(($H290)*참고!$H$7)
+(($I290)*참고!$H$8)
+(($J290))*참고!$H$9,0)</f>
        <v>11851</v>
      </c>
      <c r="P290" s="34">
        <f>ROUND(
(($F290)*참고!$I$5)
+(($G290)*참고!$I$6)
+(($H290)*참고!$I$7)
+(($I290)*참고!$I$8)
+(($J290))*참고!$I$9,0)</f>
        <v>20829</v>
      </c>
      <c r="Q290" s="34">
        <f>ROUND(
(($F290)*참고!$J$5)
+(($G290)*참고!$J$6)
+(($H290)*참고!$J$7)
+(($I290)*참고!$J$8)
+(($J290))*참고!$J$9,0)</f>
        <v>14365</v>
      </c>
      <c r="R290" s="34">
        <f>IF(E290="공격형",(INDEX(몬스터계수[[#Data],[속도]],MATCH(E290, 몬스터계수[[#Data],[타입]],0),1)*속도핸들러_곱계수)*(INT(몬스터밸런스[[#This Row],[Lv]]/속도핸들러_합계수+1)),
IF(E290="방어형",(INDEX(몬스터계수[[#Data],[속도]],MATCH(E290, 몬스터계수[[#Data],[타입]],0),1)*속도핸들러_곱계수)*(INT(몬스터밸런스[[#This Row],[Lv]]/속도핸들러_합계수+1)),
IF(E290="회피형",(INDEX(몬스터계수[[#Data],[속도]],MATCH(E290, 몬스터계수[[#Data],[타입]],0),1)*속도핸들러_곱계수)*(INT(몬스터밸런스[[#This Row],[Lv]]/속도핸들러_합계수+1)),
IF(E290="기본형",(INDEX(몬스터계수[[#Data],[속도]],MATCH(E290, 몬스터계수[[#Data],[타입]],0),1)*속도핸들러_곱계수)*(INT(몬스터밸런스[[#This Row],[Lv]]/속도핸들러_합계수+1)),0))))</f>
        <v>0</v>
      </c>
      <c r="S290">
        <f t="shared" si="13"/>
        <v>3834620</v>
      </c>
      <c r="U290">
        <v>3</v>
      </c>
      <c r="V290">
        <v>288</v>
      </c>
      <c r="X290" t="s">
        <v>488</v>
      </c>
      <c r="AE290" s="34"/>
      <c r="AF290" s="34"/>
      <c r="AG290" s="34">
        <v>8665.5</v>
      </c>
      <c r="AH290" s="34"/>
      <c r="AI290" s="34"/>
      <c r="AJ290" s="34"/>
      <c r="AK290" s="34"/>
      <c r="AL290" s="35"/>
    </row>
    <row r="291" spans="1:38">
      <c r="A291">
        <v>2880</v>
      </c>
      <c r="B291">
        <v>289</v>
      </c>
      <c r="C291">
        <f>$F$1*몬스터밸런스[[#This Row],[Lv]]+15</f>
        <v>14415</v>
      </c>
      <c r="E291" t="s">
        <v>479</v>
      </c>
      <c r="F291">
        <f>IF(E291="공격형",INDEX(몬스터계수[[#Data],[생명계수]],MATCH(E291,몬스터계수[[#Data],[타입]],0),1)*C291,
IF(E291="방어형",INDEX(몬스터계수[[#Data],[생명계수]],MATCH(E291,몬스터계수[[#Data],[타입]],0),1)*C291,
IF(E291="회피형",INDEX(몬스터계수[[#Data],[생명계수]],MATCH(E291,몬스터계수[[#Data],[타입]],0),1)*C291,
IF(E291="체력형",INDEX(몬스터계수[[#Data],[생명계수]],MATCH(E291,몬스터계수[[#Data],[타입]],0),1)*C291,0))))*IF(몬스터밸런스[[#This Row],[보스]]=TRUE,2,1)</f>
        <v>7207.5</v>
      </c>
      <c r="G291">
        <f>IF(E291="공격형",INDEX(몬스터계수[[#Data],[힘계수]],MATCH(E291, 몬스터계수[[#Data],[타입]],0),1)*C291,
IF(E291="방어형",INDEX(몬스터계수[[#Data],[힘계수]],MATCH(E291, 몬스터계수[[#Data],[타입]],0),1)*C291,
IF(E291="회피형",INDEX(몬스터계수[[#Data],[힘계수]],MATCH(E291, 몬스터계수[[#Data],[타입]],0),1)*C291,
IF(E291="체력형",INDEX(몬스터계수[[#Data],[힘계수]],MATCH(E291, 몬스터계수[[#Data],[타입]],0),1)*C291,0))))</f>
        <v>3603.75</v>
      </c>
      <c r="H291">
        <f>IF(E291="공격형",INDEX(몬스터계수[[#Data],[근력게수]],MATCH(E291,몬스터계수[[#Data],[타입]],0),1)*C291,
IF(E291="방어형",INDEX(몬스터계수[[#Data],[근력게수]],MATCH(E291,몬스터계수[[#Data],[타입]],0),1)*C291,
IF(E291="회피형",INDEX(몬스터계수[[#Data],[근력게수]],MATCH(E291,몬스터계수[[#Data],[타입]],0),1)*C291,
IF(E291="체력형",INDEX(몬스터계수[[#Data],[근력게수]],MATCH(E291,몬스터계수[[#Data],[타입]],0),1)*C291,0))))</f>
        <v>720.75</v>
      </c>
      <c r="I291">
        <f>IF(E291="공격형",INDEX(몬스터계수[[#Data],[숙련도계수]],MATCH(E291,몬스터계수[[#Data],[타입]],0),1)*C291,
IF(E291="방어형",INDEX(몬스터계수[[#Data],[숙련도계수]],MATCH(E291,몬스터계수[[#Data],[타입]],0),1)*C291,
IF(E291="회피형",INDEX(몬스터계수[[#Data],[숙련도계수]],MATCH(E291,몬스터계수[[#Data],[타입]],0),1)*C291,
IF(E291="체력형",INDEX(몬스터계수[[#Data],[숙련도계수]],MATCH(E291,몬스터계수[[#Data],[타입]],0),1)*C291,0))))</f>
        <v>2162.25</v>
      </c>
      <c r="J291">
        <f>IF(E291="공격형",INDEX(몬스터계수[[#Data],[행운계수]],MATCH(E291, 몬스터계수[[#Data],[타입]],0),1)*C291,
IF(E291="방어형",INDEX(몬스터계수[[#Data],[행운계수]],MATCH(E291, 몬스터계수[[#Data],[타입]],0),1)*C291,
IF(E291="회피형",INDEX(몬스터계수[[#Data],[행운계수]],MATCH(E291, 몬스터계수[[#Data],[타입]],0),1)*C291,
IF(E291="체력형",INDEX(몬스터계수[[#Data],[행운계수]],MATCH(E291, 몬스터계수[[#Data],[타입]],0),1)*C291,0))))</f>
        <v>720.75</v>
      </c>
      <c r="K291" s="34">
        <f>ROUND(
(($F291)*참고!$D$5)
+(($G291)*참고!$D$6)
+(($H291)*참고!$D$7)
+(($I291)*참고!$D$8)
+(($J291))*참고!$D$9,0)</f>
        <v>112077</v>
      </c>
      <c r="L291" s="34">
        <f>ROUND(
(($F291)*참고!$E$5)
+(($G291)*참고!$E$6)
+(($H291)*참고!$E$7)
+(($I291)*참고!$E$8)
+(($J291))*참고!$E$9,0)</f>
        <v>64147</v>
      </c>
      <c r="M291" s="34">
        <f>ROUND(
(($F291)*참고!$F$5)
+(($G291)*참고!$F$6)
+(($H291)*참고!$F$7)
+(($I291)*참고!$F$8)
+(($J291))*참고!$F$9,0)</f>
        <v>18019</v>
      </c>
      <c r="N291" s="34">
        <f>ROUND(
(($F291)*참고!$G$5)
+(($G291)*참고!$G$6)
+(($H291)*참고!$G$7)
+(($I291)*참고!$G$8)
+(($J291))*참고!$G$9,0)</f>
        <v>505</v>
      </c>
      <c r="O291" s="34">
        <f>ROUND(
(($F291)*참고!$H$5)
+(($G291)*참고!$H$6)
+(($H291)*참고!$H$7)
+(($I291)*참고!$H$8)
+(($J291))*참고!$H$9,0)</f>
        <v>11892</v>
      </c>
      <c r="P291" s="34">
        <f>ROUND(
(($F291)*참고!$I$5)
+(($G291)*참고!$I$6)
+(($H291)*참고!$I$7)
+(($I291)*참고!$I$8)
+(($J291))*참고!$I$9,0)</f>
        <v>20902</v>
      </c>
      <c r="Q291" s="34">
        <f>ROUND(
(($F291)*참고!$J$5)
+(($G291)*참고!$J$6)
+(($H291)*참고!$J$7)
+(($I291)*참고!$J$8)
+(($J291))*참고!$J$9,0)</f>
        <v>14415</v>
      </c>
      <c r="R291" s="34">
        <f>IF(E291="공격형",(INDEX(몬스터계수[[#Data],[속도]],MATCH(E291, 몬스터계수[[#Data],[타입]],0),1)*속도핸들러_곱계수)*(INT(몬스터밸런스[[#This Row],[Lv]]/속도핸들러_합계수+1)),
IF(E291="방어형",(INDEX(몬스터계수[[#Data],[속도]],MATCH(E291, 몬스터계수[[#Data],[타입]],0),1)*속도핸들러_곱계수)*(INT(몬스터밸런스[[#This Row],[Lv]]/속도핸들러_합계수+1)),
IF(E291="회피형",(INDEX(몬스터계수[[#Data],[속도]],MATCH(E291, 몬스터계수[[#Data],[타입]],0),1)*속도핸들러_곱계수)*(INT(몬스터밸런스[[#This Row],[Lv]]/속도핸들러_합계수+1)),
IF(E291="기본형",(INDEX(몬스터계수[[#Data],[속도]],MATCH(E291, 몬스터계수[[#Data],[타입]],0),1)*속도핸들러_곱계수)*(INT(몬스터밸런스[[#This Row],[Lv]]/속도핸들러_합계수+1)),0))))</f>
        <v>0</v>
      </c>
      <c r="S291">
        <f t="shared" si="13"/>
        <v>3847992</v>
      </c>
      <c r="U291">
        <v>3</v>
      </c>
      <c r="V291">
        <v>289</v>
      </c>
      <c r="X291" t="s">
        <v>488</v>
      </c>
      <c r="AE291" s="34"/>
      <c r="AF291" s="34"/>
      <c r="AG291" s="34">
        <v>8697</v>
      </c>
      <c r="AH291" s="34"/>
      <c r="AI291" s="34"/>
      <c r="AJ291" s="34"/>
      <c r="AK291" s="34"/>
      <c r="AL291" s="35"/>
    </row>
    <row r="292" spans="1:38">
      <c r="A292">
        <v>2890</v>
      </c>
      <c r="B292">
        <v>290</v>
      </c>
      <c r="C292">
        <f>$F$1*몬스터밸런스[[#This Row],[Lv]]+15</f>
        <v>14465</v>
      </c>
      <c r="E292" t="s">
        <v>479</v>
      </c>
      <c r="F292">
        <f>IF(E292="공격형",INDEX(몬스터계수[[#Data],[생명계수]],MATCH(E292,몬스터계수[[#Data],[타입]],0),1)*C292,
IF(E292="방어형",INDEX(몬스터계수[[#Data],[생명계수]],MATCH(E292,몬스터계수[[#Data],[타입]],0),1)*C292,
IF(E292="회피형",INDEX(몬스터계수[[#Data],[생명계수]],MATCH(E292,몬스터계수[[#Data],[타입]],0),1)*C292,
IF(E292="체력형",INDEX(몬스터계수[[#Data],[생명계수]],MATCH(E292,몬스터계수[[#Data],[타입]],0),1)*C292,0))))*IF(몬스터밸런스[[#This Row],[보스]]=TRUE,2,1)</f>
        <v>7232.5</v>
      </c>
      <c r="G292">
        <f>IF(E292="공격형",INDEX(몬스터계수[[#Data],[힘계수]],MATCH(E292, 몬스터계수[[#Data],[타입]],0),1)*C292,
IF(E292="방어형",INDEX(몬스터계수[[#Data],[힘계수]],MATCH(E292, 몬스터계수[[#Data],[타입]],0),1)*C292,
IF(E292="회피형",INDEX(몬스터계수[[#Data],[힘계수]],MATCH(E292, 몬스터계수[[#Data],[타입]],0),1)*C292,
IF(E292="체력형",INDEX(몬스터계수[[#Data],[힘계수]],MATCH(E292, 몬스터계수[[#Data],[타입]],0),1)*C292,0))))</f>
        <v>3616.25</v>
      </c>
      <c r="H292">
        <f>IF(E292="공격형",INDEX(몬스터계수[[#Data],[근력게수]],MATCH(E292,몬스터계수[[#Data],[타입]],0),1)*C292,
IF(E292="방어형",INDEX(몬스터계수[[#Data],[근력게수]],MATCH(E292,몬스터계수[[#Data],[타입]],0),1)*C292,
IF(E292="회피형",INDEX(몬스터계수[[#Data],[근력게수]],MATCH(E292,몬스터계수[[#Data],[타입]],0),1)*C292,
IF(E292="체력형",INDEX(몬스터계수[[#Data],[근력게수]],MATCH(E292,몬스터계수[[#Data],[타입]],0),1)*C292,0))))</f>
        <v>723.25</v>
      </c>
      <c r="I292">
        <f>IF(E292="공격형",INDEX(몬스터계수[[#Data],[숙련도계수]],MATCH(E292,몬스터계수[[#Data],[타입]],0),1)*C292,
IF(E292="방어형",INDEX(몬스터계수[[#Data],[숙련도계수]],MATCH(E292,몬스터계수[[#Data],[타입]],0),1)*C292,
IF(E292="회피형",INDEX(몬스터계수[[#Data],[숙련도계수]],MATCH(E292,몬스터계수[[#Data],[타입]],0),1)*C292,
IF(E292="체력형",INDEX(몬스터계수[[#Data],[숙련도계수]],MATCH(E292,몬스터계수[[#Data],[타입]],0),1)*C292,0))))</f>
        <v>2169.75</v>
      </c>
      <c r="J292">
        <f>IF(E292="공격형",INDEX(몬스터계수[[#Data],[행운계수]],MATCH(E292, 몬스터계수[[#Data],[타입]],0),1)*C292,
IF(E292="방어형",INDEX(몬스터계수[[#Data],[행운계수]],MATCH(E292, 몬스터계수[[#Data],[타입]],0),1)*C292,
IF(E292="회피형",INDEX(몬스터계수[[#Data],[행운계수]],MATCH(E292, 몬스터계수[[#Data],[타입]],0),1)*C292,
IF(E292="체력형",INDEX(몬스터계수[[#Data],[행운계수]],MATCH(E292, 몬스터계수[[#Data],[타입]],0),1)*C292,0))))</f>
        <v>723.25</v>
      </c>
      <c r="K292" s="34">
        <f>ROUND(
(($F292)*참고!$D$5)
+(($G292)*참고!$D$6)
+(($H292)*참고!$D$7)
+(($I292)*참고!$D$8)
+(($J292))*참고!$D$9,0)</f>
        <v>112465</v>
      </c>
      <c r="L292" s="34">
        <f>ROUND(
(($F292)*참고!$E$5)
+(($G292)*참고!$E$6)
+(($H292)*참고!$E$7)
+(($I292)*참고!$E$8)
+(($J292))*참고!$E$9,0)</f>
        <v>64369</v>
      </c>
      <c r="M292" s="34">
        <f>ROUND(
(($F292)*참고!$F$5)
+(($G292)*참고!$F$6)
+(($H292)*참고!$F$7)
+(($I292)*참고!$F$8)
+(($J292))*참고!$F$9,0)</f>
        <v>18081</v>
      </c>
      <c r="N292" s="34">
        <f>ROUND(
(($F292)*참고!$G$5)
+(($G292)*참고!$G$6)
+(($H292)*참고!$G$7)
+(($I292)*참고!$G$8)
+(($J292))*참고!$G$9,0)</f>
        <v>506</v>
      </c>
      <c r="O292" s="34">
        <f>ROUND(
(($F292)*참고!$H$5)
+(($G292)*참고!$H$6)
+(($H292)*참고!$H$7)
+(($I292)*참고!$H$8)
+(($J292))*참고!$H$9,0)</f>
        <v>11934</v>
      </c>
      <c r="P292" s="34">
        <f>ROUND(
(($F292)*참고!$I$5)
+(($G292)*참고!$I$6)
+(($H292)*참고!$I$7)
+(($I292)*참고!$I$8)
+(($J292))*참고!$I$9,0)</f>
        <v>20974</v>
      </c>
      <c r="Q292" s="34">
        <f>ROUND(
(($F292)*참고!$J$5)
+(($G292)*참고!$J$6)
+(($H292)*참고!$J$7)
+(($I292)*참고!$J$8)
+(($J292))*참고!$J$9,0)</f>
        <v>14465</v>
      </c>
      <c r="R292" s="34">
        <f>IF(E292="공격형",(INDEX(몬스터계수[[#Data],[속도]],MATCH(E292, 몬스터계수[[#Data],[타입]],0),1)*속도핸들러_곱계수)*(INT(몬스터밸런스[[#This Row],[Lv]]/속도핸들러_합계수+1)),
IF(E292="방어형",(INDEX(몬스터계수[[#Data],[속도]],MATCH(E292, 몬스터계수[[#Data],[타입]],0),1)*속도핸들러_곱계수)*(INT(몬스터밸런스[[#This Row],[Lv]]/속도핸들러_합계수+1)),
IF(E292="회피형",(INDEX(몬스터계수[[#Data],[속도]],MATCH(E292, 몬스터계수[[#Data],[타입]],0),1)*속도핸들러_곱계수)*(INT(몬스터밸런스[[#This Row],[Lv]]/속도핸들러_합계수+1)),
IF(E292="기본형",(INDEX(몬스터계수[[#Data],[속도]],MATCH(E292, 몬스터계수[[#Data],[타입]],0),1)*속도핸들러_곱계수)*(INT(몬스터밸런스[[#This Row],[Lv]]/속도핸들러_합계수+1)),0))))</f>
        <v>0</v>
      </c>
      <c r="S292">
        <f t="shared" si="13"/>
        <v>3861307.5</v>
      </c>
      <c r="U292">
        <v>3</v>
      </c>
      <c r="V292">
        <v>290</v>
      </c>
      <c r="X292" t="s">
        <v>488</v>
      </c>
      <c r="AE292" s="34"/>
      <c r="AF292" s="34"/>
      <c r="AG292" s="34">
        <v>8728</v>
      </c>
      <c r="AH292" s="34"/>
      <c r="AI292" s="34"/>
      <c r="AJ292" s="34"/>
      <c r="AK292" s="34"/>
      <c r="AL292" s="35"/>
    </row>
    <row r="293" spans="1:38">
      <c r="U293">
        <v>4</v>
      </c>
      <c r="V293">
        <v>291</v>
      </c>
      <c r="X293" t="s">
        <v>488</v>
      </c>
      <c r="AE293" s="34"/>
      <c r="AF293" s="34"/>
      <c r="AG293" s="34"/>
      <c r="AH293" s="34">
        <v>241</v>
      </c>
      <c r="AI293" s="34"/>
      <c r="AJ293" s="34"/>
      <c r="AK293" s="34"/>
      <c r="AL293" s="35"/>
    </row>
    <row r="294" spans="1:38">
      <c r="U294">
        <v>4</v>
      </c>
      <c r="V294">
        <v>292</v>
      </c>
      <c r="X294" t="s">
        <v>488</v>
      </c>
      <c r="AE294" s="34"/>
      <c r="AF294" s="34"/>
      <c r="AG294" s="34"/>
      <c r="AH294" s="34">
        <v>242</v>
      </c>
      <c r="AI294" s="34"/>
      <c r="AJ294" s="34"/>
      <c r="AK294" s="34"/>
      <c r="AL294" s="35"/>
    </row>
    <row r="295" spans="1:38">
      <c r="U295">
        <v>4</v>
      </c>
      <c r="V295">
        <v>293</v>
      </c>
      <c r="X295" t="s">
        <v>488</v>
      </c>
      <c r="AE295" s="34"/>
      <c r="AF295" s="34"/>
      <c r="AG295" s="34"/>
      <c r="AH295" s="34">
        <v>242.5</v>
      </c>
      <c r="AI295" s="34"/>
      <c r="AJ295" s="34"/>
      <c r="AK295" s="34"/>
      <c r="AL295" s="35"/>
    </row>
    <row r="296" spans="1:38">
      <c r="U296">
        <v>4</v>
      </c>
      <c r="V296">
        <v>294</v>
      </c>
      <c r="X296" t="s">
        <v>488</v>
      </c>
      <c r="AE296" s="34"/>
      <c r="AF296" s="34"/>
      <c r="AG296" s="34"/>
      <c r="AH296" s="34">
        <v>243.5</v>
      </c>
      <c r="AI296" s="34"/>
      <c r="AJ296" s="34"/>
      <c r="AK296" s="34"/>
      <c r="AL296" s="35"/>
    </row>
    <row r="297" spans="1:38">
      <c r="U297">
        <v>4</v>
      </c>
      <c r="V297">
        <v>295</v>
      </c>
      <c r="X297" t="s">
        <v>488</v>
      </c>
      <c r="AE297" s="34"/>
      <c r="AF297" s="34"/>
      <c r="AG297" s="34"/>
      <c r="AH297" s="34">
        <v>244.5</v>
      </c>
      <c r="AI297" s="34"/>
      <c r="AJ297" s="34"/>
      <c r="AK297" s="34"/>
      <c r="AL297" s="35"/>
    </row>
    <row r="298" spans="1:38">
      <c r="U298">
        <v>5</v>
      </c>
      <c r="V298">
        <v>296</v>
      </c>
      <c r="X298" t="s">
        <v>488</v>
      </c>
      <c r="AE298" s="34"/>
      <c r="AF298" s="34"/>
      <c r="AG298" s="34"/>
      <c r="AH298" s="34"/>
      <c r="AI298" s="34">
        <v>5678</v>
      </c>
      <c r="AJ298" s="34"/>
      <c r="AK298" s="34"/>
      <c r="AL298" s="35"/>
    </row>
    <row r="299" spans="1:38">
      <c r="U299">
        <v>5</v>
      </c>
      <c r="V299">
        <v>297</v>
      </c>
      <c r="W299">
        <f>$Z$1*몬스터밸런스9[[#This Row],[단계]]</f>
        <v>25</v>
      </c>
      <c r="X299" t="s">
        <v>488</v>
      </c>
      <c r="AE299" s="34"/>
      <c r="AF299" s="34"/>
      <c r="AG299" s="34"/>
      <c r="AH299" s="34"/>
      <c r="AI299" s="34">
        <v>5698.5</v>
      </c>
      <c r="AJ299" s="34"/>
      <c r="AK299" s="34"/>
      <c r="AL299" s="35"/>
    </row>
    <row r="300" spans="1:38">
      <c r="U300">
        <v>5</v>
      </c>
      <c r="V300">
        <v>298</v>
      </c>
      <c r="W300">
        <f>$Z$1*몬스터밸런스9[[#This Row],[단계]]</f>
        <v>25</v>
      </c>
      <c r="X300" t="s">
        <v>488</v>
      </c>
      <c r="AE300" s="34"/>
      <c r="AF300" s="34"/>
      <c r="AG300" s="34"/>
      <c r="AH300" s="34"/>
      <c r="AI300" s="34">
        <v>5719.5</v>
      </c>
      <c r="AJ300" s="34"/>
      <c r="AK300" s="34"/>
      <c r="AL300" s="35"/>
    </row>
    <row r="301" spans="1:38">
      <c r="U301">
        <v>5</v>
      </c>
      <c r="V301">
        <v>299</v>
      </c>
      <c r="W301">
        <f>$Z$1*몬스터밸런스9[[#This Row],[단계]]</f>
        <v>25</v>
      </c>
      <c r="X301" t="s">
        <v>488</v>
      </c>
      <c r="AE301" s="34"/>
      <c r="AF301" s="34"/>
      <c r="AG301" s="34"/>
      <c r="AH301" s="34"/>
      <c r="AI301" s="34">
        <v>5740</v>
      </c>
      <c r="AJ301" s="34"/>
      <c r="AK301" s="34"/>
      <c r="AL301" s="35"/>
    </row>
    <row r="302" spans="1:38">
      <c r="U302">
        <v>5</v>
      </c>
      <c r="V302">
        <v>300</v>
      </c>
      <c r="W302">
        <f>$Z$1*몬스터밸런스9[[#This Row],[단계]]</f>
        <v>25</v>
      </c>
      <c r="X302" t="s">
        <v>488</v>
      </c>
      <c r="AE302" s="34"/>
      <c r="AF302" s="34"/>
      <c r="AG302" s="34"/>
      <c r="AH302" s="34"/>
      <c r="AI302" s="34">
        <v>5760.5</v>
      </c>
      <c r="AJ302" s="34"/>
      <c r="AK302" s="34"/>
      <c r="AL302" s="35"/>
    </row>
    <row r="303" spans="1:38">
      <c r="V303">
        <v>296</v>
      </c>
      <c r="W303">
        <f>$Z$1*몬스터밸런스9[[#This Row],[단계]]</f>
        <v>0</v>
      </c>
      <c r="X303" t="s">
        <v>488</v>
      </c>
      <c r="AE303" s="34"/>
      <c r="AF303" s="34"/>
      <c r="AG303" s="34"/>
      <c r="AH303" s="34"/>
      <c r="AI303" s="34"/>
      <c r="AJ303" s="34">
        <v>9979.5</v>
      </c>
      <c r="AK303" s="34"/>
      <c r="AL303" s="35"/>
    </row>
    <row r="304" spans="1:38">
      <c r="V304">
        <v>297</v>
      </c>
      <c r="W304">
        <f>$Z$1*몬스터밸런스9[[#This Row],[단계]]</f>
        <v>0</v>
      </c>
      <c r="X304" t="s">
        <v>488</v>
      </c>
      <c r="AE304" s="34"/>
      <c r="AF304" s="34"/>
      <c r="AG304" s="34"/>
      <c r="AH304" s="34"/>
      <c r="AI304" s="34"/>
      <c r="AJ304" s="34">
        <v>10016</v>
      </c>
      <c r="AK304" s="34"/>
      <c r="AL304" s="35"/>
    </row>
    <row r="305" spans="22:38">
      <c r="V305">
        <v>298</v>
      </c>
      <c r="W305">
        <f>$Z$1*몬스터밸런스9[[#This Row],[단계]]</f>
        <v>0</v>
      </c>
      <c r="X305" t="s">
        <v>488</v>
      </c>
      <c r="AE305" s="34"/>
      <c r="AF305" s="34"/>
      <c r="AG305" s="34"/>
      <c r="AH305" s="34"/>
      <c r="AI305" s="34"/>
      <c r="AJ305" s="34">
        <v>10052</v>
      </c>
      <c r="AK305" s="34"/>
      <c r="AL305" s="35"/>
    </row>
    <row r="306" spans="22:38">
      <c r="V306">
        <v>299</v>
      </c>
      <c r="W306">
        <f>$Z$1*몬스터밸런스9[[#This Row],[단계]]</f>
        <v>0</v>
      </c>
      <c r="X306" t="s">
        <v>488</v>
      </c>
      <c r="AE306" s="34"/>
      <c r="AF306" s="34"/>
      <c r="AG306" s="34"/>
      <c r="AH306" s="34"/>
      <c r="AI306" s="34"/>
      <c r="AJ306" s="34">
        <v>10088.5</v>
      </c>
      <c r="AK306" s="34"/>
      <c r="AL306" s="35"/>
    </row>
    <row r="307" spans="22:38">
      <c r="V307">
        <v>300</v>
      </c>
      <c r="W307">
        <f>$Z$1*몬스터밸런스9[[#This Row],[단계]]</f>
        <v>0</v>
      </c>
      <c r="X307" t="s">
        <v>488</v>
      </c>
      <c r="AE307" s="34"/>
      <c r="AF307" s="34"/>
      <c r="AG307" s="34"/>
      <c r="AH307" s="34"/>
      <c r="AI307" s="34"/>
      <c r="AJ307" s="34">
        <v>10124.5</v>
      </c>
      <c r="AK307" s="34"/>
      <c r="AL307" s="35"/>
    </row>
    <row r="308" spans="22:38">
      <c r="V308">
        <v>296</v>
      </c>
      <c r="W308">
        <f>$Z$1*몬스터밸런스9[[#This Row],[단계]]</f>
        <v>0</v>
      </c>
      <c r="X308" t="s">
        <v>488</v>
      </c>
      <c r="AE308" s="34"/>
      <c r="AF308" s="34"/>
      <c r="AG308" s="34"/>
      <c r="AH308" s="34"/>
      <c r="AI308" s="34"/>
      <c r="AJ308" s="34"/>
      <c r="AK308" s="34">
        <v>6882.5</v>
      </c>
      <c r="AL308" s="35"/>
    </row>
    <row r="309" spans="22:38">
      <c r="V309">
        <v>297</v>
      </c>
      <c r="W309">
        <f>$Z$1*몬스터밸런스9[[#This Row],[단계]]</f>
        <v>0</v>
      </c>
      <c r="X309" t="s">
        <v>488</v>
      </c>
      <c r="AE309" s="34"/>
      <c r="AF309" s="34"/>
      <c r="AG309" s="34"/>
      <c r="AH309" s="34"/>
      <c r="AI309" s="34"/>
      <c r="AJ309" s="34"/>
      <c r="AK309" s="34">
        <v>6907.5</v>
      </c>
      <c r="AL309" s="35"/>
    </row>
    <row r="310" spans="22:38">
      <c r="V310">
        <v>298</v>
      </c>
      <c r="W310">
        <f>$Z$1*몬스터밸런스9[[#This Row],[단계]]</f>
        <v>0</v>
      </c>
      <c r="X310" t="s">
        <v>488</v>
      </c>
      <c r="AE310" s="34"/>
      <c r="AF310" s="34"/>
      <c r="AG310" s="34"/>
      <c r="AH310" s="34"/>
      <c r="AI310" s="34"/>
      <c r="AJ310" s="34"/>
      <c r="AK310" s="34">
        <v>6932.5</v>
      </c>
      <c r="AL310" s="35"/>
    </row>
    <row r="311" spans="22:38">
      <c r="V311">
        <v>299</v>
      </c>
      <c r="W311">
        <f>$Z$1*몬스터밸런스9[[#This Row],[단계]]</f>
        <v>0</v>
      </c>
      <c r="X311" t="s">
        <v>488</v>
      </c>
      <c r="AE311" s="34"/>
      <c r="AF311" s="34"/>
      <c r="AG311" s="34"/>
      <c r="AH311" s="34"/>
      <c r="AI311" s="34"/>
      <c r="AJ311" s="34"/>
      <c r="AK311" s="34">
        <v>6957.5</v>
      </c>
      <c r="AL311" s="35"/>
    </row>
    <row r="312" spans="22:38">
      <c r="V312">
        <v>300</v>
      </c>
      <c r="W312">
        <f>$Z$1*몬스터밸런스9[[#This Row],[단계]]</f>
        <v>0</v>
      </c>
      <c r="X312" t="s">
        <v>488</v>
      </c>
      <c r="AE312" s="34"/>
      <c r="AF312" s="34"/>
      <c r="AG312" s="34"/>
      <c r="AH312" s="34"/>
      <c r="AI312" s="34"/>
      <c r="AJ312" s="34"/>
      <c r="AK312" s="34">
        <v>6982.5</v>
      </c>
      <c r="AL312" s="35"/>
    </row>
  </sheetData>
  <phoneticPr fontId="1" type="noConversion"/>
  <dataValidations count="1">
    <dataValidation type="list" allowBlank="1" showInputMessage="1" showErrorMessage="1" sqref="E3:E292" xr:uid="{7174BB2D-C3DA-4D1E-AF36-46872ED9D64F}">
      <formula1>"체력형,방어형,회피형,공격형"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71F3A6-7B61-43BB-AE34-51AADBFCEC80}">
          <x14:formula1>
            <xm:f>참고!$M$4:$M$17</xm:f>
          </x14:formula1>
          <xm:sqref>X3:X312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CBD84-9A6A-4F27-9F69-97B2C61FD8C5}">
  <sheetPr codeName="Sheet2"/>
  <dimension ref="A1:L28"/>
  <sheetViews>
    <sheetView workbookViewId="0">
      <selection activeCell="B2" sqref="B2"/>
    </sheetView>
  </sheetViews>
  <sheetFormatPr defaultRowHeight="16.5"/>
  <cols>
    <col min="1" max="1" width="29.875" bestFit="1" customWidth="1"/>
    <col min="2" max="2" width="27.875" bestFit="1" customWidth="1"/>
    <col min="3" max="3" width="63.375" bestFit="1" customWidth="1"/>
    <col min="5" max="5" width="110.875" customWidth="1"/>
  </cols>
  <sheetData>
    <row r="1" spans="1:12">
      <c r="A1" t="s">
        <v>0</v>
      </c>
      <c r="B1" t="s">
        <v>1</v>
      </c>
      <c r="C1" t="s">
        <v>3</v>
      </c>
    </row>
    <row r="2" spans="1:12">
      <c r="A2" t="s">
        <v>2</v>
      </c>
      <c r="B2" t="str">
        <f>""""&amp;베이스_생명&amp;","&amp;베이스_힘&amp;","&amp;베이스_근력&amp;","&amp;베이스_숙련도&amp;","&amp;베이스_행운&amp;","&amp;베이스_이동속도&amp;","&amp;베이스_행동력&amp;""""</f>
        <v>"15,10,15,5,5,5,20"</v>
      </c>
      <c r="C2" t="s">
        <v>6</v>
      </c>
    </row>
    <row r="3" spans="1:12">
      <c r="A3" t="s">
        <v>13</v>
      </c>
      <c r="B3" t="s">
        <v>15</v>
      </c>
      <c r="C3" t="s">
        <v>14</v>
      </c>
    </row>
    <row r="4" spans="1:12">
      <c r="A4" t="s">
        <v>42</v>
      </c>
      <c r="B4" t="str">
        <f>""""&amp;참고!D5&amp;","&amp;참고!E5&amp;","&amp;참고!F5&amp;","&amp;참고!G5&amp;","&amp;참고!H5&amp;","&amp;참고!I5&amp;","&amp;참고!J5&amp;""""</f>
        <v>"15,3,1,0,0,0,0"</v>
      </c>
      <c r="C4" t="s">
        <v>35</v>
      </c>
    </row>
    <row r="5" spans="1:12">
      <c r="A5" t="s">
        <v>31</v>
      </c>
      <c r="B5" t="str">
        <f>""""&amp;참고!D6&amp;","&amp;참고!E6&amp;","&amp;참고!F6&amp;","&amp;참고!G6&amp;","&amp;참고!H6&amp;","&amp;참고!I6&amp;","&amp;참고!J6&amp;""""</f>
        <v>"0.5,10,0,0,3,0,0"</v>
      </c>
      <c r="C5" t="s">
        <v>35</v>
      </c>
      <c r="E5" t="s">
        <v>43</v>
      </c>
    </row>
    <row r="6" spans="1:12">
      <c r="A6" t="s">
        <v>30</v>
      </c>
      <c r="B6" t="str">
        <f>""""&amp;참고!D7&amp;","&amp;참고!E7&amp;","&amp;참고!F7&amp;","&amp;참고!G7&amp;","&amp;참고!H7&amp;","&amp;참고!I7&amp;","&amp;참고!J7&amp;""""</f>
        <v>"1,0,15,0,0,0,2"</v>
      </c>
      <c r="C6" t="s">
        <v>35</v>
      </c>
    </row>
    <row r="7" spans="1:12">
      <c r="A7" t="s">
        <v>32</v>
      </c>
      <c r="B7" t="str">
        <f>""""&amp;참고!D8&amp;","&amp;참고!E8&amp;","&amp;참고!F8&amp;","&amp;참고!G8&amp;","&amp;참고!H8&amp;","&amp;참고!I8&amp;","&amp;참고!J8&amp;""""</f>
        <v>"0.5,3,0,0.1,0,9,0"</v>
      </c>
      <c r="C7" t="s">
        <v>35</v>
      </c>
    </row>
    <row r="8" spans="1:12">
      <c r="A8" t="s">
        <v>33</v>
      </c>
      <c r="B8" t="str">
        <f>""""&amp;참고!D9&amp;","&amp;참고!E9&amp;","&amp;참고!F9&amp;","&amp;참고!G9&amp;","&amp;참고!H9&amp;","&amp;참고!I9&amp;","&amp;참고!J9&amp;""""</f>
        <v>"0.5,0,0,0.4,1.5,2,18"</v>
      </c>
      <c r="C8" t="s">
        <v>35</v>
      </c>
      <c r="E8" t="s">
        <v>23</v>
      </c>
      <c r="F8" t="s">
        <v>22</v>
      </c>
    </row>
    <row r="9" spans="1:12">
      <c r="A9" t="s">
        <v>38</v>
      </c>
      <c r="B9" t="str">
        <f>""""&amp;참고!D10&amp;","&amp;참고!E10&amp;","&amp;참고!F10&amp;","&amp;참고!G10&amp;","&amp;참고!H10&amp;","&amp;참고!I10&amp;","&amp;참고!J10&amp;""""</f>
        <v>",0,0,0,0,0,0"</v>
      </c>
      <c r="C9" t="s">
        <v>35</v>
      </c>
      <c r="E9" t="s">
        <v>31</v>
      </c>
      <c r="F9" t="s">
        <v>18</v>
      </c>
    </row>
    <row r="10" spans="1:12">
      <c r="A10" t="s">
        <v>39</v>
      </c>
      <c r="B10" t="str">
        <f>""""&amp;참고!D11&amp;","&amp;참고!E11&amp;","&amp;참고!F11&amp;","&amp;참고!G11&amp;","&amp;참고!H11&amp;","&amp;참고!I11&amp;","&amp;참고!J11&amp;""""</f>
        <v>",0,0,0,0,0,0"</v>
      </c>
      <c r="C10" t="s">
        <v>35</v>
      </c>
      <c r="E10" t="s">
        <v>30</v>
      </c>
      <c r="F10" t="s">
        <v>19</v>
      </c>
    </row>
    <row r="11" spans="1:12">
      <c r="A11" t="s">
        <v>79</v>
      </c>
      <c r="B11" t="str">
        <f>""""&amp;참고!M21&amp;","&amp;참고!M22&amp;","&amp;참고!M23&amp;","&amp;참고!M24&amp;","&amp;참고!M25&amp;","&amp;참고!M26&amp;","&amp;참고!M27&amp;","&amp;참고!M28&amp;","&amp;참고!M29&amp;","&amp;참고!M30&amp;","&amp;참고!M31&amp;","&amp;참고!M32&amp;","&amp;참고!M33&amp;","&amp;참고!M34&amp;""""</f>
        <v>",,,,,,,,,,,,,"</v>
      </c>
      <c r="C11" t="str">
        <f>""""&amp;참고!L4&amp;","&amp;참고!L5&amp;","&amp;참고!L6&amp;","&amp;참고!L7&amp;","&amp;참고!L8&amp;","&amp;참고!L9&amp;","&amp;참고!L10&amp;","&amp;참고!L11&amp;","&amp;참고!L12&amp;","&amp;참고!L13&amp;","&amp;참고!L14&amp;","&amp;참고!L15&amp;","&amp;참고!L16&amp;","&amp;참고!L17&amp;""""</f>
        <v>"투구,팬던트,장갑,부츠,코일,망토,왕관,팔보호구,상의,하의,검,방패,밴드,악세서리"</v>
      </c>
      <c r="E11" t="s">
        <v>32</v>
      </c>
      <c r="F11" t="s">
        <v>20</v>
      </c>
    </row>
    <row r="12" spans="1:12">
      <c r="A12" t="s">
        <v>81</v>
      </c>
      <c r="B12" t="str">
        <f>""""&amp;참고!L4&amp;","&amp;참고!L5&amp;","&amp;참고!L6&amp;","&amp;참고!L7&amp;","&amp;참고!L8&amp;","&amp;참고!L9&amp;","&amp;참고!L10&amp;","&amp;참고!L11&amp;","&amp;참고!L12&amp;","&amp;참고!L13&amp;","&amp;참고!L14&amp;","&amp;참고!L15&amp;","&amp;참고!L16&amp;","&amp;참고!L17&amp;""""</f>
        <v>"투구,팬던트,장갑,부츠,코일,망토,왕관,팔보호구,상의,하의,검,방패,밴드,악세서리"</v>
      </c>
      <c r="E12" t="s">
        <v>33</v>
      </c>
      <c r="F12" t="s">
        <v>21</v>
      </c>
    </row>
    <row r="13" spans="1:12">
      <c r="A13" t="s">
        <v>83</v>
      </c>
      <c r="B13">
        <v>5</v>
      </c>
      <c r="C13" t="s">
        <v>82</v>
      </c>
    </row>
    <row r="14" spans="1:12">
      <c r="A14" t="s">
        <v>433</v>
      </c>
      <c r="B14">
        <v>5.0000000000000001E-3</v>
      </c>
      <c r="C14" t="s">
        <v>437</v>
      </c>
    </row>
    <row r="15" spans="1:12">
      <c r="A15" t="s">
        <v>434</v>
      </c>
      <c r="B15">
        <v>0.25</v>
      </c>
      <c r="C15" t="s">
        <v>438</v>
      </c>
      <c r="E15" t="s">
        <v>37</v>
      </c>
      <c r="F15" t="s">
        <v>7</v>
      </c>
      <c r="G15" t="s">
        <v>8</v>
      </c>
      <c r="H15" t="s">
        <v>10</v>
      </c>
      <c r="I15" t="s">
        <v>11</v>
      </c>
      <c r="J15" t="s">
        <v>12</v>
      </c>
      <c r="K15" t="s">
        <v>17</v>
      </c>
      <c r="L15" t="s">
        <v>34</v>
      </c>
    </row>
    <row r="16" spans="1:12">
      <c r="A16" t="s">
        <v>435</v>
      </c>
      <c r="B16">
        <v>0.05</v>
      </c>
      <c r="C16" t="s">
        <v>483</v>
      </c>
      <c r="E16" t="s">
        <v>35</v>
      </c>
    </row>
    <row r="17" spans="1:5">
      <c r="A17" t="s">
        <v>436</v>
      </c>
      <c r="B17">
        <v>0.3</v>
      </c>
      <c r="C17" t="s">
        <v>484</v>
      </c>
    </row>
    <row r="18" spans="1:5">
      <c r="A18" t="s">
        <v>449</v>
      </c>
      <c r="B18">
        <v>3</v>
      </c>
      <c r="C18" t="s">
        <v>450</v>
      </c>
    </row>
    <row r="19" spans="1:5" ht="24" customHeight="1">
      <c r="A19" s="2" t="s">
        <v>469</v>
      </c>
      <c r="B19">
        <v>10</v>
      </c>
      <c r="C19" t="s">
        <v>468</v>
      </c>
    </row>
    <row r="20" spans="1:5">
      <c r="A20" t="s">
        <v>485</v>
      </c>
      <c r="B20">
        <v>51</v>
      </c>
      <c r="C20" t="s">
        <v>486</v>
      </c>
    </row>
    <row r="21" spans="1:5">
      <c r="A21" t="s">
        <v>487</v>
      </c>
      <c r="B21" s="38">
        <v>1</v>
      </c>
      <c r="C21" t="s">
        <v>489</v>
      </c>
    </row>
    <row r="22" spans="1:5">
      <c r="A22" t="s">
        <v>498</v>
      </c>
      <c r="B22" t="str">
        <f>참고!D20&amp;","&amp;참고!D21&amp;","&amp;참고!D22&amp;","&amp;참고!D23&amp;","&amp;참고!D24&amp;","&amp;참고!D25</f>
        <v>0.3,0.34,0.2,0.1,0.05,0.01</v>
      </c>
      <c r="C22" s="7" t="s">
        <v>502</v>
      </c>
    </row>
    <row r="23" spans="1:5">
      <c r="A23" t="s">
        <v>499</v>
      </c>
      <c r="B23" t="str">
        <f>참고!H20&amp;","&amp;참고!H21&amp;","&amp;참고!H22&amp;","&amp;참고!H23&amp;","&amp;참고!H24&amp;","&amp;참고!H25</f>
        <v>0.2,0.3,0.3,0.18,0.01,0.01</v>
      </c>
      <c r="C23" t="s">
        <v>503</v>
      </c>
    </row>
    <row r="24" spans="1:5">
      <c r="A24" t="s">
        <v>504</v>
      </c>
      <c r="B24">
        <v>200</v>
      </c>
    </row>
    <row r="28" spans="1:5" ht="165">
      <c r="E28" s="2" t="s">
        <v>36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44F41-1C2A-41D0-89EA-84B6771E0C7D}">
  <sheetPr codeName="Sheet5"/>
  <dimension ref="A1:M13"/>
  <sheetViews>
    <sheetView zoomScale="85" zoomScaleNormal="85" workbookViewId="0">
      <selection activeCell="B14" sqref="B14"/>
    </sheetView>
  </sheetViews>
  <sheetFormatPr defaultRowHeight="16.5"/>
  <cols>
    <col min="2" max="2" width="22.625" customWidth="1"/>
    <col min="5" max="5" width="21.5" bestFit="1" customWidth="1"/>
  </cols>
  <sheetData>
    <row r="1" spans="1:13">
      <c r="A1" t="s">
        <v>523</v>
      </c>
      <c r="B1" t="s">
        <v>524</v>
      </c>
      <c r="C1" t="s">
        <v>525</v>
      </c>
      <c r="D1" t="s">
        <v>526</v>
      </c>
      <c r="E1" t="s">
        <v>527</v>
      </c>
      <c r="F1" t="s">
        <v>528</v>
      </c>
      <c r="G1" t="s">
        <v>529</v>
      </c>
      <c r="H1" t="s">
        <v>530</v>
      </c>
      <c r="I1" t="s">
        <v>531</v>
      </c>
      <c r="J1" t="s">
        <v>532</v>
      </c>
      <c r="K1" t="s">
        <v>533</v>
      </c>
      <c r="L1" t="s">
        <v>534</v>
      </c>
      <c r="M1" t="s">
        <v>535</v>
      </c>
    </row>
    <row r="2" spans="1:13">
      <c r="A2" t="s">
        <v>536</v>
      </c>
      <c r="B2" t="s">
        <v>631</v>
      </c>
      <c r="C2" t="s">
        <v>537</v>
      </c>
      <c r="D2">
        <v>5</v>
      </c>
      <c r="E2">
        <v>15</v>
      </c>
      <c r="F2">
        <v>160</v>
      </c>
      <c r="G2">
        <v>25</v>
      </c>
      <c r="H2">
        <v>38</v>
      </c>
      <c r="I2">
        <v>1.8</v>
      </c>
      <c r="J2">
        <v>50</v>
      </c>
      <c r="K2">
        <v>1.5</v>
      </c>
      <c r="L2">
        <v>10</v>
      </c>
    </row>
    <row r="3" spans="1:13">
      <c r="A3" t="s">
        <v>538</v>
      </c>
      <c r="B3" t="s">
        <v>632</v>
      </c>
      <c r="C3" t="s">
        <v>539</v>
      </c>
      <c r="D3" t="s">
        <v>537</v>
      </c>
      <c r="E3">
        <v>15</v>
      </c>
      <c r="F3">
        <v>35</v>
      </c>
      <c r="G3">
        <v>220</v>
      </c>
      <c r="H3">
        <v>30</v>
      </c>
      <c r="I3">
        <v>48</v>
      </c>
      <c r="J3">
        <v>1.5</v>
      </c>
      <c r="K3">
        <v>45</v>
      </c>
      <c r="L3">
        <v>2</v>
      </c>
      <c r="M3">
        <v>25</v>
      </c>
    </row>
    <row r="4" spans="1:13">
      <c r="A4" t="s">
        <v>540</v>
      </c>
      <c r="B4" t="s">
        <v>633</v>
      </c>
      <c r="C4" t="s">
        <v>539</v>
      </c>
      <c r="D4" t="s">
        <v>541</v>
      </c>
      <c r="E4">
        <v>50</v>
      </c>
      <c r="F4">
        <v>90</v>
      </c>
      <c r="G4">
        <v>500</v>
      </c>
      <c r="H4">
        <v>50</v>
      </c>
      <c r="I4">
        <v>75</v>
      </c>
      <c r="J4">
        <v>1</v>
      </c>
      <c r="K4">
        <v>30</v>
      </c>
      <c r="L4">
        <v>3.5</v>
      </c>
      <c r="M4">
        <v>300</v>
      </c>
    </row>
    <row r="5" spans="1:13">
      <c r="A5" t="s">
        <v>542</v>
      </c>
      <c r="B5" t="s">
        <v>634</v>
      </c>
      <c r="C5" t="s">
        <v>537</v>
      </c>
      <c r="D5">
        <v>10</v>
      </c>
      <c r="E5">
        <v>25</v>
      </c>
      <c r="F5">
        <v>180</v>
      </c>
      <c r="G5">
        <v>26</v>
      </c>
      <c r="H5">
        <v>42</v>
      </c>
      <c r="I5">
        <v>1.6</v>
      </c>
      <c r="J5">
        <v>48</v>
      </c>
      <c r="K5">
        <v>1.8</v>
      </c>
      <c r="L5">
        <v>20</v>
      </c>
    </row>
    <row r="6" spans="1:13">
      <c r="A6" t="s">
        <v>543</v>
      </c>
      <c r="B6" t="s">
        <v>635</v>
      </c>
      <c r="C6" t="s">
        <v>544</v>
      </c>
      <c r="D6" t="s">
        <v>545</v>
      </c>
      <c r="E6">
        <v>40</v>
      </c>
      <c r="F6">
        <v>80</v>
      </c>
      <c r="G6">
        <v>380</v>
      </c>
      <c r="H6">
        <v>42</v>
      </c>
      <c r="I6">
        <v>68</v>
      </c>
      <c r="J6">
        <v>1.2</v>
      </c>
      <c r="K6">
        <v>38</v>
      </c>
      <c r="L6">
        <v>2.8</v>
      </c>
      <c r="M6">
        <v>120</v>
      </c>
    </row>
    <row r="7" spans="1:13">
      <c r="A7" t="s">
        <v>546</v>
      </c>
      <c r="B7" t="s">
        <v>636</v>
      </c>
      <c r="C7" t="s">
        <v>544</v>
      </c>
      <c r="D7" t="s">
        <v>541</v>
      </c>
      <c r="E7">
        <v>180</v>
      </c>
      <c r="F7">
        <v>350</v>
      </c>
      <c r="G7">
        <v>900</v>
      </c>
      <c r="H7">
        <v>85</v>
      </c>
      <c r="I7">
        <v>125</v>
      </c>
      <c r="J7">
        <v>0.8</v>
      </c>
      <c r="K7">
        <v>25</v>
      </c>
      <c r="L7">
        <v>4.5</v>
      </c>
      <c r="M7">
        <v>750</v>
      </c>
    </row>
    <row r="8" spans="1:13">
      <c r="A8" t="s">
        <v>547</v>
      </c>
      <c r="B8" t="s">
        <v>637</v>
      </c>
      <c r="C8" t="s">
        <v>548</v>
      </c>
      <c r="D8" t="s">
        <v>537</v>
      </c>
      <c r="E8">
        <v>30</v>
      </c>
      <c r="F8">
        <v>60</v>
      </c>
      <c r="G8">
        <v>280</v>
      </c>
      <c r="H8">
        <v>35</v>
      </c>
      <c r="I8">
        <v>55</v>
      </c>
      <c r="J8">
        <v>1.4</v>
      </c>
      <c r="K8">
        <v>40</v>
      </c>
      <c r="L8">
        <v>2.2000000000000002</v>
      </c>
      <c r="M8">
        <v>50</v>
      </c>
    </row>
    <row r="9" spans="1:13">
      <c r="A9" t="s">
        <v>549</v>
      </c>
      <c r="B9" t="s">
        <v>638</v>
      </c>
      <c r="C9" t="s">
        <v>548</v>
      </c>
      <c r="D9" t="s">
        <v>545</v>
      </c>
      <c r="E9">
        <v>20</v>
      </c>
      <c r="F9">
        <v>40</v>
      </c>
      <c r="G9">
        <v>450</v>
      </c>
      <c r="H9">
        <v>45</v>
      </c>
      <c r="I9">
        <v>75</v>
      </c>
      <c r="J9">
        <v>1.1000000000000001</v>
      </c>
      <c r="K9">
        <v>35</v>
      </c>
      <c r="L9">
        <v>3</v>
      </c>
      <c r="M9">
        <v>180</v>
      </c>
    </row>
    <row r="10" spans="1:13">
      <c r="A10" t="s">
        <v>550</v>
      </c>
      <c r="B10" t="s">
        <v>639</v>
      </c>
      <c r="C10" t="s">
        <v>541</v>
      </c>
      <c r="D10">
        <v>200</v>
      </c>
      <c r="E10">
        <v>500</v>
      </c>
      <c r="F10">
        <v>1100</v>
      </c>
      <c r="G10">
        <v>100</v>
      </c>
      <c r="H10">
        <v>150</v>
      </c>
      <c r="I10">
        <v>0.7</v>
      </c>
      <c r="J10">
        <v>22</v>
      </c>
      <c r="K10">
        <v>5</v>
      </c>
      <c r="L10">
        <v>1200</v>
      </c>
    </row>
    <row r="11" spans="1:13">
      <c r="A11" t="s">
        <v>551</v>
      </c>
      <c r="B11" t="s">
        <v>640</v>
      </c>
      <c r="C11" t="s">
        <v>537</v>
      </c>
      <c r="D11">
        <v>8</v>
      </c>
      <c r="E11">
        <v>15</v>
      </c>
      <c r="F11">
        <v>240</v>
      </c>
      <c r="G11">
        <v>28</v>
      </c>
      <c r="H11">
        <v>44</v>
      </c>
      <c r="I11">
        <v>1.5</v>
      </c>
      <c r="J11">
        <v>45</v>
      </c>
      <c r="K11">
        <v>1.5</v>
      </c>
      <c r="L11">
        <v>60</v>
      </c>
    </row>
    <row r="12" spans="1:13">
      <c r="A12" t="s">
        <v>552</v>
      </c>
      <c r="B12" t="s">
        <v>641</v>
      </c>
      <c r="C12" t="s">
        <v>545</v>
      </c>
      <c r="D12">
        <v>100</v>
      </c>
      <c r="E12">
        <v>220</v>
      </c>
      <c r="F12">
        <v>750</v>
      </c>
      <c r="G12">
        <v>65</v>
      </c>
      <c r="H12">
        <v>105</v>
      </c>
      <c r="I12">
        <v>1</v>
      </c>
      <c r="J12">
        <v>32</v>
      </c>
      <c r="K12">
        <v>3.5</v>
      </c>
      <c r="L12">
        <v>450</v>
      </c>
    </row>
    <row r="13" spans="1:13">
      <c r="A13" t="s">
        <v>553</v>
      </c>
      <c r="B13" t="s">
        <v>642</v>
      </c>
      <c r="C13" t="s">
        <v>554</v>
      </c>
      <c r="D13" t="s">
        <v>541</v>
      </c>
      <c r="E13">
        <v>120</v>
      </c>
      <c r="F13">
        <v>250</v>
      </c>
      <c r="G13">
        <v>1350</v>
      </c>
      <c r="H13">
        <v>130</v>
      </c>
      <c r="I13">
        <v>180</v>
      </c>
      <c r="J13">
        <v>0.6</v>
      </c>
      <c r="K13">
        <v>20</v>
      </c>
      <c r="L13">
        <v>5.5</v>
      </c>
      <c r="M13">
        <v>2000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960C-3BEE-4939-BF98-72A152FE8543}">
  <dimension ref="A1:K24"/>
  <sheetViews>
    <sheetView workbookViewId="0">
      <selection activeCell="C25" sqref="C25"/>
    </sheetView>
  </sheetViews>
  <sheetFormatPr defaultRowHeight="16.5"/>
  <cols>
    <col min="3" max="3" width="31.625" customWidth="1"/>
  </cols>
  <sheetData>
    <row r="1" spans="1:11">
      <c r="A1" t="s">
        <v>555</v>
      </c>
      <c r="B1" t="s">
        <v>523</v>
      </c>
      <c r="C1" t="s">
        <v>524</v>
      </c>
      <c r="D1" t="s">
        <v>556</v>
      </c>
      <c r="E1" t="s">
        <v>557</v>
      </c>
      <c r="F1" t="s">
        <v>558</v>
      </c>
      <c r="G1" t="s">
        <v>559</v>
      </c>
      <c r="H1" t="s">
        <v>560</v>
      </c>
      <c r="I1" t="s">
        <v>561</v>
      </c>
      <c r="J1" t="s">
        <v>562</v>
      </c>
      <c r="K1" t="s">
        <v>563</v>
      </c>
    </row>
    <row r="2" spans="1:11">
      <c r="A2" t="s">
        <v>564</v>
      </c>
      <c r="B2" t="s">
        <v>565</v>
      </c>
      <c r="C2" t="s">
        <v>643</v>
      </c>
      <c r="D2">
        <v>0</v>
      </c>
      <c r="E2">
        <v>100</v>
      </c>
      <c r="F2" t="s">
        <v>566</v>
      </c>
    </row>
    <row r="3" spans="1:11">
      <c r="A3" t="s">
        <v>564</v>
      </c>
      <c r="B3" t="s">
        <v>567</v>
      </c>
      <c r="C3" t="s">
        <v>644</v>
      </c>
      <c r="D3">
        <v>300</v>
      </c>
      <c r="E3" t="s">
        <v>568</v>
      </c>
    </row>
    <row r="4" spans="1:11">
      <c r="A4" t="s">
        <v>564</v>
      </c>
      <c r="B4" t="s">
        <v>569</v>
      </c>
      <c r="C4" t="s">
        <v>645</v>
      </c>
      <c r="D4">
        <v>1200</v>
      </c>
      <c r="E4" t="s">
        <v>570</v>
      </c>
    </row>
    <row r="5" spans="1:11">
      <c r="A5" t="s">
        <v>564</v>
      </c>
      <c r="B5" t="s">
        <v>571</v>
      </c>
      <c r="C5" t="s">
        <v>646</v>
      </c>
      <c r="D5">
        <v>4000</v>
      </c>
      <c r="E5" t="s">
        <v>572</v>
      </c>
    </row>
    <row r="6" spans="1:11">
      <c r="A6" t="s">
        <v>573</v>
      </c>
      <c r="B6" t="s">
        <v>574</v>
      </c>
      <c r="C6" t="s">
        <v>647</v>
      </c>
      <c r="D6">
        <v>100</v>
      </c>
      <c r="E6" t="s">
        <v>575</v>
      </c>
    </row>
    <row r="7" spans="1:11">
      <c r="A7" t="s">
        <v>573</v>
      </c>
      <c r="B7" t="s">
        <v>576</v>
      </c>
      <c r="C7" t="s">
        <v>648</v>
      </c>
      <c r="D7">
        <v>250</v>
      </c>
      <c r="E7" t="s">
        <v>577</v>
      </c>
    </row>
    <row r="8" spans="1:11">
      <c r="A8" t="s">
        <v>573</v>
      </c>
      <c r="B8" t="s">
        <v>578</v>
      </c>
      <c r="C8" t="s">
        <v>649</v>
      </c>
      <c r="D8">
        <v>1000</v>
      </c>
      <c r="E8" t="s">
        <v>579</v>
      </c>
    </row>
    <row r="9" spans="1:11">
      <c r="A9" t="s">
        <v>573</v>
      </c>
      <c r="B9" t="s">
        <v>580</v>
      </c>
      <c r="C9" t="s">
        <v>650</v>
      </c>
      <c r="D9">
        <v>3500</v>
      </c>
      <c r="E9" t="s">
        <v>581</v>
      </c>
    </row>
    <row r="10" spans="1:11">
      <c r="A10" t="s">
        <v>582</v>
      </c>
      <c r="B10" t="s">
        <v>583</v>
      </c>
      <c r="C10" t="s">
        <v>651</v>
      </c>
      <c r="D10">
        <v>50</v>
      </c>
      <c r="E10" t="s">
        <v>584</v>
      </c>
    </row>
    <row r="11" spans="1:11">
      <c r="A11" t="s">
        <v>582</v>
      </c>
      <c r="B11" t="s">
        <v>585</v>
      </c>
      <c r="C11" t="s">
        <v>652</v>
      </c>
      <c r="D11">
        <v>500</v>
      </c>
      <c r="E11">
        <v>150</v>
      </c>
      <c r="F11" t="s">
        <v>586</v>
      </c>
    </row>
    <row r="12" spans="1:11">
      <c r="A12" t="s">
        <v>582</v>
      </c>
      <c r="B12" t="s">
        <v>587</v>
      </c>
      <c r="C12" t="s">
        <v>653</v>
      </c>
      <c r="D12">
        <v>800</v>
      </c>
      <c r="E12" t="s">
        <v>588</v>
      </c>
    </row>
    <row r="13" spans="1:11">
      <c r="A13" t="s">
        <v>582</v>
      </c>
      <c r="B13" t="s">
        <v>589</v>
      </c>
      <c r="C13" t="s">
        <v>654</v>
      </c>
      <c r="D13">
        <v>2500</v>
      </c>
      <c r="E13" t="s">
        <v>590</v>
      </c>
    </row>
    <row r="14" spans="1:11">
      <c r="A14" t="s">
        <v>591</v>
      </c>
      <c r="B14" t="s">
        <v>592</v>
      </c>
      <c r="C14" t="s">
        <v>655</v>
      </c>
      <c r="D14">
        <v>150</v>
      </c>
      <c r="E14" t="s">
        <v>593</v>
      </c>
    </row>
    <row r="15" spans="1:11">
      <c r="A15" t="s">
        <v>591</v>
      </c>
      <c r="B15" t="s">
        <v>594</v>
      </c>
      <c r="C15" t="s">
        <v>656</v>
      </c>
      <c r="D15">
        <v>800</v>
      </c>
      <c r="E15" t="s">
        <v>595</v>
      </c>
    </row>
    <row r="16" spans="1:11">
      <c r="A16" t="s">
        <v>596</v>
      </c>
      <c r="B16" t="s">
        <v>597</v>
      </c>
      <c r="C16" t="s">
        <v>657</v>
      </c>
      <c r="D16">
        <v>0</v>
      </c>
      <c r="G16" t="s">
        <v>598</v>
      </c>
    </row>
    <row r="17" spans="1:11">
      <c r="A17" t="s">
        <v>596</v>
      </c>
      <c r="B17" t="s">
        <v>599</v>
      </c>
      <c r="C17" t="s">
        <v>658</v>
      </c>
      <c r="D17">
        <v>1500</v>
      </c>
      <c r="G17" t="s">
        <v>600</v>
      </c>
    </row>
    <row r="18" spans="1:11">
      <c r="A18" t="s">
        <v>596</v>
      </c>
      <c r="B18" t="s">
        <v>601</v>
      </c>
      <c r="C18" t="s">
        <v>659</v>
      </c>
      <c r="D18">
        <v>6000</v>
      </c>
      <c r="G18" t="s">
        <v>602</v>
      </c>
    </row>
    <row r="19" spans="1:11">
      <c r="A19" t="s">
        <v>596</v>
      </c>
      <c r="B19" t="s">
        <v>603</v>
      </c>
      <c r="C19" t="s">
        <v>660</v>
      </c>
      <c r="D19">
        <v>25000</v>
      </c>
      <c r="G19" t="s">
        <v>604</v>
      </c>
    </row>
    <row r="20" spans="1:11">
      <c r="A20" t="s">
        <v>605</v>
      </c>
      <c r="B20" t="s">
        <v>606</v>
      </c>
      <c r="C20" t="s">
        <v>661</v>
      </c>
      <c r="D20">
        <v>0</v>
      </c>
      <c r="H20">
        <v>1</v>
      </c>
      <c r="I20">
        <v>0</v>
      </c>
      <c r="J20">
        <v>0</v>
      </c>
      <c r="K20">
        <v>0</v>
      </c>
    </row>
    <row r="21" spans="1:11">
      <c r="A21" t="s">
        <v>605</v>
      </c>
      <c r="B21" t="s">
        <v>607</v>
      </c>
      <c r="C21" t="s">
        <v>662</v>
      </c>
      <c r="D21">
        <v>50</v>
      </c>
      <c r="H21">
        <v>10</v>
      </c>
      <c r="I21">
        <v>2</v>
      </c>
      <c r="J21">
        <v>0.05</v>
      </c>
      <c r="K21">
        <v>0</v>
      </c>
    </row>
    <row r="22" spans="1:11">
      <c r="A22" t="s">
        <v>605</v>
      </c>
      <c r="B22" t="s">
        <v>608</v>
      </c>
      <c r="C22" t="s">
        <v>663</v>
      </c>
      <c r="D22">
        <v>200</v>
      </c>
      <c r="H22">
        <v>10</v>
      </c>
      <c r="I22">
        <v>4</v>
      </c>
      <c r="J22">
        <v>0.1</v>
      </c>
      <c r="K22">
        <v>0.03</v>
      </c>
    </row>
    <row r="23" spans="1:11">
      <c r="A23" t="s">
        <v>605</v>
      </c>
      <c r="B23" t="s">
        <v>609</v>
      </c>
      <c r="C23" t="s">
        <v>664</v>
      </c>
      <c r="D23">
        <v>600</v>
      </c>
      <c r="H23">
        <v>10</v>
      </c>
      <c r="I23">
        <v>6</v>
      </c>
      <c r="J23">
        <v>0.15</v>
      </c>
      <c r="K23">
        <v>7.0000000000000007E-2</v>
      </c>
    </row>
    <row r="24" spans="1:11">
      <c r="A24" t="s">
        <v>605</v>
      </c>
      <c r="B24" t="s">
        <v>610</v>
      </c>
      <c r="C24" t="s">
        <v>665</v>
      </c>
      <c r="D24">
        <v>2000</v>
      </c>
      <c r="H24">
        <v>10</v>
      </c>
      <c r="I24">
        <v>8</v>
      </c>
      <c r="J24">
        <v>0.2</v>
      </c>
      <c r="K24">
        <v>0.15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3212A-976E-4640-B454-9725801BFB7C}">
  <dimension ref="A1:N5"/>
  <sheetViews>
    <sheetView tabSelected="1" topLeftCell="F1" workbookViewId="0">
      <selection activeCell="K10" sqref="K10"/>
    </sheetView>
  </sheetViews>
  <sheetFormatPr defaultRowHeight="16.5"/>
  <cols>
    <col min="2" max="2" width="27.25" customWidth="1"/>
    <col min="11" max="11" width="88.75" bestFit="1" customWidth="1"/>
    <col min="12" max="12" width="67.625" bestFit="1" customWidth="1"/>
    <col min="13" max="13" width="9.5" bestFit="1" customWidth="1"/>
    <col min="14" max="14" width="11.25" bestFit="1" customWidth="1"/>
  </cols>
  <sheetData>
    <row r="1" spans="1:14">
      <c r="A1" t="s">
        <v>523</v>
      </c>
      <c r="B1" t="s">
        <v>524</v>
      </c>
      <c r="C1" t="s">
        <v>611</v>
      </c>
      <c r="D1" t="s">
        <v>612</v>
      </c>
      <c r="E1" t="s">
        <v>613</v>
      </c>
      <c r="F1" t="s">
        <v>614</v>
      </c>
      <c r="G1" t="s">
        <v>615</v>
      </c>
      <c r="H1" t="s">
        <v>616</v>
      </c>
      <c r="I1" t="s">
        <v>617</v>
      </c>
      <c r="J1" t="s">
        <v>618</v>
      </c>
      <c r="K1" t="s">
        <v>619</v>
      </c>
      <c r="L1" t="s">
        <v>620</v>
      </c>
      <c r="M1" t="s">
        <v>621</v>
      </c>
      <c r="N1" t="s">
        <v>622</v>
      </c>
    </row>
    <row r="2" spans="1:14">
      <c r="A2" t="s">
        <v>539</v>
      </c>
      <c r="B2" t="s">
        <v>666</v>
      </c>
      <c r="C2" t="s">
        <v>597</v>
      </c>
      <c r="D2">
        <v>3</v>
      </c>
      <c r="E2">
        <v>10</v>
      </c>
      <c r="F2">
        <v>0.8</v>
      </c>
      <c r="G2">
        <v>0.6</v>
      </c>
      <c r="H2">
        <v>0.18</v>
      </c>
      <c r="I2">
        <v>0.1</v>
      </c>
      <c r="J2">
        <v>0.02</v>
      </c>
      <c r="K2">
        <v>0</v>
      </c>
      <c r="L2" t="s">
        <v>672</v>
      </c>
      <c r="M2" t="s">
        <v>623</v>
      </c>
      <c r="N2" t="s">
        <v>624</v>
      </c>
    </row>
    <row r="3" spans="1:14">
      <c r="A3" t="s">
        <v>544</v>
      </c>
      <c r="B3" t="s">
        <v>667</v>
      </c>
      <c r="C3" t="s">
        <v>599</v>
      </c>
      <c r="D3">
        <v>4</v>
      </c>
      <c r="E3">
        <v>12</v>
      </c>
      <c r="F3">
        <v>0.6</v>
      </c>
      <c r="G3">
        <v>0.4</v>
      </c>
      <c r="H3">
        <v>0.33</v>
      </c>
      <c r="I3">
        <v>0.2</v>
      </c>
      <c r="J3">
        <v>7.0000000000000007E-2</v>
      </c>
      <c r="K3">
        <v>0.02</v>
      </c>
      <c r="L3" t="s">
        <v>673</v>
      </c>
      <c r="M3" t="s">
        <v>625</v>
      </c>
      <c r="N3" t="s">
        <v>626</v>
      </c>
    </row>
    <row r="4" spans="1:14">
      <c r="A4" t="s">
        <v>548</v>
      </c>
      <c r="B4" t="s">
        <v>668</v>
      </c>
      <c r="C4">
        <v>5</v>
      </c>
      <c r="D4">
        <v>15</v>
      </c>
      <c r="E4">
        <v>0.45</v>
      </c>
      <c r="F4">
        <v>0.25</v>
      </c>
      <c r="G4">
        <v>0.4</v>
      </c>
      <c r="H4">
        <v>0.25</v>
      </c>
      <c r="I4">
        <v>0.15</v>
      </c>
      <c r="J4">
        <v>0.05</v>
      </c>
      <c r="K4" t="s">
        <v>670</v>
      </c>
      <c r="L4" t="s">
        <v>627</v>
      </c>
      <c r="M4" t="s">
        <v>628</v>
      </c>
    </row>
    <row r="5" spans="1:14">
      <c r="A5" t="s">
        <v>554</v>
      </c>
      <c r="B5" t="s">
        <v>669</v>
      </c>
      <c r="C5">
        <v>6</v>
      </c>
      <c r="D5">
        <v>18</v>
      </c>
      <c r="E5">
        <v>0.25</v>
      </c>
      <c r="F5">
        <v>0.1</v>
      </c>
      <c r="G5">
        <v>0.5</v>
      </c>
      <c r="H5">
        <v>0.3</v>
      </c>
      <c r="I5">
        <v>0.25</v>
      </c>
      <c r="J5">
        <v>0.1</v>
      </c>
      <c r="K5" t="s">
        <v>671</v>
      </c>
      <c r="L5" t="s">
        <v>629</v>
      </c>
      <c r="M5" t="s">
        <v>630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ADD0B-54E7-4347-8837-6377C159EA29}">
  <dimension ref="A1:G6"/>
  <sheetViews>
    <sheetView workbookViewId="0">
      <selection activeCell="F1" sqref="F1"/>
    </sheetView>
  </sheetViews>
  <sheetFormatPr defaultRowHeight="16.5"/>
  <cols>
    <col min="2" max="2" width="13.875" customWidth="1"/>
    <col min="5" max="5" width="58.125" customWidth="1"/>
    <col min="6" max="7" width="58.75" customWidth="1"/>
  </cols>
  <sheetData>
    <row r="1" spans="1:7">
      <c r="A1" t="s">
        <v>41</v>
      </c>
      <c r="B1" t="s">
        <v>0</v>
      </c>
      <c r="C1" t="s">
        <v>507</v>
      </c>
      <c r="D1" t="s">
        <v>1</v>
      </c>
      <c r="E1" t="s">
        <v>74</v>
      </c>
      <c r="F1" t="s">
        <v>518</v>
      </c>
      <c r="G1" t="s">
        <v>519</v>
      </c>
    </row>
    <row r="2" spans="1:7">
      <c r="A2">
        <v>1001</v>
      </c>
      <c r="B2" t="s">
        <v>505</v>
      </c>
      <c r="C2">
        <v>20</v>
      </c>
      <c r="E2" t="s">
        <v>517</v>
      </c>
      <c r="F2" t="s">
        <v>511</v>
      </c>
      <c r="G2" t="s">
        <v>517</v>
      </c>
    </row>
    <row r="3" spans="1:7">
      <c r="A3">
        <v>1002</v>
      </c>
      <c r="B3" t="s">
        <v>508</v>
      </c>
      <c r="C3">
        <v>50</v>
      </c>
      <c r="D3">
        <v>1</v>
      </c>
      <c r="E3" t="s">
        <v>513</v>
      </c>
      <c r="F3" t="s">
        <v>512</v>
      </c>
      <c r="G3" t="s">
        <v>513</v>
      </c>
    </row>
    <row r="4" spans="1:7">
      <c r="A4">
        <v>1003</v>
      </c>
      <c r="B4" t="s">
        <v>506</v>
      </c>
      <c r="C4">
        <v>100</v>
      </c>
      <c r="D4">
        <v>20</v>
      </c>
      <c r="E4" t="s">
        <v>516</v>
      </c>
      <c r="F4" t="s">
        <v>514</v>
      </c>
      <c r="G4" t="s">
        <v>516</v>
      </c>
    </row>
    <row r="5" spans="1:7">
      <c r="A5">
        <v>1004</v>
      </c>
      <c r="B5" t="s">
        <v>509</v>
      </c>
      <c r="C5">
        <v>100</v>
      </c>
      <c r="D5">
        <v>20</v>
      </c>
      <c r="E5" t="s">
        <v>510</v>
      </c>
      <c r="F5" t="s">
        <v>515</v>
      </c>
      <c r="G5" t="s">
        <v>520</v>
      </c>
    </row>
    <row r="6" spans="1:7">
      <c r="A6">
        <v>1005</v>
      </c>
      <c r="B6" t="s">
        <v>509</v>
      </c>
      <c r="C6">
        <v>100</v>
      </c>
      <c r="D6">
        <v>70</v>
      </c>
      <c r="E6" t="s">
        <v>510</v>
      </c>
      <c r="F6" t="s">
        <v>515</v>
      </c>
      <c r="G6" t="s">
        <v>520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0C337-A8A2-4D4E-8DD0-4CF81C7F6933}">
  <sheetPr codeName="Sheet15"/>
  <dimension ref="A1:W292"/>
  <sheetViews>
    <sheetView workbookViewId="0"/>
  </sheetViews>
  <sheetFormatPr defaultRowHeight="16.5"/>
  <cols>
    <col min="17" max="17" width="9.625" customWidth="1"/>
    <col min="18" max="18" width="12.375" customWidth="1"/>
    <col min="19" max="19" width="15.75" customWidth="1"/>
    <col min="20" max="20" width="10.25" customWidth="1"/>
    <col min="21" max="21" width="12.25" customWidth="1"/>
  </cols>
  <sheetData>
    <row r="1" spans="1:23">
      <c r="A1" t="s">
        <v>443</v>
      </c>
      <c r="B1">
        <v>5</v>
      </c>
      <c r="E1" s="42" t="s">
        <v>440</v>
      </c>
      <c r="F1" s="42"/>
      <c r="G1" s="42"/>
      <c r="H1" s="42"/>
      <c r="I1" s="42"/>
      <c r="J1" s="42" t="s">
        <v>441</v>
      </c>
      <c r="K1" s="42"/>
      <c r="L1" s="42"/>
      <c r="M1" s="42"/>
      <c r="N1" s="42"/>
      <c r="O1" s="41" t="s">
        <v>123</v>
      </c>
      <c r="P1" s="41"/>
      <c r="Q1" s="41"/>
      <c r="R1" s="41"/>
      <c r="S1" s="41"/>
      <c r="T1" s="41"/>
      <c r="U1" s="41"/>
    </row>
    <row r="2" spans="1:23">
      <c r="A2" t="s">
        <v>41</v>
      </c>
      <c r="B2" s="8" t="s">
        <v>4</v>
      </c>
      <c r="C2" s="12" t="s">
        <v>442</v>
      </c>
      <c r="D2" s="12" t="s">
        <v>444</v>
      </c>
      <c r="E2" s="1" t="s">
        <v>22</v>
      </c>
      <c r="F2" s="1" t="s">
        <v>107</v>
      </c>
      <c r="G2" s="1" t="s">
        <v>108</v>
      </c>
      <c r="H2" s="1" t="s">
        <v>109</v>
      </c>
      <c r="I2" s="1" t="s">
        <v>110</v>
      </c>
      <c r="J2" s="1" t="s">
        <v>22</v>
      </c>
      <c r="K2" s="1" t="s">
        <v>107</v>
      </c>
      <c r="L2" s="1" t="s">
        <v>108</v>
      </c>
      <c r="M2" s="1" t="s">
        <v>109</v>
      </c>
      <c r="N2" s="1" t="s">
        <v>110</v>
      </c>
      <c r="O2" s="13" t="s">
        <v>23</v>
      </c>
      <c r="P2" t="s">
        <v>7</v>
      </c>
      <c r="Q2" t="s">
        <v>8</v>
      </c>
      <c r="R2" t="s">
        <v>10</v>
      </c>
      <c r="S2" t="s">
        <v>11</v>
      </c>
      <c r="T2" t="s">
        <v>40</v>
      </c>
      <c r="U2" t="s">
        <v>17</v>
      </c>
      <c r="V2" t="s">
        <v>90</v>
      </c>
      <c r="W2" t="s">
        <v>11</v>
      </c>
    </row>
    <row r="3" spans="1:23">
      <c r="A3" t="s">
        <v>5</v>
      </c>
      <c r="B3" s="9">
        <v>1</v>
      </c>
      <c r="C3">
        <f>(B3-1)*$B$1</f>
        <v>0</v>
      </c>
      <c r="D3">
        <f>SUM(E3:I3)</f>
        <v>100</v>
      </c>
      <c r="E3">
        <v>100</v>
      </c>
      <c r="F3">
        <v>0</v>
      </c>
      <c r="G3">
        <v>0</v>
      </c>
      <c r="H3">
        <v>0</v>
      </c>
      <c r="I3">
        <v>0</v>
      </c>
      <c r="J3" s="14">
        <f>(ROUND($C$3*E3/SUM($E$3:$I$3),0)+베이스_생명)</f>
        <v>15</v>
      </c>
      <c r="K3" s="14">
        <f>(ROUND($C$3*F3/SUM($E$3:$I$3),0)+베이스_힘)</f>
        <v>10</v>
      </c>
      <c r="L3" s="14">
        <f>(ROUND($C$3*G3/SUM($E$3:$I$3),0)+베이스_근력)</f>
        <v>15</v>
      </c>
      <c r="M3" s="14">
        <f>(ROUND($C$3*H3/SUM($E$3:$I$3),0)+베이스_숙련도)</f>
        <v>5</v>
      </c>
      <c r="N3" s="14">
        <f>(ROUND($C$3*I3/SUM($E$3:$I$3),0)+베이스_행운)</f>
        <v>5</v>
      </c>
      <c r="O3">
        <f>INT(INDEX(참고!$C$5:$J$12, MATCH("생명", 참고!$B$5:$B$12, 0), MATCH("HP", 참고!$C$4:$J$4, 0))*J3
+INDEX(참고!$C$5:$J$12, MATCH("힘", 참고!$B$5:$B$12, 0), MATCH("HP", 참고!$C$4:$J$4, 0))*K3
+INDEX(참고!$C$5:$J$12, MATCH("근력", 참고!$B$5:$B$12, 0), MATCH("HP", 참고!$C$4:$J$4, 0))*L3
+INDEX(참고!$C$5:$J$12, MATCH("숙련도", 참고!$B$5:$B$12, 0), MATCH("HP", 참고!$C$4:$J$4, 0))*M3
+INDEX(참고!$C$5:$J$12, MATCH("행운", 참고!$B$5:$B$12, 0), MATCH("HP", 참고!$C$4:$J$4, 0))*N3)</f>
        <v>250</v>
      </c>
      <c r="P3">
        <f>INT(INDEX(참고!$C$5:$J$12, MATCH("생명", 참고!$B$5:$B$12, 0), MATCH("Attack", 참고!$C$4:$J$4, 0))*J3
+INDEX(참고!$C$5:$J$12, MATCH("힘", 참고!$B$5:$B$12, 0), MATCH("Attack", 참고!$C$4:$J$4, 0))*K3
+INDEX(참고!$C$5:$J$12, MATCH("근력", 참고!$B$5:$B$12, 0), MATCH("Attack", 참고!$C$4:$J$4, 0))*L3
+INDEX(참고!$C$5:$J$12, MATCH("숙련도", 참고!$B$5:$B$12, 0), MATCH("Attack", 참고!$C$4:$J$4, 0))*M3
+INDEX(참고!$C$5:$J$12, MATCH("행운", 참고!$B$5:$B$12, 0), MATCH("Attack", 참고!$C$4:$J$4, 0))*N3)</f>
        <v>160</v>
      </c>
      <c r="Q3">
        <f>INT(INDEX(참고!$C$5:$J$12, MATCH("생명", 참고!$B$5:$B$12, 0), MATCH("Defense", 참고!$C$4:$J$4, 0))*J3
+INDEX(참고!$C$5:$J$12, MATCH("힘", 참고!$B$5:$B$12, 0), MATCH("Defense", 참고!$C$4:$J$4, 0))*K3
+INDEX(참고!$C$5:$J$12, MATCH("근력", 참고!$B$5:$B$12, 0), MATCH("Defense", 참고!$C$4:$J$4, 0))*L3
+INDEX(참고!$C$5:$J$12, MATCH("숙련도", 참고!$B$5:$B$12, 0), MATCH("Defense", 참고!$C$4:$J$4, 0))*M3
+INDEX(참고!$C$5:$J$12, MATCH("행운", 참고!$B$5:$B$12, 0), MATCH("Defense", 참고!$C$4:$J$4, 0))*N3)</f>
        <v>240</v>
      </c>
      <c r="R3">
        <f>INT(INDEX(참고!$C$5:$J$12, MATCH("생명", 참고!$B$5:$B$12, 0), MATCH("HP", 참고!$C$4:$J$4, 0))*J3
+INDEX(참고!$C$5:$J$12, MATCH("힘", 참고!$B$5:$B$12, 0), MATCH("HP", 참고!$C$4:$J$4, 0))*K3
+INDEX(참고!$C$5:$J$12, MATCH("근력", 참고!$B$5:$B$12, 0), MATCH("HP", 참고!$C$4:$J$4, 0))*L3
+INDEX(참고!$C$5:$J$12, MATCH("숙련도", 참고!$B$5:$B$12, 0), MATCH("HP", 참고!$C$4:$J$4, 0))*M3
+INDEX(참고!$C$5:$J$12, MATCH("행운", 참고!$B$5:$B$12, 0), MATCH("HP", 참고!$C$4:$J$4, 0))*N3)</f>
        <v>250</v>
      </c>
      <c r="S3">
        <f>INT(INDEX(참고!$C$5:$J$12, MATCH("생명", 참고!$B$5:$B$12, 0), MATCH("HP", 참고!$C$4:$J$4, 0))*J3
+INDEX(참고!$C$5:$J$12, MATCH("힘", 참고!$B$5:$B$12, 0), MATCH("HP", 참고!$C$4:$J$4, 0))*K3
+INDEX(참고!$C$5:$J$12, MATCH("근력", 참고!$B$5:$B$12, 0), MATCH("HP", 참고!$C$4:$J$4, 0))*L3
+INDEX(참고!$C$5:$J$12, MATCH("숙련도", 참고!$B$5:$B$12, 0), MATCH("HP", 참고!$C$4:$J$4, 0))*M3
+INDEX(참고!$C$5:$J$12, MATCH("행운", 참고!$B$5:$B$12, 0), MATCH("HP", 참고!$C$4:$J$4, 0))*N3)</f>
        <v>250</v>
      </c>
      <c r="T3">
        <f>INT(INDEX(참고!$C$5:$J$12, MATCH("생명", 참고!$B$5:$B$12, 0), MATCH("HP", 참고!$C$4:$J$4, 0))*J3
+INDEX(참고!$C$5:$J$12, MATCH("힘", 참고!$B$5:$B$12, 0), MATCH("HP", 참고!$C$4:$J$4, 0))*K3
+INDEX(참고!$C$5:$J$12, MATCH("근력", 참고!$B$5:$B$12, 0), MATCH("HP", 참고!$C$4:$J$4, 0))*L3
+INDEX(참고!$C$5:$J$12, MATCH("숙련도", 참고!$B$5:$B$12, 0), MATCH("HP", 참고!$C$4:$J$4, 0))*M3
+INDEX(참고!$C$5:$J$12, MATCH("행운", 참고!$B$5:$B$12, 0), MATCH("HP", 참고!$C$4:$J$4, 0))*N3)</f>
        <v>250</v>
      </c>
      <c r="U3">
        <f>INT(INDEX(참고!$C$5:$J$12, MATCH("생명", 참고!$B$5:$B$12, 0), MATCH("HP", 참고!$C$4:$J$4, 0))*J3
+INDEX(참고!$C$5:$J$12, MATCH("힘", 참고!$B$5:$B$12, 0), MATCH("HP", 참고!$C$4:$J$4, 0))*K3
+INDEX(참고!$C$5:$J$12, MATCH("근력", 참고!$B$5:$B$12, 0), MATCH("HP", 참고!$C$4:$J$4, 0))*L3
+INDEX(참고!$C$5:$J$12, MATCH("숙련도", 참고!$B$5:$B$12, 0), MATCH("HP", 참고!$C$4:$J$4, 0))*M3
+INDEX(참고!$C$5:$J$12, MATCH("행운", 참고!$B$5:$B$12, 0), MATCH("HP", 참고!$C$4:$J$4, 0))*N3)</f>
        <v>250</v>
      </c>
      <c r="V3">
        <f>INT(INDEX(참고!$C$5:$J$12, MATCH("생명", 참고!$B$5:$B$12, 0), MATCH("HP", 참고!$C$4:$J$4, 0))*J3
+INDEX(참고!$C$5:$J$12, MATCH("힘", 참고!$B$5:$B$12, 0), MATCH("HP", 참고!$C$4:$J$4, 0))*K3
+INDEX(참고!$C$5:$J$12, MATCH("근력", 참고!$B$5:$B$12, 0), MATCH("HP", 참고!$C$4:$J$4, 0))*L3
+INDEX(참고!$C$5:$J$12, MATCH("숙련도", 참고!$B$5:$B$12, 0), MATCH("HP", 참고!$C$4:$J$4, 0))*M3
+INDEX(참고!$C$5:$J$12, MATCH("행운", 참고!$B$5:$B$12, 0), MATCH("HP", 참고!$C$4:$J$4, 0))*N3)</f>
        <v>250</v>
      </c>
      <c r="W3">
        <f>INT(INDEX(참고!$C$5:$J$12, MATCH("생명", 참고!$B$5:$B$12, 0), MATCH("HP", 참고!$C$4:$J$4, 0))*J3
+INDEX(참고!$C$5:$J$12, MATCH("힘", 참고!$B$5:$B$12, 0), MATCH("HP", 참고!$C$4:$J$4, 0))*K3
+INDEX(참고!$C$5:$J$12, MATCH("근력", 참고!$B$5:$B$12, 0), MATCH("HP", 참고!$C$4:$J$4, 0))*L3
+INDEX(참고!$C$5:$J$12, MATCH("숙련도", 참고!$B$5:$B$12, 0), MATCH("HP", 참고!$C$4:$J$4, 0))*M3
+INDEX(참고!$C$5:$J$12, MATCH("행운", 참고!$B$5:$B$12, 0), MATCH("HP", 참고!$C$4:$J$4, 0))*N3)</f>
        <v>250</v>
      </c>
    </row>
    <row r="4" spans="1:23">
      <c r="A4" t="s">
        <v>80</v>
      </c>
      <c r="B4" s="9">
        <v>5</v>
      </c>
      <c r="C4">
        <f t="shared" ref="C4:C67" si="0">(B4-1)*$B$1</f>
        <v>20</v>
      </c>
      <c r="O4">
        <f>INDEX(참고!$C$5:$J$12, MATCH("생명", 참고!$B$5:$B$12, 0), MATCH("HP", 참고!$C$4:$J$4, 0))*J4
+INDEX(참고!$C$5:$J$12, MATCH("힘", 참고!$B$5:$B$12, 0), MATCH("HP", 참고!$C$4:$J$4, 0))*K4
+INDEX(참고!$C$5:$J$12, MATCH("근력", 참고!$B$5:$B$12, 0), MATCH("HP", 참고!$C$4:$J$4, 0))*L4
+INDEX(참고!$C$5:$J$12, MATCH("숙련도", 참고!$B$5:$B$12, 0), MATCH("HP", 참고!$C$4:$J$4, 0))*M4
+INDEX(참고!$C$5:$J$12, MATCH("행운", 참고!$B$5:$B$12, 0), MATCH("HP", 참고!$C$4:$J$4, 0))*N4</f>
        <v>0</v>
      </c>
      <c r="P4">
        <f>INDEX(참고!$C$5:$J$12, MATCH($J$2, 참고!$B$5:$B$12, 0), MATCH(P$2, 참고!$C$4:$J$4, 0))</f>
        <v>3</v>
      </c>
      <c r="Q4">
        <f>INDEX(참고!$C$5:$J$12, MATCH($J$2, 참고!$B$5:$B$12, 0), MATCH(Q$2, 참고!$C$4:$J$4, 0))</f>
        <v>1</v>
      </c>
      <c r="R4">
        <f>INDEX(참고!$C$5:$J$12, MATCH($J$2, 참고!$B$5:$B$12, 0), MATCH(R$2, 참고!$C$4:$J$4, 0))</f>
        <v>0</v>
      </c>
      <c r="S4">
        <f>INDEX(참고!$C$5:$J$12, MATCH($J$2, 참고!$B$5:$B$12, 0), MATCH(S$2, 참고!$C$4:$J$4, 0))</f>
        <v>0</v>
      </c>
      <c r="T4">
        <f>INDEX(참고!$C$5:$J$12, MATCH($J$2, 참고!$B$5:$B$12, 0), MATCH(T$2, 참고!$C$4:$J$4, 0))</f>
        <v>0</v>
      </c>
      <c r="U4">
        <f>INDEX(참고!$C$5:$J$12, MATCH($J$2, 참고!$B$5:$B$12, 0), MATCH(U$2, 참고!$C$4:$J$4, 0))</f>
        <v>0</v>
      </c>
    </row>
    <row r="5" spans="1:23">
      <c r="A5" t="s">
        <v>136</v>
      </c>
      <c r="B5" s="9">
        <v>8</v>
      </c>
      <c r="C5">
        <f t="shared" si="0"/>
        <v>35</v>
      </c>
      <c r="O5">
        <f>INDEX(참고!$C$5:$J$12, MATCH("생명", 참고!$B$5:$B$12, 0), MATCH("HP", 참고!$C$4:$J$4, 0))*J5
+INDEX(참고!$C$5:$J$12, MATCH("힘", 참고!$B$5:$B$12, 0), MATCH("HP", 참고!$C$4:$J$4, 0))*K5
+INDEX(참고!$C$5:$J$12, MATCH("근력", 참고!$B$5:$B$12, 0), MATCH("HP", 참고!$C$4:$J$4, 0))*L5
+INDEX(참고!$C$5:$J$12, MATCH("숙련도", 참고!$B$5:$B$12, 0), MATCH("HP", 참고!$C$4:$J$4, 0))*M5
+INDEX(참고!$C$5:$J$12, MATCH("행운", 참고!$B$5:$B$12, 0), MATCH("HP", 참고!$C$4:$J$4, 0))*N5</f>
        <v>0</v>
      </c>
      <c r="P5">
        <f>INDEX(참고!$C$5:$J$12, MATCH($J$2, 참고!$B$5:$B$12, 0), MATCH(P$2, 참고!$C$4:$J$4, 0))</f>
        <v>3</v>
      </c>
      <c r="Q5">
        <f>INDEX(참고!$C$5:$J$12, MATCH($J$2, 참고!$B$5:$B$12, 0), MATCH(Q$2, 참고!$C$4:$J$4, 0))</f>
        <v>1</v>
      </c>
      <c r="R5">
        <f>INDEX(참고!$C$5:$J$12, MATCH($J$2, 참고!$B$5:$B$12, 0), MATCH(R$2, 참고!$C$4:$J$4, 0))</f>
        <v>0</v>
      </c>
      <c r="S5">
        <f>INDEX(참고!$C$5:$J$12, MATCH($J$2, 참고!$B$5:$B$12, 0), MATCH(S$2, 참고!$C$4:$J$4, 0))</f>
        <v>0</v>
      </c>
      <c r="T5">
        <f>INDEX(참고!$C$5:$J$12, MATCH($J$2, 참고!$B$5:$B$12, 0), MATCH(T$2, 참고!$C$4:$J$4, 0))</f>
        <v>0</v>
      </c>
      <c r="U5">
        <f>INDEX(참고!$C$5:$J$12, MATCH($J$2, 참고!$B$5:$B$12, 0), MATCH(U$2, 참고!$C$4:$J$4, 0))</f>
        <v>0</v>
      </c>
    </row>
    <row r="6" spans="1:23">
      <c r="A6" t="s">
        <v>135</v>
      </c>
      <c r="B6" s="9">
        <v>13</v>
      </c>
      <c r="C6">
        <f t="shared" si="0"/>
        <v>60</v>
      </c>
      <c r="O6">
        <f>INDEX(참고!$C$5:$J$12, MATCH("생명", 참고!$B$5:$B$12, 0), MATCH("HP", 참고!$C$4:$J$4, 0))*J6
+INDEX(참고!$C$5:$J$12, MATCH("힘", 참고!$B$5:$B$12, 0), MATCH("HP", 참고!$C$4:$J$4, 0))*K6
+INDEX(참고!$C$5:$J$12, MATCH("근력", 참고!$B$5:$B$12, 0), MATCH("HP", 참고!$C$4:$J$4, 0))*L6
+INDEX(참고!$C$5:$J$12, MATCH("숙련도", 참고!$B$5:$B$12, 0), MATCH("HP", 참고!$C$4:$J$4, 0))*M6
+INDEX(참고!$C$5:$J$12, MATCH("행운", 참고!$B$5:$B$12, 0), MATCH("HP", 참고!$C$4:$J$4, 0))*N6</f>
        <v>0</v>
      </c>
      <c r="P6">
        <f>INDEX(참고!$C$5:$J$12, MATCH($J$2, 참고!$B$5:$B$12, 0), MATCH(P$2, 참고!$C$4:$J$4, 0))</f>
        <v>3</v>
      </c>
      <c r="Q6">
        <f>INDEX(참고!$C$5:$J$12, MATCH($J$2, 참고!$B$5:$B$12, 0), MATCH(Q$2, 참고!$C$4:$J$4, 0))</f>
        <v>1</v>
      </c>
      <c r="R6">
        <f>INDEX(참고!$C$5:$J$12, MATCH($J$2, 참고!$B$5:$B$12, 0), MATCH(R$2, 참고!$C$4:$J$4, 0))</f>
        <v>0</v>
      </c>
      <c r="S6">
        <f>INDEX(참고!$C$5:$J$12, MATCH($J$2, 참고!$B$5:$B$12, 0), MATCH(S$2, 참고!$C$4:$J$4, 0))</f>
        <v>0</v>
      </c>
      <c r="T6">
        <f>INDEX(참고!$C$5:$J$12, MATCH($J$2, 참고!$B$5:$B$12, 0), MATCH(T$2, 참고!$C$4:$J$4, 0))</f>
        <v>0</v>
      </c>
      <c r="U6">
        <f>INDEX(참고!$C$5:$J$12, MATCH($J$2, 참고!$B$5:$B$12, 0), MATCH(U$2, 참고!$C$4:$J$4, 0))</f>
        <v>0</v>
      </c>
    </row>
    <row r="7" spans="1:23">
      <c r="A7" t="s">
        <v>134</v>
      </c>
      <c r="B7" s="9">
        <v>18</v>
      </c>
      <c r="C7">
        <f t="shared" si="0"/>
        <v>85</v>
      </c>
      <c r="O7">
        <f>INDEX(참고!$C$5:$J$12, MATCH("생명", 참고!$B$5:$B$12, 0), MATCH("HP", 참고!$C$4:$J$4, 0))*J7
+INDEX(참고!$C$5:$J$12, MATCH("힘", 참고!$B$5:$B$12, 0), MATCH("HP", 참고!$C$4:$J$4, 0))*K7
+INDEX(참고!$C$5:$J$12, MATCH("근력", 참고!$B$5:$B$12, 0), MATCH("HP", 참고!$C$4:$J$4, 0))*L7
+INDEX(참고!$C$5:$J$12, MATCH("숙련도", 참고!$B$5:$B$12, 0), MATCH("HP", 참고!$C$4:$J$4, 0))*M7
+INDEX(참고!$C$5:$J$12, MATCH("행운", 참고!$B$5:$B$12, 0), MATCH("HP", 참고!$C$4:$J$4, 0))*N7</f>
        <v>0</v>
      </c>
      <c r="P7">
        <f>INDEX(참고!$C$5:$J$12, MATCH($J$2, 참고!$B$5:$B$12, 0), MATCH(P$2, 참고!$C$4:$J$4, 0))</f>
        <v>3</v>
      </c>
      <c r="Q7">
        <f>INDEX(참고!$C$5:$J$12, MATCH($J$2, 참고!$B$5:$B$12, 0), MATCH(Q$2, 참고!$C$4:$J$4, 0))</f>
        <v>1</v>
      </c>
      <c r="R7">
        <f>INDEX(참고!$C$5:$J$12, MATCH($J$2, 참고!$B$5:$B$12, 0), MATCH(R$2, 참고!$C$4:$J$4, 0))</f>
        <v>0</v>
      </c>
      <c r="S7">
        <f>INDEX(참고!$C$5:$J$12, MATCH($J$2, 참고!$B$5:$B$12, 0), MATCH(S$2, 참고!$C$4:$J$4, 0))</f>
        <v>0</v>
      </c>
      <c r="T7">
        <f>INDEX(참고!$C$5:$J$12, MATCH($J$2, 참고!$B$5:$B$12, 0), MATCH(T$2, 참고!$C$4:$J$4, 0))</f>
        <v>0</v>
      </c>
      <c r="U7">
        <f>INDEX(참고!$C$5:$J$12, MATCH($J$2, 참고!$B$5:$B$12, 0), MATCH(U$2, 참고!$C$4:$J$4, 0))</f>
        <v>0</v>
      </c>
    </row>
    <row r="8" spans="1:23">
      <c r="A8" t="s">
        <v>418</v>
      </c>
      <c r="B8" s="9">
        <v>24</v>
      </c>
      <c r="C8">
        <f t="shared" si="0"/>
        <v>115</v>
      </c>
      <c r="O8">
        <f>INDEX(참고!$C$5:$J$12, MATCH("생명", 참고!$B$5:$B$12, 0), MATCH("HP", 참고!$C$4:$J$4, 0))*J8
+INDEX(참고!$C$5:$J$12, MATCH("힘", 참고!$B$5:$B$12, 0), MATCH("HP", 참고!$C$4:$J$4, 0))*K8
+INDEX(참고!$C$5:$J$12, MATCH("근력", 참고!$B$5:$B$12, 0), MATCH("HP", 참고!$C$4:$J$4, 0))*L8
+INDEX(참고!$C$5:$J$12, MATCH("숙련도", 참고!$B$5:$B$12, 0), MATCH("HP", 참고!$C$4:$J$4, 0))*M8
+INDEX(참고!$C$5:$J$12, MATCH("행운", 참고!$B$5:$B$12, 0), MATCH("HP", 참고!$C$4:$J$4, 0))*N8</f>
        <v>0</v>
      </c>
      <c r="P8">
        <f>INDEX(참고!$C$5:$J$12, MATCH($J$2, 참고!$B$5:$B$12, 0), MATCH(P$2, 참고!$C$4:$J$4, 0))</f>
        <v>3</v>
      </c>
      <c r="Q8">
        <f>INDEX(참고!$C$5:$J$12, MATCH($J$2, 참고!$B$5:$B$12, 0), MATCH(Q$2, 참고!$C$4:$J$4, 0))</f>
        <v>1</v>
      </c>
      <c r="R8">
        <f>INDEX(참고!$C$5:$J$12, MATCH($J$2, 참고!$B$5:$B$12, 0), MATCH(R$2, 참고!$C$4:$J$4, 0))</f>
        <v>0</v>
      </c>
      <c r="S8">
        <f>INDEX(참고!$C$5:$J$12, MATCH($J$2, 참고!$B$5:$B$12, 0), MATCH(S$2, 참고!$C$4:$J$4, 0))</f>
        <v>0</v>
      </c>
      <c r="T8">
        <f>INDEX(참고!$C$5:$J$12, MATCH($J$2, 참고!$B$5:$B$12, 0), MATCH(T$2, 참고!$C$4:$J$4, 0))</f>
        <v>0</v>
      </c>
      <c r="U8">
        <f>INDEX(참고!$C$5:$J$12, MATCH($J$2, 참고!$B$5:$B$12, 0), MATCH(U$2, 참고!$C$4:$J$4, 0))</f>
        <v>0</v>
      </c>
    </row>
    <row r="9" spans="1:23">
      <c r="A9" t="s">
        <v>419</v>
      </c>
      <c r="B9" s="9">
        <v>30</v>
      </c>
      <c r="C9">
        <f t="shared" si="0"/>
        <v>145</v>
      </c>
      <c r="O9">
        <f>INDEX(참고!$C$5:$J$12, MATCH("생명", 참고!$B$5:$B$12, 0), MATCH("HP", 참고!$C$4:$J$4, 0))*J9
+INDEX(참고!$C$5:$J$12, MATCH("힘", 참고!$B$5:$B$12, 0), MATCH("HP", 참고!$C$4:$J$4, 0))*K9
+INDEX(참고!$C$5:$J$12, MATCH("근력", 참고!$B$5:$B$12, 0), MATCH("HP", 참고!$C$4:$J$4, 0))*L9
+INDEX(참고!$C$5:$J$12, MATCH("숙련도", 참고!$B$5:$B$12, 0), MATCH("HP", 참고!$C$4:$J$4, 0))*M9
+INDEX(참고!$C$5:$J$12, MATCH("행운", 참고!$B$5:$B$12, 0), MATCH("HP", 참고!$C$4:$J$4, 0))*N9</f>
        <v>0</v>
      </c>
      <c r="P9">
        <f>INDEX(참고!$C$5:$J$12, MATCH($J$2, 참고!$B$5:$B$12, 0), MATCH(P$2, 참고!$C$4:$J$4, 0))</f>
        <v>3</v>
      </c>
      <c r="Q9">
        <f>INDEX(참고!$C$5:$J$12, MATCH($J$2, 참고!$B$5:$B$12, 0), MATCH(Q$2, 참고!$C$4:$J$4, 0))</f>
        <v>1</v>
      </c>
      <c r="R9">
        <f>INDEX(참고!$C$5:$J$12, MATCH($J$2, 참고!$B$5:$B$12, 0), MATCH(R$2, 참고!$C$4:$J$4, 0))</f>
        <v>0</v>
      </c>
      <c r="S9">
        <f>INDEX(참고!$C$5:$J$12, MATCH($J$2, 참고!$B$5:$B$12, 0), MATCH(S$2, 참고!$C$4:$J$4, 0))</f>
        <v>0</v>
      </c>
      <c r="T9">
        <f>INDEX(참고!$C$5:$J$12, MATCH($J$2, 참고!$B$5:$B$12, 0), MATCH(T$2, 참고!$C$4:$J$4, 0))</f>
        <v>0</v>
      </c>
      <c r="U9">
        <f>INDEX(참고!$C$5:$J$12, MATCH($J$2, 참고!$B$5:$B$12, 0), MATCH(U$2, 참고!$C$4:$J$4, 0))</f>
        <v>0</v>
      </c>
    </row>
    <row r="10" spans="1:23">
      <c r="A10" t="s">
        <v>420</v>
      </c>
      <c r="B10" s="9">
        <v>36</v>
      </c>
      <c r="C10">
        <f t="shared" si="0"/>
        <v>175</v>
      </c>
      <c r="O10">
        <f>INDEX(참고!$C$5:$J$12, MATCH("생명", 참고!$B$5:$B$12, 0), MATCH("HP", 참고!$C$4:$J$4, 0))*J10
+INDEX(참고!$C$5:$J$12, MATCH("힘", 참고!$B$5:$B$12, 0), MATCH("HP", 참고!$C$4:$J$4, 0))*K10
+INDEX(참고!$C$5:$J$12, MATCH("근력", 참고!$B$5:$B$12, 0), MATCH("HP", 참고!$C$4:$J$4, 0))*L10
+INDEX(참고!$C$5:$J$12, MATCH("숙련도", 참고!$B$5:$B$12, 0), MATCH("HP", 참고!$C$4:$J$4, 0))*M10
+INDEX(참고!$C$5:$J$12, MATCH("행운", 참고!$B$5:$B$12, 0), MATCH("HP", 참고!$C$4:$J$4, 0))*N10</f>
        <v>0</v>
      </c>
      <c r="P10">
        <f>INDEX(참고!$C$5:$J$12, MATCH($J$2, 참고!$B$5:$B$12, 0), MATCH(P$2, 참고!$C$4:$J$4, 0))</f>
        <v>3</v>
      </c>
      <c r="Q10">
        <f>INDEX(참고!$C$5:$J$12, MATCH($J$2, 참고!$B$5:$B$12, 0), MATCH(Q$2, 참고!$C$4:$J$4, 0))</f>
        <v>1</v>
      </c>
      <c r="R10">
        <f>INDEX(참고!$C$5:$J$12, MATCH($J$2, 참고!$B$5:$B$12, 0), MATCH(R$2, 참고!$C$4:$J$4, 0))</f>
        <v>0</v>
      </c>
      <c r="S10">
        <f>INDEX(참고!$C$5:$J$12, MATCH($J$2, 참고!$B$5:$B$12, 0), MATCH(S$2, 참고!$C$4:$J$4, 0))</f>
        <v>0</v>
      </c>
      <c r="T10">
        <f>INDEX(참고!$C$5:$J$12, MATCH($J$2, 참고!$B$5:$B$12, 0), MATCH(T$2, 참고!$C$4:$J$4, 0))</f>
        <v>0</v>
      </c>
      <c r="U10">
        <f>INDEX(참고!$C$5:$J$12, MATCH($J$2, 참고!$B$5:$B$12, 0), MATCH(U$2, 참고!$C$4:$J$4, 0))</f>
        <v>0</v>
      </c>
    </row>
    <row r="11" spans="1:23">
      <c r="A11" t="s">
        <v>421</v>
      </c>
      <c r="B11" s="9">
        <v>40</v>
      </c>
      <c r="C11">
        <f t="shared" si="0"/>
        <v>195</v>
      </c>
      <c r="O11">
        <f>INDEX(참고!$C$5:$J$12, MATCH("생명", 참고!$B$5:$B$12, 0), MATCH("HP", 참고!$C$4:$J$4, 0))*J11
+INDEX(참고!$C$5:$J$12, MATCH("힘", 참고!$B$5:$B$12, 0), MATCH("HP", 참고!$C$4:$J$4, 0))*K11
+INDEX(참고!$C$5:$J$12, MATCH("근력", 참고!$B$5:$B$12, 0), MATCH("HP", 참고!$C$4:$J$4, 0))*L11
+INDEX(참고!$C$5:$J$12, MATCH("숙련도", 참고!$B$5:$B$12, 0), MATCH("HP", 참고!$C$4:$J$4, 0))*M11
+INDEX(참고!$C$5:$J$12, MATCH("행운", 참고!$B$5:$B$12, 0), MATCH("HP", 참고!$C$4:$J$4, 0))*N11</f>
        <v>0</v>
      </c>
      <c r="P11">
        <f>INDEX(참고!$C$5:$J$12, MATCH($J$2, 참고!$B$5:$B$12, 0), MATCH(P$2, 참고!$C$4:$J$4, 0))</f>
        <v>3</v>
      </c>
      <c r="Q11">
        <f>INDEX(참고!$C$5:$J$12, MATCH($J$2, 참고!$B$5:$B$12, 0), MATCH(Q$2, 참고!$C$4:$J$4, 0))</f>
        <v>1</v>
      </c>
      <c r="R11">
        <f>INDEX(참고!$C$5:$J$12, MATCH($J$2, 참고!$B$5:$B$12, 0), MATCH(R$2, 참고!$C$4:$J$4, 0))</f>
        <v>0</v>
      </c>
      <c r="S11">
        <f>INDEX(참고!$C$5:$J$12, MATCH($J$2, 참고!$B$5:$B$12, 0), MATCH(S$2, 참고!$C$4:$J$4, 0))</f>
        <v>0</v>
      </c>
      <c r="T11">
        <f>INDEX(참고!$C$5:$J$12, MATCH($J$2, 참고!$B$5:$B$12, 0), MATCH(T$2, 참고!$C$4:$J$4, 0))</f>
        <v>0</v>
      </c>
      <c r="U11">
        <f>INDEX(참고!$C$5:$J$12, MATCH($J$2, 참고!$B$5:$B$12, 0), MATCH(U$2, 참고!$C$4:$J$4, 0))</f>
        <v>0</v>
      </c>
    </row>
    <row r="12" spans="1:23">
      <c r="A12" t="s">
        <v>137</v>
      </c>
      <c r="B12" s="9">
        <v>40</v>
      </c>
      <c r="C12">
        <f t="shared" si="0"/>
        <v>195</v>
      </c>
      <c r="O12">
        <f>INDEX(참고!$C$5:$J$12, MATCH("생명", 참고!$B$5:$B$12, 0), MATCH("HP", 참고!$C$4:$J$4, 0))*J12
+INDEX(참고!$C$5:$J$12, MATCH("힘", 참고!$B$5:$B$12, 0), MATCH("HP", 참고!$C$4:$J$4, 0))*K12
+INDEX(참고!$C$5:$J$12, MATCH("근력", 참고!$B$5:$B$12, 0), MATCH("HP", 참고!$C$4:$J$4, 0))*L12
+INDEX(참고!$C$5:$J$12, MATCH("숙련도", 참고!$B$5:$B$12, 0), MATCH("HP", 참고!$C$4:$J$4, 0))*M12
+INDEX(참고!$C$5:$J$12, MATCH("행운", 참고!$B$5:$B$12, 0), MATCH("HP", 참고!$C$4:$J$4, 0))*N12</f>
        <v>0</v>
      </c>
      <c r="P12">
        <f>INDEX(참고!$C$5:$J$12, MATCH($J$2, 참고!$B$5:$B$12, 0), MATCH(P$2, 참고!$C$4:$J$4, 0))</f>
        <v>3</v>
      </c>
      <c r="Q12">
        <f>INDEX(참고!$C$5:$J$12, MATCH($J$2, 참고!$B$5:$B$12, 0), MATCH(Q$2, 참고!$C$4:$J$4, 0))</f>
        <v>1</v>
      </c>
      <c r="R12">
        <f>INDEX(참고!$C$5:$J$12, MATCH($J$2, 참고!$B$5:$B$12, 0), MATCH(R$2, 참고!$C$4:$J$4, 0))</f>
        <v>0</v>
      </c>
      <c r="S12">
        <f>INDEX(참고!$C$5:$J$12, MATCH($J$2, 참고!$B$5:$B$12, 0), MATCH(S$2, 참고!$C$4:$J$4, 0))</f>
        <v>0</v>
      </c>
      <c r="T12">
        <f>INDEX(참고!$C$5:$J$12, MATCH($J$2, 참고!$B$5:$B$12, 0), MATCH(T$2, 참고!$C$4:$J$4, 0))</f>
        <v>0</v>
      </c>
      <c r="U12">
        <f>INDEX(참고!$C$5:$J$12, MATCH($J$2, 참고!$B$5:$B$12, 0), MATCH(U$2, 참고!$C$4:$J$4, 0))</f>
        <v>0</v>
      </c>
    </row>
    <row r="13" spans="1:23">
      <c r="A13" t="s">
        <v>138</v>
      </c>
      <c r="B13" s="9">
        <v>45</v>
      </c>
      <c r="C13">
        <f t="shared" si="0"/>
        <v>220</v>
      </c>
      <c r="O13">
        <f>INDEX(참고!$C$5:$J$12, MATCH("생명", 참고!$B$5:$B$12, 0), MATCH("HP", 참고!$C$4:$J$4, 0))*J13
+INDEX(참고!$C$5:$J$12, MATCH("힘", 참고!$B$5:$B$12, 0), MATCH("HP", 참고!$C$4:$J$4, 0))*K13
+INDEX(참고!$C$5:$J$12, MATCH("근력", 참고!$B$5:$B$12, 0), MATCH("HP", 참고!$C$4:$J$4, 0))*L13
+INDEX(참고!$C$5:$J$12, MATCH("숙련도", 참고!$B$5:$B$12, 0), MATCH("HP", 참고!$C$4:$J$4, 0))*M13
+INDEX(참고!$C$5:$J$12, MATCH("행운", 참고!$B$5:$B$12, 0), MATCH("HP", 참고!$C$4:$J$4, 0))*N13</f>
        <v>0</v>
      </c>
      <c r="P13">
        <f>INDEX(참고!$C$5:$J$12, MATCH($J$2, 참고!$B$5:$B$12, 0), MATCH(P$2, 참고!$C$4:$J$4, 0))</f>
        <v>3</v>
      </c>
      <c r="Q13">
        <f>INDEX(참고!$C$5:$J$12, MATCH($J$2, 참고!$B$5:$B$12, 0), MATCH(Q$2, 참고!$C$4:$J$4, 0))</f>
        <v>1</v>
      </c>
      <c r="R13">
        <f>INDEX(참고!$C$5:$J$12, MATCH($J$2, 참고!$B$5:$B$12, 0), MATCH(R$2, 참고!$C$4:$J$4, 0))</f>
        <v>0</v>
      </c>
      <c r="S13">
        <f>INDEX(참고!$C$5:$J$12, MATCH($J$2, 참고!$B$5:$B$12, 0), MATCH(S$2, 참고!$C$4:$J$4, 0))</f>
        <v>0</v>
      </c>
      <c r="T13">
        <f>INDEX(참고!$C$5:$J$12, MATCH($J$2, 참고!$B$5:$B$12, 0), MATCH(T$2, 참고!$C$4:$J$4, 0))</f>
        <v>0</v>
      </c>
      <c r="U13">
        <f>INDEX(참고!$C$5:$J$12, MATCH($J$2, 참고!$B$5:$B$12, 0), MATCH(U$2, 참고!$C$4:$J$4, 0))</f>
        <v>0</v>
      </c>
    </row>
    <row r="14" spans="1:23">
      <c r="A14" t="s">
        <v>139</v>
      </c>
      <c r="B14" s="9">
        <v>50</v>
      </c>
      <c r="C14">
        <f t="shared" si="0"/>
        <v>245</v>
      </c>
      <c r="O14">
        <f>INDEX(참고!$C$5:$J$12, MATCH("생명", 참고!$B$5:$B$12, 0), MATCH("HP", 참고!$C$4:$J$4, 0))*J14
+INDEX(참고!$C$5:$J$12, MATCH("힘", 참고!$B$5:$B$12, 0), MATCH("HP", 참고!$C$4:$J$4, 0))*K14
+INDEX(참고!$C$5:$J$12, MATCH("근력", 참고!$B$5:$B$12, 0), MATCH("HP", 참고!$C$4:$J$4, 0))*L14
+INDEX(참고!$C$5:$J$12, MATCH("숙련도", 참고!$B$5:$B$12, 0), MATCH("HP", 참고!$C$4:$J$4, 0))*M14
+INDEX(참고!$C$5:$J$12, MATCH("행운", 참고!$B$5:$B$12, 0), MATCH("HP", 참고!$C$4:$J$4, 0))*N14</f>
        <v>0</v>
      </c>
      <c r="P14">
        <f>INDEX(참고!$C$5:$J$12, MATCH($J$2, 참고!$B$5:$B$12, 0), MATCH(P$2, 참고!$C$4:$J$4, 0))</f>
        <v>3</v>
      </c>
      <c r="Q14">
        <f>INDEX(참고!$C$5:$J$12, MATCH($J$2, 참고!$B$5:$B$12, 0), MATCH(Q$2, 참고!$C$4:$J$4, 0))</f>
        <v>1</v>
      </c>
      <c r="R14">
        <f>INDEX(참고!$C$5:$J$12, MATCH($J$2, 참고!$B$5:$B$12, 0), MATCH(R$2, 참고!$C$4:$J$4, 0))</f>
        <v>0</v>
      </c>
      <c r="S14">
        <f>INDEX(참고!$C$5:$J$12, MATCH($J$2, 참고!$B$5:$B$12, 0), MATCH(S$2, 참고!$C$4:$J$4, 0))</f>
        <v>0</v>
      </c>
      <c r="T14">
        <f>INDEX(참고!$C$5:$J$12, MATCH($J$2, 참고!$B$5:$B$12, 0), MATCH(T$2, 참고!$C$4:$J$4, 0))</f>
        <v>0</v>
      </c>
      <c r="U14">
        <f>INDEX(참고!$C$5:$J$12, MATCH($J$2, 참고!$B$5:$B$12, 0), MATCH(U$2, 참고!$C$4:$J$4, 0))</f>
        <v>0</v>
      </c>
    </row>
    <row r="15" spans="1:23">
      <c r="A15" t="s">
        <v>140</v>
      </c>
      <c r="B15" s="9">
        <v>55</v>
      </c>
      <c r="C15">
        <f t="shared" si="0"/>
        <v>270</v>
      </c>
      <c r="O15">
        <f>INDEX(참고!$C$5:$J$12, MATCH("생명", 참고!$B$5:$B$12, 0), MATCH("HP", 참고!$C$4:$J$4, 0))*J15
+INDEX(참고!$C$5:$J$12, MATCH("힘", 참고!$B$5:$B$12, 0), MATCH("HP", 참고!$C$4:$J$4, 0))*K15
+INDEX(참고!$C$5:$J$12, MATCH("근력", 참고!$B$5:$B$12, 0), MATCH("HP", 참고!$C$4:$J$4, 0))*L15
+INDEX(참고!$C$5:$J$12, MATCH("숙련도", 참고!$B$5:$B$12, 0), MATCH("HP", 참고!$C$4:$J$4, 0))*M15
+INDEX(참고!$C$5:$J$12, MATCH("행운", 참고!$B$5:$B$12, 0), MATCH("HP", 참고!$C$4:$J$4, 0))*N15</f>
        <v>0</v>
      </c>
      <c r="P15">
        <f>INDEX(참고!$C$5:$J$12, MATCH($J$2, 참고!$B$5:$B$12, 0), MATCH(P$2, 참고!$C$4:$J$4, 0))</f>
        <v>3</v>
      </c>
      <c r="Q15">
        <f>INDEX(참고!$C$5:$J$12, MATCH($J$2, 참고!$B$5:$B$12, 0), MATCH(Q$2, 참고!$C$4:$J$4, 0))</f>
        <v>1</v>
      </c>
      <c r="R15">
        <f>INDEX(참고!$C$5:$J$12, MATCH($J$2, 참고!$B$5:$B$12, 0), MATCH(R$2, 참고!$C$4:$J$4, 0))</f>
        <v>0</v>
      </c>
      <c r="S15">
        <f>INDEX(참고!$C$5:$J$12, MATCH($J$2, 참고!$B$5:$B$12, 0), MATCH(S$2, 참고!$C$4:$J$4, 0))</f>
        <v>0</v>
      </c>
      <c r="T15">
        <f>INDEX(참고!$C$5:$J$12, MATCH($J$2, 참고!$B$5:$B$12, 0), MATCH(T$2, 참고!$C$4:$J$4, 0))</f>
        <v>0</v>
      </c>
      <c r="U15">
        <f>INDEX(참고!$C$5:$J$12, MATCH($J$2, 참고!$B$5:$B$12, 0), MATCH(U$2, 참고!$C$4:$J$4, 0))</f>
        <v>0</v>
      </c>
    </row>
    <row r="16" spans="1:23">
      <c r="A16" t="s">
        <v>141</v>
      </c>
      <c r="B16" s="9">
        <v>60</v>
      </c>
      <c r="C16">
        <f t="shared" si="0"/>
        <v>295</v>
      </c>
      <c r="O16">
        <f>INDEX(참고!$C$5:$J$12, MATCH("생명", 참고!$B$5:$B$12, 0), MATCH("HP", 참고!$C$4:$J$4, 0))*J16
+INDEX(참고!$C$5:$J$12, MATCH("힘", 참고!$B$5:$B$12, 0), MATCH("HP", 참고!$C$4:$J$4, 0))*K16
+INDEX(참고!$C$5:$J$12, MATCH("근력", 참고!$B$5:$B$12, 0), MATCH("HP", 참고!$C$4:$J$4, 0))*L16
+INDEX(참고!$C$5:$J$12, MATCH("숙련도", 참고!$B$5:$B$12, 0), MATCH("HP", 참고!$C$4:$J$4, 0))*M16
+INDEX(참고!$C$5:$J$12, MATCH("행운", 참고!$B$5:$B$12, 0), MATCH("HP", 참고!$C$4:$J$4, 0))*N16</f>
        <v>0</v>
      </c>
      <c r="P16">
        <f>INDEX(참고!$C$5:$J$12, MATCH($J$2, 참고!$B$5:$B$12, 0), MATCH(P$2, 참고!$C$4:$J$4, 0))</f>
        <v>3</v>
      </c>
      <c r="Q16">
        <f>INDEX(참고!$C$5:$J$12, MATCH($J$2, 참고!$B$5:$B$12, 0), MATCH(Q$2, 참고!$C$4:$J$4, 0))</f>
        <v>1</v>
      </c>
      <c r="R16">
        <f>INDEX(참고!$C$5:$J$12, MATCH($J$2, 참고!$B$5:$B$12, 0), MATCH(R$2, 참고!$C$4:$J$4, 0))</f>
        <v>0</v>
      </c>
      <c r="S16">
        <f>INDEX(참고!$C$5:$J$12, MATCH($J$2, 참고!$B$5:$B$12, 0), MATCH(S$2, 참고!$C$4:$J$4, 0))</f>
        <v>0</v>
      </c>
      <c r="T16">
        <f>INDEX(참고!$C$5:$J$12, MATCH($J$2, 참고!$B$5:$B$12, 0), MATCH(T$2, 참고!$C$4:$J$4, 0))</f>
        <v>0</v>
      </c>
      <c r="U16">
        <f>INDEX(참고!$C$5:$J$12, MATCH($J$2, 참고!$B$5:$B$12, 0), MATCH(U$2, 참고!$C$4:$J$4, 0))</f>
        <v>0</v>
      </c>
    </row>
    <row r="17" spans="1:21">
      <c r="A17" t="s">
        <v>142</v>
      </c>
      <c r="B17" s="9">
        <v>70</v>
      </c>
      <c r="C17">
        <f t="shared" si="0"/>
        <v>345</v>
      </c>
      <c r="O17">
        <f>INDEX(참고!$C$5:$J$12, MATCH("생명", 참고!$B$5:$B$12, 0), MATCH("HP", 참고!$C$4:$J$4, 0))*J17
+INDEX(참고!$C$5:$J$12, MATCH("힘", 참고!$B$5:$B$12, 0), MATCH("HP", 참고!$C$4:$J$4, 0))*K17
+INDEX(참고!$C$5:$J$12, MATCH("근력", 참고!$B$5:$B$12, 0), MATCH("HP", 참고!$C$4:$J$4, 0))*L17
+INDEX(참고!$C$5:$J$12, MATCH("숙련도", 참고!$B$5:$B$12, 0), MATCH("HP", 참고!$C$4:$J$4, 0))*M17
+INDEX(참고!$C$5:$J$12, MATCH("행운", 참고!$B$5:$B$12, 0), MATCH("HP", 참고!$C$4:$J$4, 0))*N17</f>
        <v>0</v>
      </c>
      <c r="P17">
        <f>INDEX(참고!$C$5:$J$12, MATCH($J$2, 참고!$B$5:$B$12, 0), MATCH(P$2, 참고!$C$4:$J$4, 0))</f>
        <v>3</v>
      </c>
      <c r="Q17">
        <f>INDEX(참고!$C$5:$J$12, MATCH($J$2, 참고!$B$5:$B$12, 0), MATCH(Q$2, 참고!$C$4:$J$4, 0))</f>
        <v>1</v>
      </c>
      <c r="R17">
        <f>INDEX(참고!$C$5:$J$12, MATCH($J$2, 참고!$B$5:$B$12, 0), MATCH(R$2, 참고!$C$4:$J$4, 0))</f>
        <v>0</v>
      </c>
      <c r="S17">
        <f>INDEX(참고!$C$5:$J$12, MATCH($J$2, 참고!$B$5:$B$12, 0), MATCH(S$2, 참고!$C$4:$J$4, 0))</f>
        <v>0</v>
      </c>
      <c r="T17">
        <f>INDEX(참고!$C$5:$J$12, MATCH($J$2, 참고!$B$5:$B$12, 0), MATCH(T$2, 참고!$C$4:$J$4, 0))</f>
        <v>0</v>
      </c>
      <c r="U17">
        <f>INDEX(참고!$C$5:$J$12, MATCH($J$2, 참고!$B$5:$B$12, 0), MATCH(U$2, 참고!$C$4:$J$4, 0))</f>
        <v>0</v>
      </c>
    </row>
    <row r="18" spans="1:21">
      <c r="A18" t="s">
        <v>143</v>
      </c>
      <c r="B18" s="9">
        <v>75</v>
      </c>
      <c r="C18">
        <f t="shared" si="0"/>
        <v>370</v>
      </c>
      <c r="O18">
        <f>INDEX(참고!$C$5:$J$12, MATCH("생명", 참고!$B$5:$B$12, 0), MATCH("HP", 참고!$C$4:$J$4, 0))*J18
+INDEX(참고!$C$5:$J$12, MATCH("힘", 참고!$B$5:$B$12, 0), MATCH("HP", 참고!$C$4:$J$4, 0))*K18
+INDEX(참고!$C$5:$J$12, MATCH("근력", 참고!$B$5:$B$12, 0), MATCH("HP", 참고!$C$4:$J$4, 0))*L18
+INDEX(참고!$C$5:$J$12, MATCH("숙련도", 참고!$B$5:$B$12, 0), MATCH("HP", 참고!$C$4:$J$4, 0))*M18
+INDEX(참고!$C$5:$J$12, MATCH("행운", 참고!$B$5:$B$12, 0), MATCH("HP", 참고!$C$4:$J$4, 0))*N18</f>
        <v>0</v>
      </c>
      <c r="P18">
        <f>INDEX(참고!$C$5:$J$12, MATCH($J$2, 참고!$B$5:$B$12, 0), MATCH(P$2, 참고!$C$4:$J$4, 0))</f>
        <v>3</v>
      </c>
      <c r="Q18">
        <f>INDEX(참고!$C$5:$J$12, MATCH($J$2, 참고!$B$5:$B$12, 0), MATCH(Q$2, 참고!$C$4:$J$4, 0))</f>
        <v>1</v>
      </c>
      <c r="R18">
        <f>INDEX(참고!$C$5:$J$12, MATCH($J$2, 참고!$B$5:$B$12, 0), MATCH(R$2, 참고!$C$4:$J$4, 0))</f>
        <v>0</v>
      </c>
      <c r="S18">
        <f>INDEX(참고!$C$5:$J$12, MATCH($J$2, 참고!$B$5:$B$12, 0), MATCH(S$2, 참고!$C$4:$J$4, 0))</f>
        <v>0</v>
      </c>
      <c r="T18">
        <f>INDEX(참고!$C$5:$J$12, MATCH($J$2, 참고!$B$5:$B$12, 0), MATCH(T$2, 참고!$C$4:$J$4, 0))</f>
        <v>0</v>
      </c>
      <c r="U18">
        <f>INDEX(참고!$C$5:$J$12, MATCH($J$2, 참고!$B$5:$B$12, 0), MATCH(U$2, 참고!$C$4:$J$4, 0))</f>
        <v>0</v>
      </c>
    </row>
    <row r="19" spans="1:21">
      <c r="A19" t="s">
        <v>144</v>
      </c>
      <c r="B19" s="9">
        <v>85</v>
      </c>
      <c r="C19">
        <f t="shared" si="0"/>
        <v>420</v>
      </c>
      <c r="O19">
        <f>INDEX(참고!$C$5:$J$12, MATCH("생명", 참고!$B$5:$B$12, 0), MATCH("HP", 참고!$C$4:$J$4, 0))*J19
+INDEX(참고!$C$5:$J$12, MATCH("힘", 참고!$B$5:$B$12, 0), MATCH("HP", 참고!$C$4:$J$4, 0))*K19
+INDEX(참고!$C$5:$J$12, MATCH("근력", 참고!$B$5:$B$12, 0), MATCH("HP", 참고!$C$4:$J$4, 0))*L19
+INDEX(참고!$C$5:$J$12, MATCH("숙련도", 참고!$B$5:$B$12, 0), MATCH("HP", 참고!$C$4:$J$4, 0))*M19
+INDEX(참고!$C$5:$J$12, MATCH("행운", 참고!$B$5:$B$12, 0), MATCH("HP", 참고!$C$4:$J$4, 0))*N19</f>
        <v>0</v>
      </c>
      <c r="P19">
        <f>INDEX(참고!$C$5:$J$12, MATCH($J$2, 참고!$B$5:$B$12, 0), MATCH(P$2, 참고!$C$4:$J$4, 0))</f>
        <v>3</v>
      </c>
      <c r="Q19">
        <f>INDEX(참고!$C$5:$J$12, MATCH($J$2, 참고!$B$5:$B$12, 0), MATCH(Q$2, 참고!$C$4:$J$4, 0))</f>
        <v>1</v>
      </c>
      <c r="R19">
        <f>INDEX(참고!$C$5:$J$12, MATCH($J$2, 참고!$B$5:$B$12, 0), MATCH(R$2, 참고!$C$4:$J$4, 0))</f>
        <v>0</v>
      </c>
      <c r="S19">
        <f>INDEX(참고!$C$5:$J$12, MATCH($J$2, 참고!$B$5:$B$12, 0), MATCH(S$2, 참고!$C$4:$J$4, 0))</f>
        <v>0</v>
      </c>
      <c r="T19">
        <f>INDEX(참고!$C$5:$J$12, MATCH($J$2, 참고!$B$5:$B$12, 0), MATCH(T$2, 참고!$C$4:$J$4, 0))</f>
        <v>0</v>
      </c>
      <c r="U19">
        <f>INDEX(참고!$C$5:$J$12, MATCH($J$2, 참고!$B$5:$B$12, 0), MATCH(U$2, 참고!$C$4:$J$4, 0))</f>
        <v>0</v>
      </c>
    </row>
    <row r="20" spans="1:21">
      <c r="A20" t="s">
        <v>145</v>
      </c>
      <c r="B20" s="9">
        <v>100</v>
      </c>
      <c r="C20">
        <f t="shared" si="0"/>
        <v>495</v>
      </c>
      <c r="O20">
        <f>INDEX(참고!$C$5:$J$12, MATCH("생명", 참고!$B$5:$B$12, 0), MATCH("HP", 참고!$C$4:$J$4, 0))*J20
+INDEX(참고!$C$5:$J$12, MATCH("힘", 참고!$B$5:$B$12, 0), MATCH("HP", 참고!$C$4:$J$4, 0))*K20
+INDEX(참고!$C$5:$J$12, MATCH("근력", 참고!$B$5:$B$12, 0), MATCH("HP", 참고!$C$4:$J$4, 0))*L20
+INDEX(참고!$C$5:$J$12, MATCH("숙련도", 참고!$B$5:$B$12, 0), MATCH("HP", 참고!$C$4:$J$4, 0))*M20
+INDEX(참고!$C$5:$J$12, MATCH("행운", 참고!$B$5:$B$12, 0), MATCH("HP", 참고!$C$4:$J$4, 0))*N20</f>
        <v>0</v>
      </c>
      <c r="P20">
        <f>INDEX(참고!$C$5:$J$12, MATCH($J$2, 참고!$B$5:$B$12, 0), MATCH(P$2, 참고!$C$4:$J$4, 0))</f>
        <v>3</v>
      </c>
      <c r="Q20">
        <f>INDEX(참고!$C$5:$J$12, MATCH($J$2, 참고!$B$5:$B$12, 0), MATCH(Q$2, 참고!$C$4:$J$4, 0))</f>
        <v>1</v>
      </c>
      <c r="R20">
        <f>INDEX(참고!$C$5:$J$12, MATCH($J$2, 참고!$B$5:$B$12, 0), MATCH(R$2, 참고!$C$4:$J$4, 0))</f>
        <v>0</v>
      </c>
      <c r="S20">
        <f>INDEX(참고!$C$5:$J$12, MATCH($J$2, 참고!$B$5:$B$12, 0), MATCH(S$2, 참고!$C$4:$J$4, 0))</f>
        <v>0</v>
      </c>
      <c r="T20">
        <f>INDEX(참고!$C$5:$J$12, MATCH($J$2, 참고!$B$5:$B$12, 0), MATCH(T$2, 참고!$C$4:$J$4, 0))</f>
        <v>0</v>
      </c>
      <c r="U20">
        <f>INDEX(참고!$C$5:$J$12, MATCH($J$2, 참고!$B$5:$B$12, 0), MATCH(U$2, 참고!$C$4:$J$4, 0))</f>
        <v>0</v>
      </c>
    </row>
    <row r="21" spans="1:21">
      <c r="A21" t="s">
        <v>146</v>
      </c>
      <c r="B21" s="9">
        <v>110</v>
      </c>
      <c r="C21">
        <f t="shared" si="0"/>
        <v>545</v>
      </c>
      <c r="O21">
        <f>INDEX(참고!$C$5:$J$12, MATCH("생명", 참고!$B$5:$B$12, 0), MATCH("HP", 참고!$C$4:$J$4, 0))*J21
+INDEX(참고!$C$5:$J$12, MATCH("힘", 참고!$B$5:$B$12, 0), MATCH("HP", 참고!$C$4:$J$4, 0))*K21
+INDEX(참고!$C$5:$J$12, MATCH("근력", 참고!$B$5:$B$12, 0), MATCH("HP", 참고!$C$4:$J$4, 0))*L21
+INDEX(참고!$C$5:$J$12, MATCH("숙련도", 참고!$B$5:$B$12, 0), MATCH("HP", 참고!$C$4:$J$4, 0))*M21
+INDEX(참고!$C$5:$J$12, MATCH("행운", 참고!$B$5:$B$12, 0), MATCH("HP", 참고!$C$4:$J$4, 0))*N21</f>
        <v>0</v>
      </c>
      <c r="P21">
        <f>INDEX(참고!$C$5:$J$12, MATCH($J$2, 참고!$B$5:$B$12, 0), MATCH(P$2, 참고!$C$4:$J$4, 0))</f>
        <v>3</v>
      </c>
      <c r="Q21">
        <f>INDEX(참고!$C$5:$J$12, MATCH($J$2, 참고!$B$5:$B$12, 0), MATCH(Q$2, 참고!$C$4:$J$4, 0))</f>
        <v>1</v>
      </c>
      <c r="R21">
        <f>INDEX(참고!$C$5:$J$12, MATCH($J$2, 참고!$B$5:$B$12, 0), MATCH(R$2, 참고!$C$4:$J$4, 0))</f>
        <v>0</v>
      </c>
      <c r="S21">
        <f>INDEX(참고!$C$5:$J$12, MATCH($J$2, 참고!$B$5:$B$12, 0), MATCH(S$2, 참고!$C$4:$J$4, 0))</f>
        <v>0</v>
      </c>
      <c r="T21">
        <f>INDEX(참고!$C$5:$J$12, MATCH($J$2, 참고!$B$5:$B$12, 0), MATCH(T$2, 참고!$C$4:$J$4, 0))</f>
        <v>0</v>
      </c>
      <c r="U21">
        <f>INDEX(참고!$C$5:$J$12, MATCH($J$2, 참고!$B$5:$B$12, 0), MATCH(U$2, 참고!$C$4:$J$4, 0))</f>
        <v>0</v>
      </c>
    </row>
    <row r="22" spans="1:21">
      <c r="A22" t="s">
        <v>147</v>
      </c>
      <c r="B22" s="9">
        <v>125</v>
      </c>
      <c r="C22">
        <f t="shared" si="0"/>
        <v>620</v>
      </c>
      <c r="O22">
        <f>INDEX(참고!$C$5:$J$12, MATCH("생명", 참고!$B$5:$B$12, 0), MATCH("HP", 참고!$C$4:$J$4, 0))*J22
+INDEX(참고!$C$5:$J$12, MATCH("힘", 참고!$B$5:$B$12, 0), MATCH("HP", 참고!$C$4:$J$4, 0))*K22
+INDEX(참고!$C$5:$J$12, MATCH("근력", 참고!$B$5:$B$12, 0), MATCH("HP", 참고!$C$4:$J$4, 0))*L22
+INDEX(참고!$C$5:$J$12, MATCH("숙련도", 참고!$B$5:$B$12, 0), MATCH("HP", 참고!$C$4:$J$4, 0))*M22
+INDEX(참고!$C$5:$J$12, MATCH("행운", 참고!$B$5:$B$12, 0), MATCH("HP", 참고!$C$4:$J$4, 0))*N22</f>
        <v>0</v>
      </c>
      <c r="P22">
        <f>INDEX(참고!$C$5:$J$12, MATCH($J$2, 참고!$B$5:$B$12, 0), MATCH(P$2, 참고!$C$4:$J$4, 0))</f>
        <v>3</v>
      </c>
      <c r="Q22">
        <f>INDEX(참고!$C$5:$J$12, MATCH($J$2, 참고!$B$5:$B$12, 0), MATCH(Q$2, 참고!$C$4:$J$4, 0))</f>
        <v>1</v>
      </c>
      <c r="R22">
        <f>INDEX(참고!$C$5:$J$12, MATCH($J$2, 참고!$B$5:$B$12, 0), MATCH(R$2, 참고!$C$4:$J$4, 0))</f>
        <v>0</v>
      </c>
      <c r="S22">
        <f>INDEX(참고!$C$5:$J$12, MATCH($J$2, 참고!$B$5:$B$12, 0), MATCH(S$2, 참고!$C$4:$J$4, 0))</f>
        <v>0</v>
      </c>
      <c r="T22">
        <f>INDEX(참고!$C$5:$J$12, MATCH($J$2, 참고!$B$5:$B$12, 0), MATCH(T$2, 참고!$C$4:$J$4, 0))</f>
        <v>0</v>
      </c>
      <c r="U22">
        <f>INDEX(참고!$C$5:$J$12, MATCH($J$2, 참고!$B$5:$B$12, 0), MATCH(U$2, 참고!$C$4:$J$4, 0))</f>
        <v>0</v>
      </c>
    </row>
    <row r="23" spans="1:21">
      <c r="A23" t="s">
        <v>148</v>
      </c>
      <c r="B23" s="9">
        <v>20</v>
      </c>
      <c r="C23">
        <f t="shared" si="0"/>
        <v>95</v>
      </c>
      <c r="O23">
        <f>INDEX(참고!$C$5:$J$12, MATCH("생명", 참고!$B$5:$B$12, 0), MATCH("HP", 참고!$C$4:$J$4, 0))*J23
+INDEX(참고!$C$5:$J$12, MATCH("힘", 참고!$B$5:$B$12, 0), MATCH("HP", 참고!$C$4:$J$4, 0))*K23
+INDEX(참고!$C$5:$J$12, MATCH("근력", 참고!$B$5:$B$12, 0), MATCH("HP", 참고!$C$4:$J$4, 0))*L23
+INDEX(참고!$C$5:$J$12, MATCH("숙련도", 참고!$B$5:$B$12, 0), MATCH("HP", 참고!$C$4:$J$4, 0))*M23
+INDEX(참고!$C$5:$J$12, MATCH("행운", 참고!$B$5:$B$12, 0), MATCH("HP", 참고!$C$4:$J$4, 0))*N23</f>
        <v>0</v>
      </c>
      <c r="P23">
        <f>INDEX(참고!$C$5:$J$12, MATCH($J$2, 참고!$B$5:$B$12, 0), MATCH(P$2, 참고!$C$4:$J$4, 0))</f>
        <v>3</v>
      </c>
      <c r="Q23">
        <f>INDEX(참고!$C$5:$J$12, MATCH($J$2, 참고!$B$5:$B$12, 0), MATCH(Q$2, 참고!$C$4:$J$4, 0))</f>
        <v>1</v>
      </c>
      <c r="R23">
        <f>INDEX(참고!$C$5:$J$12, MATCH($J$2, 참고!$B$5:$B$12, 0), MATCH(R$2, 참고!$C$4:$J$4, 0))</f>
        <v>0</v>
      </c>
      <c r="S23">
        <f>INDEX(참고!$C$5:$J$12, MATCH($J$2, 참고!$B$5:$B$12, 0), MATCH(S$2, 참고!$C$4:$J$4, 0))</f>
        <v>0</v>
      </c>
      <c r="T23">
        <f>INDEX(참고!$C$5:$J$12, MATCH($J$2, 참고!$B$5:$B$12, 0), MATCH(T$2, 참고!$C$4:$J$4, 0))</f>
        <v>0</v>
      </c>
      <c r="U23">
        <f>INDEX(참고!$C$5:$J$12, MATCH($J$2, 참고!$B$5:$B$12, 0), MATCH(U$2, 참고!$C$4:$J$4, 0))</f>
        <v>0</v>
      </c>
    </row>
    <row r="24" spans="1:21">
      <c r="A24" t="s">
        <v>149</v>
      </c>
      <c r="B24" s="9">
        <v>30</v>
      </c>
      <c r="C24">
        <f t="shared" si="0"/>
        <v>145</v>
      </c>
      <c r="O24">
        <f>INDEX(참고!$C$5:$J$12, MATCH("생명", 참고!$B$5:$B$12, 0), MATCH("HP", 참고!$C$4:$J$4, 0))*J24
+INDEX(참고!$C$5:$J$12, MATCH("힘", 참고!$B$5:$B$12, 0), MATCH("HP", 참고!$C$4:$J$4, 0))*K24
+INDEX(참고!$C$5:$J$12, MATCH("근력", 참고!$B$5:$B$12, 0), MATCH("HP", 참고!$C$4:$J$4, 0))*L24
+INDEX(참고!$C$5:$J$12, MATCH("숙련도", 참고!$B$5:$B$12, 0), MATCH("HP", 참고!$C$4:$J$4, 0))*M24
+INDEX(참고!$C$5:$J$12, MATCH("행운", 참고!$B$5:$B$12, 0), MATCH("HP", 참고!$C$4:$J$4, 0))*N24</f>
        <v>0</v>
      </c>
      <c r="P24">
        <f>INDEX(참고!$C$5:$J$12, MATCH($J$2, 참고!$B$5:$B$12, 0), MATCH(P$2, 참고!$C$4:$J$4, 0))</f>
        <v>3</v>
      </c>
      <c r="Q24">
        <f>INDEX(참고!$C$5:$J$12, MATCH($J$2, 참고!$B$5:$B$12, 0), MATCH(Q$2, 참고!$C$4:$J$4, 0))</f>
        <v>1</v>
      </c>
      <c r="R24">
        <f>INDEX(참고!$C$5:$J$12, MATCH($J$2, 참고!$B$5:$B$12, 0), MATCH(R$2, 참고!$C$4:$J$4, 0))</f>
        <v>0</v>
      </c>
      <c r="S24">
        <f>INDEX(참고!$C$5:$J$12, MATCH($J$2, 참고!$B$5:$B$12, 0), MATCH(S$2, 참고!$C$4:$J$4, 0))</f>
        <v>0</v>
      </c>
      <c r="T24">
        <f>INDEX(참고!$C$5:$J$12, MATCH($J$2, 참고!$B$5:$B$12, 0), MATCH(T$2, 참고!$C$4:$J$4, 0))</f>
        <v>0</v>
      </c>
      <c r="U24">
        <f>INDEX(참고!$C$5:$J$12, MATCH($J$2, 참고!$B$5:$B$12, 0), MATCH(U$2, 참고!$C$4:$J$4, 0))</f>
        <v>0</v>
      </c>
    </row>
    <row r="25" spans="1:21">
      <c r="A25" t="s">
        <v>150</v>
      </c>
      <c r="B25" s="9">
        <v>40</v>
      </c>
      <c r="C25">
        <f t="shared" si="0"/>
        <v>195</v>
      </c>
      <c r="O25">
        <f>INDEX(참고!$C$5:$J$12, MATCH("생명", 참고!$B$5:$B$12, 0), MATCH("HP", 참고!$C$4:$J$4, 0))*J25
+INDEX(참고!$C$5:$J$12, MATCH("힘", 참고!$B$5:$B$12, 0), MATCH("HP", 참고!$C$4:$J$4, 0))*K25
+INDEX(참고!$C$5:$J$12, MATCH("근력", 참고!$B$5:$B$12, 0), MATCH("HP", 참고!$C$4:$J$4, 0))*L25
+INDEX(참고!$C$5:$J$12, MATCH("숙련도", 참고!$B$5:$B$12, 0), MATCH("HP", 참고!$C$4:$J$4, 0))*M25
+INDEX(참고!$C$5:$J$12, MATCH("행운", 참고!$B$5:$B$12, 0), MATCH("HP", 참고!$C$4:$J$4, 0))*N25</f>
        <v>0</v>
      </c>
      <c r="P25">
        <f>INDEX(참고!$C$5:$J$12, MATCH($J$2, 참고!$B$5:$B$12, 0), MATCH(P$2, 참고!$C$4:$J$4, 0))</f>
        <v>3</v>
      </c>
      <c r="Q25">
        <f>INDEX(참고!$C$5:$J$12, MATCH($J$2, 참고!$B$5:$B$12, 0), MATCH(Q$2, 참고!$C$4:$J$4, 0))</f>
        <v>1</v>
      </c>
      <c r="R25">
        <f>INDEX(참고!$C$5:$J$12, MATCH($J$2, 참고!$B$5:$B$12, 0), MATCH(R$2, 참고!$C$4:$J$4, 0))</f>
        <v>0</v>
      </c>
      <c r="S25">
        <f>INDEX(참고!$C$5:$J$12, MATCH($J$2, 참고!$B$5:$B$12, 0), MATCH(S$2, 참고!$C$4:$J$4, 0))</f>
        <v>0</v>
      </c>
      <c r="T25">
        <f>INDEX(참고!$C$5:$J$12, MATCH($J$2, 참고!$B$5:$B$12, 0), MATCH(T$2, 참고!$C$4:$J$4, 0))</f>
        <v>0</v>
      </c>
      <c r="U25">
        <f>INDEX(참고!$C$5:$J$12, MATCH($J$2, 참고!$B$5:$B$12, 0), MATCH(U$2, 참고!$C$4:$J$4, 0))</f>
        <v>0</v>
      </c>
    </row>
    <row r="26" spans="1:21">
      <c r="A26" t="s">
        <v>151</v>
      </c>
      <c r="B26" s="9">
        <v>60</v>
      </c>
      <c r="C26">
        <f t="shared" si="0"/>
        <v>295</v>
      </c>
      <c r="O26">
        <f>INDEX(참고!$C$5:$J$12, MATCH("생명", 참고!$B$5:$B$12, 0), MATCH("HP", 참고!$C$4:$J$4, 0))*J26
+INDEX(참고!$C$5:$J$12, MATCH("힘", 참고!$B$5:$B$12, 0), MATCH("HP", 참고!$C$4:$J$4, 0))*K26
+INDEX(참고!$C$5:$J$12, MATCH("근력", 참고!$B$5:$B$12, 0), MATCH("HP", 참고!$C$4:$J$4, 0))*L26
+INDEX(참고!$C$5:$J$12, MATCH("숙련도", 참고!$B$5:$B$12, 0), MATCH("HP", 참고!$C$4:$J$4, 0))*M26
+INDEX(참고!$C$5:$J$12, MATCH("행운", 참고!$B$5:$B$12, 0), MATCH("HP", 참고!$C$4:$J$4, 0))*N26</f>
        <v>0</v>
      </c>
      <c r="P26">
        <f>INDEX(참고!$C$5:$J$12, MATCH($J$2, 참고!$B$5:$B$12, 0), MATCH(P$2, 참고!$C$4:$J$4, 0))</f>
        <v>3</v>
      </c>
      <c r="Q26">
        <f>INDEX(참고!$C$5:$J$12, MATCH($J$2, 참고!$B$5:$B$12, 0), MATCH(Q$2, 참고!$C$4:$J$4, 0))</f>
        <v>1</v>
      </c>
      <c r="R26">
        <f>INDEX(참고!$C$5:$J$12, MATCH($J$2, 참고!$B$5:$B$12, 0), MATCH(R$2, 참고!$C$4:$J$4, 0))</f>
        <v>0</v>
      </c>
      <c r="S26">
        <f>INDEX(참고!$C$5:$J$12, MATCH($J$2, 참고!$B$5:$B$12, 0), MATCH(S$2, 참고!$C$4:$J$4, 0))</f>
        <v>0</v>
      </c>
      <c r="T26">
        <f>INDEX(참고!$C$5:$J$12, MATCH($J$2, 참고!$B$5:$B$12, 0), MATCH(T$2, 참고!$C$4:$J$4, 0))</f>
        <v>0</v>
      </c>
      <c r="U26">
        <f>INDEX(참고!$C$5:$J$12, MATCH($J$2, 참고!$B$5:$B$12, 0), MATCH(U$2, 참고!$C$4:$J$4, 0))</f>
        <v>0</v>
      </c>
    </row>
    <row r="27" spans="1:21">
      <c r="A27" t="s">
        <v>152</v>
      </c>
      <c r="B27" s="9">
        <v>90</v>
      </c>
      <c r="C27">
        <f t="shared" si="0"/>
        <v>445</v>
      </c>
      <c r="O27">
        <f>INDEX(참고!$C$5:$J$12, MATCH("생명", 참고!$B$5:$B$12, 0), MATCH("HP", 참고!$C$4:$J$4, 0))*J27
+INDEX(참고!$C$5:$J$12, MATCH("힘", 참고!$B$5:$B$12, 0), MATCH("HP", 참고!$C$4:$J$4, 0))*K27
+INDEX(참고!$C$5:$J$12, MATCH("근력", 참고!$B$5:$B$12, 0), MATCH("HP", 참고!$C$4:$J$4, 0))*L27
+INDEX(참고!$C$5:$J$12, MATCH("숙련도", 참고!$B$5:$B$12, 0), MATCH("HP", 참고!$C$4:$J$4, 0))*M27
+INDEX(참고!$C$5:$J$12, MATCH("행운", 참고!$B$5:$B$12, 0), MATCH("HP", 참고!$C$4:$J$4, 0))*N27</f>
        <v>0</v>
      </c>
      <c r="P27">
        <f>INDEX(참고!$C$5:$J$12, MATCH($J$2, 참고!$B$5:$B$12, 0), MATCH(P$2, 참고!$C$4:$J$4, 0))</f>
        <v>3</v>
      </c>
      <c r="Q27">
        <f>INDEX(참고!$C$5:$J$12, MATCH($J$2, 참고!$B$5:$B$12, 0), MATCH(Q$2, 참고!$C$4:$J$4, 0))</f>
        <v>1</v>
      </c>
      <c r="R27">
        <f>INDEX(참고!$C$5:$J$12, MATCH($J$2, 참고!$B$5:$B$12, 0), MATCH(R$2, 참고!$C$4:$J$4, 0))</f>
        <v>0</v>
      </c>
      <c r="S27">
        <f>INDEX(참고!$C$5:$J$12, MATCH($J$2, 참고!$B$5:$B$12, 0), MATCH(S$2, 참고!$C$4:$J$4, 0))</f>
        <v>0</v>
      </c>
      <c r="T27">
        <f>INDEX(참고!$C$5:$J$12, MATCH($J$2, 참고!$B$5:$B$12, 0), MATCH(T$2, 참고!$C$4:$J$4, 0))</f>
        <v>0</v>
      </c>
      <c r="U27">
        <f>INDEX(참고!$C$5:$J$12, MATCH($J$2, 참고!$B$5:$B$12, 0), MATCH(U$2, 참고!$C$4:$J$4, 0))</f>
        <v>0</v>
      </c>
    </row>
    <row r="28" spans="1:21">
      <c r="A28" t="s">
        <v>153</v>
      </c>
      <c r="B28" s="9">
        <v>125</v>
      </c>
      <c r="C28">
        <f t="shared" si="0"/>
        <v>620</v>
      </c>
      <c r="O28">
        <f>INDEX(참고!$C$5:$J$12, MATCH("생명", 참고!$B$5:$B$12, 0), MATCH("HP", 참고!$C$4:$J$4, 0))*J28
+INDEX(참고!$C$5:$J$12, MATCH("힘", 참고!$B$5:$B$12, 0), MATCH("HP", 참고!$C$4:$J$4, 0))*K28
+INDEX(참고!$C$5:$J$12, MATCH("근력", 참고!$B$5:$B$12, 0), MATCH("HP", 참고!$C$4:$J$4, 0))*L28
+INDEX(참고!$C$5:$J$12, MATCH("숙련도", 참고!$B$5:$B$12, 0), MATCH("HP", 참고!$C$4:$J$4, 0))*M28
+INDEX(참고!$C$5:$J$12, MATCH("행운", 참고!$B$5:$B$12, 0), MATCH("HP", 참고!$C$4:$J$4, 0))*N28</f>
        <v>0</v>
      </c>
      <c r="P28">
        <f>INDEX(참고!$C$5:$J$12, MATCH($J$2, 참고!$B$5:$B$12, 0), MATCH(P$2, 참고!$C$4:$J$4, 0))</f>
        <v>3</v>
      </c>
      <c r="Q28">
        <f>INDEX(참고!$C$5:$J$12, MATCH($J$2, 참고!$B$5:$B$12, 0), MATCH(Q$2, 참고!$C$4:$J$4, 0))</f>
        <v>1</v>
      </c>
      <c r="R28">
        <f>INDEX(참고!$C$5:$J$12, MATCH($J$2, 참고!$B$5:$B$12, 0), MATCH(R$2, 참고!$C$4:$J$4, 0))</f>
        <v>0</v>
      </c>
      <c r="S28">
        <f>INDEX(참고!$C$5:$J$12, MATCH($J$2, 참고!$B$5:$B$12, 0), MATCH(S$2, 참고!$C$4:$J$4, 0))</f>
        <v>0</v>
      </c>
      <c r="T28">
        <f>INDEX(참고!$C$5:$J$12, MATCH($J$2, 참고!$B$5:$B$12, 0), MATCH(T$2, 참고!$C$4:$J$4, 0))</f>
        <v>0</v>
      </c>
      <c r="U28">
        <f>INDEX(참고!$C$5:$J$12, MATCH($J$2, 참고!$B$5:$B$12, 0), MATCH(U$2, 참고!$C$4:$J$4, 0))</f>
        <v>0</v>
      </c>
    </row>
    <row r="29" spans="1:21">
      <c r="A29" t="s">
        <v>154</v>
      </c>
      <c r="B29" s="9">
        <v>120</v>
      </c>
      <c r="C29">
        <f t="shared" si="0"/>
        <v>595</v>
      </c>
      <c r="O29">
        <f>INDEX(참고!$C$5:$J$12, MATCH("생명", 참고!$B$5:$B$12, 0), MATCH("HP", 참고!$C$4:$J$4, 0))*J29
+INDEX(참고!$C$5:$J$12, MATCH("힘", 참고!$B$5:$B$12, 0), MATCH("HP", 참고!$C$4:$J$4, 0))*K29
+INDEX(참고!$C$5:$J$12, MATCH("근력", 참고!$B$5:$B$12, 0), MATCH("HP", 참고!$C$4:$J$4, 0))*L29
+INDEX(참고!$C$5:$J$12, MATCH("숙련도", 참고!$B$5:$B$12, 0), MATCH("HP", 참고!$C$4:$J$4, 0))*M29
+INDEX(참고!$C$5:$J$12, MATCH("행운", 참고!$B$5:$B$12, 0), MATCH("HP", 참고!$C$4:$J$4, 0))*N29</f>
        <v>0</v>
      </c>
      <c r="P29">
        <f>INDEX(참고!$C$5:$J$12, MATCH($J$2, 참고!$B$5:$B$12, 0), MATCH(P$2, 참고!$C$4:$J$4, 0))</f>
        <v>3</v>
      </c>
      <c r="Q29">
        <f>INDEX(참고!$C$5:$J$12, MATCH($J$2, 참고!$B$5:$B$12, 0), MATCH(Q$2, 참고!$C$4:$J$4, 0))</f>
        <v>1</v>
      </c>
      <c r="R29">
        <f>INDEX(참고!$C$5:$J$12, MATCH($J$2, 참고!$B$5:$B$12, 0), MATCH(R$2, 참고!$C$4:$J$4, 0))</f>
        <v>0</v>
      </c>
      <c r="S29">
        <f>INDEX(참고!$C$5:$J$12, MATCH($J$2, 참고!$B$5:$B$12, 0), MATCH(S$2, 참고!$C$4:$J$4, 0))</f>
        <v>0</v>
      </c>
      <c r="T29">
        <f>INDEX(참고!$C$5:$J$12, MATCH($J$2, 참고!$B$5:$B$12, 0), MATCH(T$2, 참고!$C$4:$J$4, 0))</f>
        <v>0</v>
      </c>
      <c r="U29">
        <f>INDEX(참고!$C$5:$J$12, MATCH($J$2, 참고!$B$5:$B$12, 0), MATCH(U$2, 참고!$C$4:$J$4, 0))</f>
        <v>0</v>
      </c>
    </row>
    <row r="30" spans="1:21">
      <c r="A30" t="s">
        <v>155</v>
      </c>
      <c r="B30" s="9">
        <v>130</v>
      </c>
      <c r="C30">
        <f t="shared" si="0"/>
        <v>645</v>
      </c>
      <c r="O30">
        <f>INDEX(참고!$C$5:$J$12, MATCH("생명", 참고!$B$5:$B$12, 0), MATCH("HP", 참고!$C$4:$J$4, 0))*J30
+INDEX(참고!$C$5:$J$12, MATCH("힘", 참고!$B$5:$B$12, 0), MATCH("HP", 참고!$C$4:$J$4, 0))*K30
+INDEX(참고!$C$5:$J$12, MATCH("근력", 참고!$B$5:$B$12, 0), MATCH("HP", 참고!$C$4:$J$4, 0))*L30
+INDEX(참고!$C$5:$J$12, MATCH("숙련도", 참고!$B$5:$B$12, 0), MATCH("HP", 참고!$C$4:$J$4, 0))*M30
+INDEX(참고!$C$5:$J$12, MATCH("행운", 참고!$B$5:$B$12, 0), MATCH("HP", 참고!$C$4:$J$4, 0))*N30</f>
        <v>0</v>
      </c>
      <c r="P30">
        <f>INDEX(참고!$C$5:$J$12, MATCH($J$2, 참고!$B$5:$B$12, 0), MATCH(P$2, 참고!$C$4:$J$4, 0))</f>
        <v>3</v>
      </c>
      <c r="Q30">
        <f>INDEX(참고!$C$5:$J$12, MATCH($J$2, 참고!$B$5:$B$12, 0), MATCH(Q$2, 참고!$C$4:$J$4, 0))</f>
        <v>1</v>
      </c>
      <c r="R30">
        <f>INDEX(참고!$C$5:$J$12, MATCH($J$2, 참고!$B$5:$B$12, 0), MATCH(R$2, 참고!$C$4:$J$4, 0))</f>
        <v>0</v>
      </c>
      <c r="S30">
        <f>INDEX(참고!$C$5:$J$12, MATCH($J$2, 참고!$B$5:$B$12, 0), MATCH(S$2, 참고!$C$4:$J$4, 0))</f>
        <v>0</v>
      </c>
      <c r="T30">
        <f>INDEX(참고!$C$5:$J$12, MATCH($J$2, 참고!$B$5:$B$12, 0), MATCH(T$2, 참고!$C$4:$J$4, 0))</f>
        <v>0</v>
      </c>
      <c r="U30">
        <f>INDEX(참고!$C$5:$J$12, MATCH($J$2, 참고!$B$5:$B$12, 0), MATCH(U$2, 참고!$C$4:$J$4, 0))</f>
        <v>0</v>
      </c>
    </row>
    <row r="31" spans="1:21">
      <c r="A31" t="s">
        <v>156</v>
      </c>
      <c r="B31" s="9">
        <v>140</v>
      </c>
      <c r="C31">
        <f t="shared" si="0"/>
        <v>695</v>
      </c>
      <c r="O31">
        <f>INDEX(참고!$C$5:$J$12, MATCH("생명", 참고!$B$5:$B$12, 0), MATCH("HP", 참고!$C$4:$J$4, 0))*J31
+INDEX(참고!$C$5:$J$12, MATCH("힘", 참고!$B$5:$B$12, 0), MATCH("HP", 참고!$C$4:$J$4, 0))*K31
+INDEX(참고!$C$5:$J$12, MATCH("근력", 참고!$B$5:$B$12, 0), MATCH("HP", 참고!$C$4:$J$4, 0))*L31
+INDEX(참고!$C$5:$J$12, MATCH("숙련도", 참고!$B$5:$B$12, 0), MATCH("HP", 참고!$C$4:$J$4, 0))*M31
+INDEX(참고!$C$5:$J$12, MATCH("행운", 참고!$B$5:$B$12, 0), MATCH("HP", 참고!$C$4:$J$4, 0))*N31</f>
        <v>0</v>
      </c>
      <c r="P31">
        <f>INDEX(참고!$C$5:$J$12, MATCH($J$2, 참고!$B$5:$B$12, 0), MATCH(P$2, 참고!$C$4:$J$4, 0))</f>
        <v>3</v>
      </c>
      <c r="Q31">
        <f>INDEX(참고!$C$5:$J$12, MATCH($J$2, 참고!$B$5:$B$12, 0), MATCH(Q$2, 참고!$C$4:$J$4, 0))</f>
        <v>1</v>
      </c>
      <c r="R31">
        <f>INDEX(참고!$C$5:$J$12, MATCH($J$2, 참고!$B$5:$B$12, 0), MATCH(R$2, 참고!$C$4:$J$4, 0))</f>
        <v>0</v>
      </c>
      <c r="S31">
        <f>INDEX(참고!$C$5:$J$12, MATCH($J$2, 참고!$B$5:$B$12, 0), MATCH(S$2, 참고!$C$4:$J$4, 0))</f>
        <v>0</v>
      </c>
      <c r="T31">
        <f>INDEX(참고!$C$5:$J$12, MATCH($J$2, 참고!$B$5:$B$12, 0), MATCH(T$2, 참고!$C$4:$J$4, 0))</f>
        <v>0</v>
      </c>
      <c r="U31">
        <f>INDEX(참고!$C$5:$J$12, MATCH($J$2, 참고!$B$5:$B$12, 0), MATCH(U$2, 참고!$C$4:$J$4, 0))</f>
        <v>0</v>
      </c>
    </row>
    <row r="32" spans="1:21">
      <c r="A32" t="s">
        <v>157</v>
      </c>
      <c r="B32" s="9">
        <v>150</v>
      </c>
      <c r="C32">
        <f t="shared" si="0"/>
        <v>745</v>
      </c>
      <c r="O32">
        <f>INDEX(참고!$C$5:$J$12, MATCH("생명", 참고!$B$5:$B$12, 0), MATCH("HP", 참고!$C$4:$J$4, 0))*J32
+INDEX(참고!$C$5:$J$12, MATCH("힘", 참고!$B$5:$B$12, 0), MATCH("HP", 참고!$C$4:$J$4, 0))*K32
+INDEX(참고!$C$5:$J$12, MATCH("근력", 참고!$B$5:$B$12, 0), MATCH("HP", 참고!$C$4:$J$4, 0))*L32
+INDEX(참고!$C$5:$J$12, MATCH("숙련도", 참고!$B$5:$B$12, 0), MATCH("HP", 참고!$C$4:$J$4, 0))*M32
+INDEX(참고!$C$5:$J$12, MATCH("행운", 참고!$B$5:$B$12, 0), MATCH("HP", 참고!$C$4:$J$4, 0))*N32</f>
        <v>0</v>
      </c>
      <c r="P32">
        <f>INDEX(참고!$C$5:$J$12, MATCH($J$2, 참고!$B$5:$B$12, 0), MATCH(P$2, 참고!$C$4:$J$4, 0))</f>
        <v>3</v>
      </c>
      <c r="Q32">
        <f>INDEX(참고!$C$5:$J$12, MATCH($J$2, 참고!$B$5:$B$12, 0), MATCH(Q$2, 참고!$C$4:$J$4, 0))</f>
        <v>1</v>
      </c>
      <c r="R32">
        <f>INDEX(참고!$C$5:$J$12, MATCH($J$2, 참고!$B$5:$B$12, 0), MATCH(R$2, 참고!$C$4:$J$4, 0))</f>
        <v>0</v>
      </c>
      <c r="S32">
        <f>INDEX(참고!$C$5:$J$12, MATCH($J$2, 참고!$B$5:$B$12, 0), MATCH(S$2, 참고!$C$4:$J$4, 0))</f>
        <v>0</v>
      </c>
      <c r="T32">
        <f>INDEX(참고!$C$5:$J$12, MATCH($J$2, 참고!$B$5:$B$12, 0), MATCH(T$2, 참고!$C$4:$J$4, 0))</f>
        <v>0</v>
      </c>
      <c r="U32">
        <f>INDEX(참고!$C$5:$J$12, MATCH($J$2, 참고!$B$5:$B$12, 0), MATCH(U$2, 참고!$C$4:$J$4, 0))</f>
        <v>0</v>
      </c>
    </row>
    <row r="33" spans="1:21">
      <c r="A33" t="s">
        <v>158</v>
      </c>
      <c r="B33" s="9">
        <v>160</v>
      </c>
      <c r="C33">
        <f t="shared" si="0"/>
        <v>795</v>
      </c>
      <c r="O33">
        <f>INDEX(참고!$C$5:$J$12, MATCH("생명", 참고!$B$5:$B$12, 0), MATCH("HP", 참고!$C$4:$J$4, 0))*J33
+INDEX(참고!$C$5:$J$12, MATCH("힘", 참고!$B$5:$B$12, 0), MATCH("HP", 참고!$C$4:$J$4, 0))*K33
+INDEX(참고!$C$5:$J$12, MATCH("근력", 참고!$B$5:$B$12, 0), MATCH("HP", 참고!$C$4:$J$4, 0))*L33
+INDEX(참고!$C$5:$J$12, MATCH("숙련도", 참고!$B$5:$B$12, 0), MATCH("HP", 참고!$C$4:$J$4, 0))*M33
+INDEX(참고!$C$5:$J$12, MATCH("행운", 참고!$B$5:$B$12, 0), MATCH("HP", 참고!$C$4:$J$4, 0))*N33</f>
        <v>0</v>
      </c>
      <c r="P33">
        <f>INDEX(참고!$C$5:$J$12, MATCH($J$2, 참고!$B$5:$B$12, 0), MATCH(P$2, 참고!$C$4:$J$4, 0))</f>
        <v>3</v>
      </c>
      <c r="Q33">
        <f>INDEX(참고!$C$5:$J$12, MATCH($J$2, 참고!$B$5:$B$12, 0), MATCH(Q$2, 참고!$C$4:$J$4, 0))</f>
        <v>1</v>
      </c>
      <c r="R33">
        <f>INDEX(참고!$C$5:$J$12, MATCH($J$2, 참고!$B$5:$B$12, 0), MATCH(R$2, 참고!$C$4:$J$4, 0))</f>
        <v>0</v>
      </c>
      <c r="S33">
        <f>INDEX(참고!$C$5:$J$12, MATCH($J$2, 참고!$B$5:$B$12, 0), MATCH(S$2, 참고!$C$4:$J$4, 0))</f>
        <v>0</v>
      </c>
      <c r="T33">
        <f>INDEX(참고!$C$5:$J$12, MATCH($J$2, 참고!$B$5:$B$12, 0), MATCH(T$2, 참고!$C$4:$J$4, 0))</f>
        <v>0</v>
      </c>
      <c r="U33">
        <f>INDEX(참고!$C$5:$J$12, MATCH($J$2, 참고!$B$5:$B$12, 0), MATCH(U$2, 참고!$C$4:$J$4, 0))</f>
        <v>0</v>
      </c>
    </row>
    <row r="34" spans="1:21">
      <c r="A34" t="s">
        <v>159</v>
      </c>
      <c r="B34" s="9">
        <v>175</v>
      </c>
      <c r="C34">
        <f t="shared" si="0"/>
        <v>870</v>
      </c>
      <c r="O34">
        <f>INDEX(참고!$C$5:$J$12, MATCH("생명", 참고!$B$5:$B$12, 0), MATCH("HP", 참고!$C$4:$J$4, 0))*J34
+INDEX(참고!$C$5:$J$12, MATCH("힘", 참고!$B$5:$B$12, 0), MATCH("HP", 참고!$C$4:$J$4, 0))*K34
+INDEX(참고!$C$5:$J$12, MATCH("근력", 참고!$B$5:$B$12, 0), MATCH("HP", 참고!$C$4:$J$4, 0))*L34
+INDEX(참고!$C$5:$J$12, MATCH("숙련도", 참고!$B$5:$B$12, 0), MATCH("HP", 참고!$C$4:$J$4, 0))*M34
+INDEX(참고!$C$5:$J$12, MATCH("행운", 참고!$B$5:$B$12, 0), MATCH("HP", 참고!$C$4:$J$4, 0))*N34</f>
        <v>0</v>
      </c>
      <c r="P34">
        <f>INDEX(참고!$C$5:$J$12, MATCH($J$2, 참고!$B$5:$B$12, 0), MATCH(P$2, 참고!$C$4:$J$4, 0))</f>
        <v>3</v>
      </c>
      <c r="Q34">
        <f>INDEX(참고!$C$5:$J$12, MATCH($J$2, 참고!$B$5:$B$12, 0), MATCH(Q$2, 참고!$C$4:$J$4, 0))</f>
        <v>1</v>
      </c>
      <c r="R34">
        <f>INDEX(참고!$C$5:$J$12, MATCH($J$2, 참고!$B$5:$B$12, 0), MATCH(R$2, 참고!$C$4:$J$4, 0))</f>
        <v>0</v>
      </c>
      <c r="S34">
        <f>INDEX(참고!$C$5:$J$12, MATCH($J$2, 참고!$B$5:$B$12, 0), MATCH(S$2, 참고!$C$4:$J$4, 0))</f>
        <v>0</v>
      </c>
      <c r="T34">
        <f>INDEX(참고!$C$5:$J$12, MATCH($J$2, 참고!$B$5:$B$12, 0), MATCH(T$2, 참고!$C$4:$J$4, 0))</f>
        <v>0</v>
      </c>
      <c r="U34">
        <f>INDEX(참고!$C$5:$J$12, MATCH($J$2, 참고!$B$5:$B$12, 0), MATCH(U$2, 참고!$C$4:$J$4, 0))</f>
        <v>0</v>
      </c>
    </row>
    <row r="35" spans="1:21">
      <c r="A35" t="s">
        <v>160</v>
      </c>
      <c r="B35" s="9">
        <v>165</v>
      </c>
      <c r="C35">
        <f t="shared" si="0"/>
        <v>820</v>
      </c>
      <c r="O35">
        <f>INDEX(참고!$C$5:$J$12, MATCH("생명", 참고!$B$5:$B$12, 0), MATCH("HP", 참고!$C$4:$J$4, 0))*J35
+INDEX(참고!$C$5:$J$12, MATCH("힘", 참고!$B$5:$B$12, 0), MATCH("HP", 참고!$C$4:$J$4, 0))*K35
+INDEX(참고!$C$5:$J$12, MATCH("근력", 참고!$B$5:$B$12, 0), MATCH("HP", 참고!$C$4:$J$4, 0))*L35
+INDEX(참고!$C$5:$J$12, MATCH("숙련도", 참고!$B$5:$B$12, 0), MATCH("HP", 참고!$C$4:$J$4, 0))*M35
+INDEX(참고!$C$5:$J$12, MATCH("행운", 참고!$B$5:$B$12, 0), MATCH("HP", 참고!$C$4:$J$4, 0))*N35</f>
        <v>0</v>
      </c>
      <c r="P35">
        <f>INDEX(참고!$C$5:$J$12, MATCH($J$2, 참고!$B$5:$B$12, 0), MATCH(P$2, 참고!$C$4:$J$4, 0))</f>
        <v>3</v>
      </c>
      <c r="Q35">
        <f>INDEX(참고!$C$5:$J$12, MATCH($J$2, 참고!$B$5:$B$12, 0), MATCH(Q$2, 참고!$C$4:$J$4, 0))</f>
        <v>1</v>
      </c>
      <c r="R35">
        <f>INDEX(참고!$C$5:$J$12, MATCH($J$2, 참고!$B$5:$B$12, 0), MATCH(R$2, 참고!$C$4:$J$4, 0))</f>
        <v>0</v>
      </c>
      <c r="S35">
        <f>INDEX(참고!$C$5:$J$12, MATCH($J$2, 참고!$B$5:$B$12, 0), MATCH(S$2, 참고!$C$4:$J$4, 0))</f>
        <v>0</v>
      </c>
      <c r="T35">
        <f>INDEX(참고!$C$5:$J$12, MATCH($J$2, 참고!$B$5:$B$12, 0), MATCH(T$2, 참고!$C$4:$J$4, 0))</f>
        <v>0</v>
      </c>
      <c r="U35">
        <f>INDEX(참고!$C$5:$J$12, MATCH($J$2, 참고!$B$5:$B$12, 0), MATCH(U$2, 참고!$C$4:$J$4, 0))</f>
        <v>0</v>
      </c>
    </row>
    <row r="36" spans="1:21">
      <c r="A36" t="s">
        <v>161</v>
      </c>
      <c r="B36" s="9">
        <v>175</v>
      </c>
      <c r="C36">
        <f t="shared" si="0"/>
        <v>870</v>
      </c>
      <c r="O36">
        <f>INDEX(참고!$C$5:$J$12, MATCH("생명", 참고!$B$5:$B$12, 0), MATCH("HP", 참고!$C$4:$J$4, 0))*J36
+INDEX(참고!$C$5:$J$12, MATCH("힘", 참고!$B$5:$B$12, 0), MATCH("HP", 참고!$C$4:$J$4, 0))*K36
+INDEX(참고!$C$5:$J$12, MATCH("근력", 참고!$B$5:$B$12, 0), MATCH("HP", 참고!$C$4:$J$4, 0))*L36
+INDEX(참고!$C$5:$J$12, MATCH("숙련도", 참고!$B$5:$B$12, 0), MATCH("HP", 참고!$C$4:$J$4, 0))*M36
+INDEX(참고!$C$5:$J$12, MATCH("행운", 참고!$B$5:$B$12, 0), MATCH("HP", 참고!$C$4:$J$4, 0))*N36</f>
        <v>0</v>
      </c>
      <c r="P36">
        <f>INDEX(참고!$C$5:$J$12, MATCH($J$2, 참고!$B$5:$B$12, 0), MATCH(P$2, 참고!$C$4:$J$4, 0))</f>
        <v>3</v>
      </c>
      <c r="Q36">
        <f>INDEX(참고!$C$5:$J$12, MATCH($J$2, 참고!$B$5:$B$12, 0), MATCH(Q$2, 참고!$C$4:$J$4, 0))</f>
        <v>1</v>
      </c>
      <c r="R36">
        <f>INDEX(참고!$C$5:$J$12, MATCH($J$2, 참고!$B$5:$B$12, 0), MATCH(R$2, 참고!$C$4:$J$4, 0))</f>
        <v>0</v>
      </c>
      <c r="S36">
        <f>INDEX(참고!$C$5:$J$12, MATCH($J$2, 참고!$B$5:$B$12, 0), MATCH(S$2, 참고!$C$4:$J$4, 0))</f>
        <v>0</v>
      </c>
      <c r="T36">
        <f>INDEX(참고!$C$5:$J$12, MATCH($J$2, 참고!$B$5:$B$12, 0), MATCH(T$2, 참고!$C$4:$J$4, 0))</f>
        <v>0</v>
      </c>
      <c r="U36">
        <f>INDEX(참고!$C$5:$J$12, MATCH($J$2, 참고!$B$5:$B$12, 0), MATCH(U$2, 참고!$C$4:$J$4, 0))</f>
        <v>0</v>
      </c>
    </row>
    <row r="37" spans="1:21">
      <c r="A37" t="s">
        <v>162</v>
      </c>
      <c r="B37" s="9">
        <v>185</v>
      </c>
      <c r="C37">
        <f t="shared" si="0"/>
        <v>920</v>
      </c>
      <c r="O37">
        <f>INDEX(참고!$C$5:$J$12, MATCH("생명", 참고!$B$5:$B$12, 0), MATCH("HP", 참고!$C$4:$J$4, 0))*J37
+INDEX(참고!$C$5:$J$12, MATCH("힘", 참고!$B$5:$B$12, 0), MATCH("HP", 참고!$C$4:$J$4, 0))*K37
+INDEX(참고!$C$5:$J$12, MATCH("근력", 참고!$B$5:$B$12, 0), MATCH("HP", 참고!$C$4:$J$4, 0))*L37
+INDEX(참고!$C$5:$J$12, MATCH("숙련도", 참고!$B$5:$B$12, 0), MATCH("HP", 참고!$C$4:$J$4, 0))*M37
+INDEX(참고!$C$5:$J$12, MATCH("행운", 참고!$B$5:$B$12, 0), MATCH("HP", 참고!$C$4:$J$4, 0))*N37</f>
        <v>0</v>
      </c>
      <c r="P37">
        <f>INDEX(참고!$C$5:$J$12, MATCH($J$2, 참고!$B$5:$B$12, 0), MATCH(P$2, 참고!$C$4:$J$4, 0))</f>
        <v>3</v>
      </c>
      <c r="Q37">
        <f>INDEX(참고!$C$5:$J$12, MATCH($J$2, 참고!$B$5:$B$12, 0), MATCH(Q$2, 참고!$C$4:$J$4, 0))</f>
        <v>1</v>
      </c>
      <c r="R37">
        <f>INDEX(참고!$C$5:$J$12, MATCH($J$2, 참고!$B$5:$B$12, 0), MATCH(R$2, 참고!$C$4:$J$4, 0))</f>
        <v>0</v>
      </c>
      <c r="S37">
        <f>INDEX(참고!$C$5:$J$12, MATCH($J$2, 참고!$B$5:$B$12, 0), MATCH(S$2, 참고!$C$4:$J$4, 0))</f>
        <v>0</v>
      </c>
      <c r="T37">
        <f>INDEX(참고!$C$5:$J$12, MATCH($J$2, 참고!$B$5:$B$12, 0), MATCH(T$2, 참고!$C$4:$J$4, 0))</f>
        <v>0</v>
      </c>
      <c r="U37">
        <f>INDEX(참고!$C$5:$J$12, MATCH($J$2, 참고!$B$5:$B$12, 0), MATCH(U$2, 참고!$C$4:$J$4, 0))</f>
        <v>0</v>
      </c>
    </row>
    <row r="38" spans="1:21">
      <c r="A38" t="s">
        <v>163</v>
      </c>
      <c r="B38" s="9">
        <v>200</v>
      </c>
      <c r="C38">
        <f t="shared" si="0"/>
        <v>995</v>
      </c>
      <c r="O38">
        <f>INDEX(참고!$C$5:$J$12, MATCH("생명", 참고!$B$5:$B$12, 0), MATCH("HP", 참고!$C$4:$J$4, 0))*J38
+INDEX(참고!$C$5:$J$12, MATCH("힘", 참고!$B$5:$B$12, 0), MATCH("HP", 참고!$C$4:$J$4, 0))*K38
+INDEX(참고!$C$5:$J$12, MATCH("근력", 참고!$B$5:$B$12, 0), MATCH("HP", 참고!$C$4:$J$4, 0))*L38
+INDEX(참고!$C$5:$J$12, MATCH("숙련도", 참고!$B$5:$B$12, 0), MATCH("HP", 참고!$C$4:$J$4, 0))*M38
+INDEX(참고!$C$5:$J$12, MATCH("행운", 참고!$B$5:$B$12, 0), MATCH("HP", 참고!$C$4:$J$4, 0))*N38</f>
        <v>0</v>
      </c>
      <c r="P38">
        <f>INDEX(참고!$C$5:$J$12, MATCH($J$2, 참고!$B$5:$B$12, 0), MATCH(P$2, 참고!$C$4:$J$4, 0))</f>
        <v>3</v>
      </c>
      <c r="Q38">
        <f>INDEX(참고!$C$5:$J$12, MATCH($J$2, 참고!$B$5:$B$12, 0), MATCH(Q$2, 참고!$C$4:$J$4, 0))</f>
        <v>1</v>
      </c>
      <c r="R38">
        <f>INDEX(참고!$C$5:$J$12, MATCH($J$2, 참고!$B$5:$B$12, 0), MATCH(R$2, 참고!$C$4:$J$4, 0))</f>
        <v>0</v>
      </c>
      <c r="S38">
        <f>INDEX(참고!$C$5:$J$12, MATCH($J$2, 참고!$B$5:$B$12, 0), MATCH(S$2, 참고!$C$4:$J$4, 0))</f>
        <v>0</v>
      </c>
      <c r="T38">
        <f>INDEX(참고!$C$5:$J$12, MATCH($J$2, 참고!$B$5:$B$12, 0), MATCH(T$2, 참고!$C$4:$J$4, 0))</f>
        <v>0</v>
      </c>
      <c r="U38">
        <f>INDEX(참고!$C$5:$J$12, MATCH($J$2, 참고!$B$5:$B$12, 0), MATCH(U$2, 참고!$C$4:$J$4, 0))</f>
        <v>0</v>
      </c>
    </row>
    <row r="39" spans="1:21">
      <c r="A39" t="s">
        <v>164</v>
      </c>
      <c r="B39" s="9">
        <v>200</v>
      </c>
      <c r="C39">
        <f t="shared" si="0"/>
        <v>995</v>
      </c>
      <c r="O39">
        <f>INDEX(참고!$C$5:$J$12, MATCH("생명", 참고!$B$5:$B$12, 0), MATCH("HP", 참고!$C$4:$J$4, 0))*J39
+INDEX(참고!$C$5:$J$12, MATCH("힘", 참고!$B$5:$B$12, 0), MATCH("HP", 참고!$C$4:$J$4, 0))*K39
+INDEX(참고!$C$5:$J$12, MATCH("근력", 참고!$B$5:$B$12, 0), MATCH("HP", 참고!$C$4:$J$4, 0))*L39
+INDEX(참고!$C$5:$J$12, MATCH("숙련도", 참고!$B$5:$B$12, 0), MATCH("HP", 참고!$C$4:$J$4, 0))*M39
+INDEX(참고!$C$5:$J$12, MATCH("행운", 참고!$B$5:$B$12, 0), MATCH("HP", 참고!$C$4:$J$4, 0))*N39</f>
        <v>0</v>
      </c>
      <c r="P39">
        <f>INDEX(참고!$C$5:$J$12, MATCH($J$2, 참고!$B$5:$B$12, 0), MATCH(P$2, 참고!$C$4:$J$4, 0))</f>
        <v>3</v>
      </c>
      <c r="Q39">
        <f>INDEX(참고!$C$5:$J$12, MATCH($J$2, 참고!$B$5:$B$12, 0), MATCH(Q$2, 참고!$C$4:$J$4, 0))</f>
        <v>1</v>
      </c>
      <c r="R39">
        <f>INDEX(참고!$C$5:$J$12, MATCH($J$2, 참고!$B$5:$B$12, 0), MATCH(R$2, 참고!$C$4:$J$4, 0))</f>
        <v>0</v>
      </c>
      <c r="S39">
        <f>INDEX(참고!$C$5:$J$12, MATCH($J$2, 참고!$B$5:$B$12, 0), MATCH(S$2, 참고!$C$4:$J$4, 0))</f>
        <v>0</v>
      </c>
      <c r="T39">
        <f>INDEX(참고!$C$5:$J$12, MATCH($J$2, 참고!$B$5:$B$12, 0), MATCH(T$2, 참고!$C$4:$J$4, 0))</f>
        <v>0</v>
      </c>
      <c r="U39">
        <f>INDEX(참고!$C$5:$J$12, MATCH($J$2, 참고!$B$5:$B$12, 0), MATCH(U$2, 참고!$C$4:$J$4, 0))</f>
        <v>0</v>
      </c>
    </row>
    <row r="40" spans="1:21">
      <c r="A40" t="s">
        <v>165</v>
      </c>
      <c r="B40" s="9">
        <v>250</v>
      </c>
      <c r="C40">
        <f t="shared" si="0"/>
        <v>1245</v>
      </c>
      <c r="O40">
        <f>INDEX(참고!$C$5:$J$12, MATCH("생명", 참고!$B$5:$B$12, 0), MATCH("HP", 참고!$C$4:$J$4, 0))*J40
+INDEX(참고!$C$5:$J$12, MATCH("힘", 참고!$B$5:$B$12, 0), MATCH("HP", 참고!$C$4:$J$4, 0))*K40
+INDEX(참고!$C$5:$J$12, MATCH("근력", 참고!$B$5:$B$12, 0), MATCH("HP", 참고!$C$4:$J$4, 0))*L40
+INDEX(참고!$C$5:$J$12, MATCH("숙련도", 참고!$B$5:$B$12, 0), MATCH("HP", 참고!$C$4:$J$4, 0))*M40
+INDEX(참고!$C$5:$J$12, MATCH("행운", 참고!$B$5:$B$12, 0), MATCH("HP", 참고!$C$4:$J$4, 0))*N40</f>
        <v>0</v>
      </c>
      <c r="P40">
        <f>INDEX(참고!$C$5:$J$12, MATCH($J$2, 참고!$B$5:$B$12, 0), MATCH(P$2, 참고!$C$4:$J$4, 0))</f>
        <v>3</v>
      </c>
      <c r="Q40">
        <f>INDEX(참고!$C$5:$J$12, MATCH($J$2, 참고!$B$5:$B$12, 0), MATCH(Q$2, 참고!$C$4:$J$4, 0))</f>
        <v>1</v>
      </c>
      <c r="R40">
        <f>INDEX(참고!$C$5:$J$12, MATCH($J$2, 참고!$B$5:$B$12, 0), MATCH(R$2, 참고!$C$4:$J$4, 0))</f>
        <v>0</v>
      </c>
      <c r="S40">
        <f>INDEX(참고!$C$5:$J$12, MATCH($J$2, 참고!$B$5:$B$12, 0), MATCH(S$2, 참고!$C$4:$J$4, 0))</f>
        <v>0</v>
      </c>
      <c r="T40">
        <f>INDEX(참고!$C$5:$J$12, MATCH($J$2, 참고!$B$5:$B$12, 0), MATCH(T$2, 참고!$C$4:$J$4, 0))</f>
        <v>0</v>
      </c>
      <c r="U40">
        <f>INDEX(참고!$C$5:$J$12, MATCH($J$2, 참고!$B$5:$B$12, 0), MATCH(U$2, 참고!$C$4:$J$4, 0))</f>
        <v>0</v>
      </c>
    </row>
    <row r="41" spans="1:21">
      <c r="A41" t="s">
        <v>166</v>
      </c>
      <c r="B41" s="9">
        <v>215</v>
      </c>
      <c r="C41">
        <f t="shared" si="0"/>
        <v>1070</v>
      </c>
      <c r="O41">
        <f>INDEX(참고!$C$5:$J$12, MATCH("생명", 참고!$B$5:$B$12, 0), MATCH("HP", 참고!$C$4:$J$4, 0))*J41
+INDEX(참고!$C$5:$J$12, MATCH("힘", 참고!$B$5:$B$12, 0), MATCH("HP", 참고!$C$4:$J$4, 0))*K41
+INDEX(참고!$C$5:$J$12, MATCH("근력", 참고!$B$5:$B$12, 0), MATCH("HP", 참고!$C$4:$J$4, 0))*L41
+INDEX(참고!$C$5:$J$12, MATCH("숙련도", 참고!$B$5:$B$12, 0), MATCH("HP", 참고!$C$4:$J$4, 0))*M41
+INDEX(참고!$C$5:$J$12, MATCH("행운", 참고!$B$5:$B$12, 0), MATCH("HP", 참고!$C$4:$J$4, 0))*N41</f>
        <v>0</v>
      </c>
      <c r="P41">
        <f>INDEX(참고!$C$5:$J$12, MATCH($J$2, 참고!$B$5:$B$12, 0), MATCH(P$2, 참고!$C$4:$J$4, 0))</f>
        <v>3</v>
      </c>
      <c r="Q41">
        <f>INDEX(참고!$C$5:$J$12, MATCH($J$2, 참고!$B$5:$B$12, 0), MATCH(Q$2, 참고!$C$4:$J$4, 0))</f>
        <v>1</v>
      </c>
      <c r="R41">
        <f>INDEX(참고!$C$5:$J$12, MATCH($J$2, 참고!$B$5:$B$12, 0), MATCH(R$2, 참고!$C$4:$J$4, 0))</f>
        <v>0</v>
      </c>
      <c r="S41">
        <f>INDEX(참고!$C$5:$J$12, MATCH($J$2, 참고!$B$5:$B$12, 0), MATCH(S$2, 참고!$C$4:$J$4, 0))</f>
        <v>0</v>
      </c>
      <c r="T41">
        <f>INDEX(참고!$C$5:$J$12, MATCH($J$2, 참고!$B$5:$B$12, 0), MATCH(T$2, 참고!$C$4:$J$4, 0))</f>
        <v>0</v>
      </c>
      <c r="U41">
        <f>INDEX(참고!$C$5:$J$12, MATCH($J$2, 참고!$B$5:$B$12, 0), MATCH(U$2, 참고!$C$4:$J$4, 0))</f>
        <v>0</v>
      </c>
    </row>
    <row r="42" spans="1:21">
      <c r="A42" t="s">
        <v>167</v>
      </c>
      <c r="B42" s="9">
        <v>230</v>
      </c>
      <c r="C42">
        <f t="shared" si="0"/>
        <v>1145</v>
      </c>
      <c r="O42">
        <f>INDEX(참고!$C$5:$J$12, MATCH("생명", 참고!$B$5:$B$12, 0), MATCH("HP", 참고!$C$4:$J$4, 0))*J42
+INDEX(참고!$C$5:$J$12, MATCH("힘", 참고!$B$5:$B$12, 0), MATCH("HP", 참고!$C$4:$J$4, 0))*K42
+INDEX(참고!$C$5:$J$12, MATCH("근력", 참고!$B$5:$B$12, 0), MATCH("HP", 참고!$C$4:$J$4, 0))*L42
+INDEX(참고!$C$5:$J$12, MATCH("숙련도", 참고!$B$5:$B$12, 0), MATCH("HP", 참고!$C$4:$J$4, 0))*M42
+INDEX(참고!$C$5:$J$12, MATCH("행운", 참고!$B$5:$B$12, 0), MATCH("HP", 참고!$C$4:$J$4, 0))*N42</f>
        <v>0</v>
      </c>
      <c r="P42">
        <f>INDEX(참고!$C$5:$J$12, MATCH($J$2, 참고!$B$5:$B$12, 0), MATCH(P$2, 참고!$C$4:$J$4, 0))</f>
        <v>3</v>
      </c>
      <c r="Q42">
        <f>INDEX(참고!$C$5:$J$12, MATCH($J$2, 참고!$B$5:$B$12, 0), MATCH(Q$2, 참고!$C$4:$J$4, 0))</f>
        <v>1</v>
      </c>
      <c r="R42">
        <f>INDEX(참고!$C$5:$J$12, MATCH($J$2, 참고!$B$5:$B$12, 0), MATCH(R$2, 참고!$C$4:$J$4, 0))</f>
        <v>0</v>
      </c>
      <c r="S42">
        <f>INDEX(참고!$C$5:$J$12, MATCH($J$2, 참고!$B$5:$B$12, 0), MATCH(S$2, 참고!$C$4:$J$4, 0))</f>
        <v>0</v>
      </c>
      <c r="T42">
        <f>INDEX(참고!$C$5:$J$12, MATCH($J$2, 참고!$B$5:$B$12, 0), MATCH(T$2, 참고!$C$4:$J$4, 0))</f>
        <v>0</v>
      </c>
      <c r="U42">
        <f>INDEX(참고!$C$5:$J$12, MATCH($J$2, 참고!$B$5:$B$12, 0), MATCH(U$2, 참고!$C$4:$J$4, 0))</f>
        <v>0</v>
      </c>
    </row>
    <row r="43" spans="1:21">
      <c r="A43" t="s">
        <v>168</v>
      </c>
      <c r="B43" s="9">
        <v>245</v>
      </c>
      <c r="C43">
        <f t="shared" si="0"/>
        <v>1220</v>
      </c>
      <c r="O43">
        <f>INDEX(참고!$C$5:$J$12, MATCH("생명", 참고!$B$5:$B$12, 0), MATCH("HP", 참고!$C$4:$J$4, 0))*J43
+INDEX(참고!$C$5:$J$12, MATCH("힘", 참고!$B$5:$B$12, 0), MATCH("HP", 참고!$C$4:$J$4, 0))*K43
+INDEX(참고!$C$5:$J$12, MATCH("근력", 참고!$B$5:$B$12, 0), MATCH("HP", 참고!$C$4:$J$4, 0))*L43
+INDEX(참고!$C$5:$J$12, MATCH("숙련도", 참고!$B$5:$B$12, 0), MATCH("HP", 참고!$C$4:$J$4, 0))*M43
+INDEX(참고!$C$5:$J$12, MATCH("행운", 참고!$B$5:$B$12, 0), MATCH("HP", 참고!$C$4:$J$4, 0))*N43</f>
        <v>0</v>
      </c>
      <c r="P43">
        <f>INDEX(참고!$C$5:$J$12, MATCH($J$2, 참고!$B$5:$B$12, 0), MATCH(P$2, 참고!$C$4:$J$4, 0))</f>
        <v>3</v>
      </c>
      <c r="Q43">
        <f>INDEX(참고!$C$5:$J$12, MATCH($J$2, 참고!$B$5:$B$12, 0), MATCH(Q$2, 참고!$C$4:$J$4, 0))</f>
        <v>1</v>
      </c>
      <c r="R43">
        <f>INDEX(참고!$C$5:$J$12, MATCH($J$2, 참고!$B$5:$B$12, 0), MATCH(R$2, 참고!$C$4:$J$4, 0))</f>
        <v>0</v>
      </c>
      <c r="S43">
        <f>INDEX(참고!$C$5:$J$12, MATCH($J$2, 참고!$B$5:$B$12, 0), MATCH(S$2, 참고!$C$4:$J$4, 0))</f>
        <v>0</v>
      </c>
      <c r="T43">
        <f>INDEX(참고!$C$5:$J$12, MATCH($J$2, 참고!$B$5:$B$12, 0), MATCH(T$2, 참고!$C$4:$J$4, 0))</f>
        <v>0</v>
      </c>
      <c r="U43">
        <f>INDEX(참고!$C$5:$J$12, MATCH($J$2, 참고!$B$5:$B$12, 0), MATCH(U$2, 참고!$C$4:$J$4, 0))</f>
        <v>0</v>
      </c>
    </row>
    <row r="44" spans="1:21">
      <c r="A44" t="s">
        <v>169</v>
      </c>
      <c r="B44" s="9">
        <v>260</v>
      </c>
      <c r="C44">
        <f t="shared" si="0"/>
        <v>1295</v>
      </c>
      <c r="O44">
        <f>INDEX(참고!$C$5:$J$12, MATCH("생명", 참고!$B$5:$B$12, 0), MATCH("HP", 참고!$C$4:$J$4, 0))*J44
+INDEX(참고!$C$5:$J$12, MATCH("힘", 참고!$B$5:$B$12, 0), MATCH("HP", 참고!$C$4:$J$4, 0))*K44
+INDEX(참고!$C$5:$J$12, MATCH("근력", 참고!$B$5:$B$12, 0), MATCH("HP", 참고!$C$4:$J$4, 0))*L44
+INDEX(참고!$C$5:$J$12, MATCH("숙련도", 참고!$B$5:$B$12, 0), MATCH("HP", 참고!$C$4:$J$4, 0))*M44
+INDEX(참고!$C$5:$J$12, MATCH("행운", 참고!$B$5:$B$12, 0), MATCH("HP", 참고!$C$4:$J$4, 0))*N44</f>
        <v>0</v>
      </c>
      <c r="P44">
        <f>INDEX(참고!$C$5:$J$12, MATCH($J$2, 참고!$B$5:$B$12, 0), MATCH(P$2, 참고!$C$4:$J$4, 0))</f>
        <v>3</v>
      </c>
      <c r="Q44">
        <f>INDEX(참고!$C$5:$J$12, MATCH($J$2, 참고!$B$5:$B$12, 0), MATCH(Q$2, 참고!$C$4:$J$4, 0))</f>
        <v>1</v>
      </c>
      <c r="R44">
        <f>INDEX(참고!$C$5:$J$12, MATCH($J$2, 참고!$B$5:$B$12, 0), MATCH(R$2, 참고!$C$4:$J$4, 0))</f>
        <v>0</v>
      </c>
      <c r="S44">
        <f>INDEX(참고!$C$5:$J$12, MATCH($J$2, 참고!$B$5:$B$12, 0), MATCH(S$2, 참고!$C$4:$J$4, 0))</f>
        <v>0</v>
      </c>
      <c r="T44">
        <f>INDEX(참고!$C$5:$J$12, MATCH($J$2, 참고!$B$5:$B$12, 0), MATCH(T$2, 참고!$C$4:$J$4, 0))</f>
        <v>0</v>
      </c>
      <c r="U44">
        <f>INDEX(참고!$C$5:$J$12, MATCH($J$2, 참고!$B$5:$B$12, 0), MATCH(U$2, 참고!$C$4:$J$4, 0))</f>
        <v>0</v>
      </c>
    </row>
    <row r="45" spans="1:21">
      <c r="A45" t="s">
        <v>170</v>
      </c>
      <c r="B45" s="9">
        <v>300</v>
      </c>
      <c r="C45">
        <f t="shared" si="0"/>
        <v>1495</v>
      </c>
      <c r="O45">
        <f>INDEX(참고!$C$5:$J$12, MATCH("생명", 참고!$B$5:$B$12, 0), MATCH("HP", 참고!$C$4:$J$4, 0))*J45
+INDEX(참고!$C$5:$J$12, MATCH("힘", 참고!$B$5:$B$12, 0), MATCH("HP", 참고!$C$4:$J$4, 0))*K45
+INDEX(참고!$C$5:$J$12, MATCH("근력", 참고!$B$5:$B$12, 0), MATCH("HP", 참고!$C$4:$J$4, 0))*L45
+INDEX(참고!$C$5:$J$12, MATCH("숙련도", 참고!$B$5:$B$12, 0), MATCH("HP", 참고!$C$4:$J$4, 0))*M45
+INDEX(참고!$C$5:$J$12, MATCH("행운", 참고!$B$5:$B$12, 0), MATCH("HP", 참고!$C$4:$J$4, 0))*N45</f>
        <v>0</v>
      </c>
      <c r="P45">
        <f>INDEX(참고!$C$5:$J$12, MATCH($J$2, 참고!$B$5:$B$12, 0), MATCH(P$2, 참고!$C$4:$J$4, 0))</f>
        <v>3</v>
      </c>
      <c r="Q45">
        <f>INDEX(참고!$C$5:$J$12, MATCH($J$2, 참고!$B$5:$B$12, 0), MATCH(Q$2, 참고!$C$4:$J$4, 0))</f>
        <v>1</v>
      </c>
      <c r="R45">
        <f>INDEX(참고!$C$5:$J$12, MATCH($J$2, 참고!$B$5:$B$12, 0), MATCH(R$2, 참고!$C$4:$J$4, 0))</f>
        <v>0</v>
      </c>
      <c r="S45">
        <f>INDEX(참고!$C$5:$J$12, MATCH($J$2, 참고!$B$5:$B$12, 0), MATCH(S$2, 참고!$C$4:$J$4, 0))</f>
        <v>0</v>
      </c>
      <c r="T45">
        <f>INDEX(참고!$C$5:$J$12, MATCH($J$2, 참고!$B$5:$B$12, 0), MATCH(T$2, 참고!$C$4:$J$4, 0))</f>
        <v>0</v>
      </c>
      <c r="U45">
        <f>INDEX(참고!$C$5:$J$12, MATCH($J$2, 참고!$B$5:$B$12, 0), MATCH(U$2, 참고!$C$4:$J$4, 0))</f>
        <v>0</v>
      </c>
    </row>
    <row r="46" spans="1:21">
      <c r="A46" t="s">
        <v>171</v>
      </c>
      <c r="B46" s="9">
        <v>330</v>
      </c>
      <c r="C46">
        <f t="shared" si="0"/>
        <v>1645</v>
      </c>
      <c r="O46">
        <f>INDEX(참고!$C$5:$J$12, MATCH("생명", 참고!$B$5:$B$12, 0), MATCH("HP", 참고!$C$4:$J$4, 0))*J46
+INDEX(참고!$C$5:$J$12, MATCH("힘", 참고!$B$5:$B$12, 0), MATCH("HP", 참고!$C$4:$J$4, 0))*K46
+INDEX(참고!$C$5:$J$12, MATCH("근력", 참고!$B$5:$B$12, 0), MATCH("HP", 참고!$C$4:$J$4, 0))*L46
+INDEX(참고!$C$5:$J$12, MATCH("숙련도", 참고!$B$5:$B$12, 0), MATCH("HP", 참고!$C$4:$J$4, 0))*M46
+INDEX(참고!$C$5:$J$12, MATCH("행운", 참고!$B$5:$B$12, 0), MATCH("HP", 참고!$C$4:$J$4, 0))*N46</f>
        <v>0</v>
      </c>
      <c r="P46">
        <f>INDEX(참고!$C$5:$J$12, MATCH($J$2, 참고!$B$5:$B$12, 0), MATCH(P$2, 참고!$C$4:$J$4, 0))</f>
        <v>3</v>
      </c>
      <c r="Q46">
        <f>INDEX(참고!$C$5:$J$12, MATCH($J$2, 참고!$B$5:$B$12, 0), MATCH(Q$2, 참고!$C$4:$J$4, 0))</f>
        <v>1</v>
      </c>
      <c r="R46">
        <f>INDEX(참고!$C$5:$J$12, MATCH($J$2, 참고!$B$5:$B$12, 0), MATCH(R$2, 참고!$C$4:$J$4, 0))</f>
        <v>0</v>
      </c>
      <c r="S46">
        <f>INDEX(참고!$C$5:$J$12, MATCH($J$2, 참고!$B$5:$B$12, 0), MATCH(S$2, 참고!$C$4:$J$4, 0))</f>
        <v>0</v>
      </c>
      <c r="T46">
        <f>INDEX(참고!$C$5:$J$12, MATCH($J$2, 참고!$B$5:$B$12, 0), MATCH(T$2, 참고!$C$4:$J$4, 0))</f>
        <v>0</v>
      </c>
      <c r="U46">
        <f>INDEX(참고!$C$5:$J$12, MATCH($J$2, 참고!$B$5:$B$12, 0), MATCH(U$2, 참고!$C$4:$J$4, 0))</f>
        <v>0</v>
      </c>
    </row>
    <row r="47" spans="1:21">
      <c r="A47" t="s">
        <v>172</v>
      </c>
      <c r="B47" s="9">
        <v>360</v>
      </c>
      <c r="C47">
        <f t="shared" si="0"/>
        <v>1795</v>
      </c>
      <c r="O47">
        <f>INDEX(참고!$C$5:$J$12, MATCH("생명", 참고!$B$5:$B$12, 0), MATCH("HP", 참고!$C$4:$J$4, 0))*J47
+INDEX(참고!$C$5:$J$12, MATCH("힘", 참고!$B$5:$B$12, 0), MATCH("HP", 참고!$C$4:$J$4, 0))*K47
+INDEX(참고!$C$5:$J$12, MATCH("근력", 참고!$B$5:$B$12, 0), MATCH("HP", 참고!$C$4:$J$4, 0))*L47
+INDEX(참고!$C$5:$J$12, MATCH("숙련도", 참고!$B$5:$B$12, 0), MATCH("HP", 참고!$C$4:$J$4, 0))*M47
+INDEX(참고!$C$5:$J$12, MATCH("행운", 참고!$B$5:$B$12, 0), MATCH("HP", 참고!$C$4:$J$4, 0))*N47</f>
        <v>0</v>
      </c>
      <c r="P47">
        <f>INDEX(참고!$C$5:$J$12, MATCH($J$2, 참고!$B$5:$B$12, 0), MATCH(P$2, 참고!$C$4:$J$4, 0))</f>
        <v>3</v>
      </c>
      <c r="Q47">
        <f>INDEX(참고!$C$5:$J$12, MATCH($J$2, 참고!$B$5:$B$12, 0), MATCH(Q$2, 참고!$C$4:$J$4, 0))</f>
        <v>1</v>
      </c>
      <c r="R47">
        <f>INDEX(참고!$C$5:$J$12, MATCH($J$2, 참고!$B$5:$B$12, 0), MATCH(R$2, 참고!$C$4:$J$4, 0))</f>
        <v>0</v>
      </c>
      <c r="S47">
        <f>INDEX(참고!$C$5:$J$12, MATCH($J$2, 참고!$B$5:$B$12, 0), MATCH(S$2, 참고!$C$4:$J$4, 0))</f>
        <v>0</v>
      </c>
      <c r="T47">
        <f>INDEX(참고!$C$5:$J$12, MATCH($J$2, 참고!$B$5:$B$12, 0), MATCH(T$2, 참고!$C$4:$J$4, 0))</f>
        <v>0</v>
      </c>
      <c r="U47">
        <f>INDEX(참고!$C$5:$J$12, MATCH($J$2, 참고!$B$5:$B$12, 0), MATCH(U$2, 참고!$C$4:$J$4, 0))</f>
        <v>0</v>
      </c>
    </row>
    <row r="48" spans="1:21">
      <c r="A48" t="s">
        <v>173</v>
      </c>
      <c r="B48" s="9">
        <v>390</v>
      </c>
      <c r="C48">
        <f t="shared" si="0"/>
        <v>1945</v>
      </c>
      <c r="O48">
        <f>INDEX(참고!$C$5:$J$12, MATCH("생명", 참고!$B$5:$B$12, 0), MATCH("HP", 참고!$C$4:$J$4, 0))*J48
+INDEX(참고!$C$5:$J$12, MATCH("힘", 참고!$B$5:$B$12, 0), MATCH("HP", 참고!$C$4:$J$4, 0))*K48
+INDEX(참고!$C$5:$J$12, MATCH("근력", 참고!$B$5:$B$12, 0), MATCH("HP", 참고!$C$4:$J$4, 0))*L48
+INDEX(참고!$C$5:$J$12, MATCH("숙련도", 참고!$B$5:$B$12, 0), MATCH("HP", 참고!$C$4:$J$4, 0))*M48
+INDEX(참고!$C$5:$J$12, MATCH("행운", 참고!$B$5:$B$12, 0), MATCH("HP", 참고!$C$4:$J$4, 0))*N48</f>
        <v>0</v>
      </c>
      <c r="P48">
        <f>INDEX(참고!$C$5:$J$12, MATCH($J$2, 참고!$B$5:$B$12, 0), MATCH(P$2, 참고!$C$4:$J$4, 0))</f>
        <v>3</v>
      </c>
      <c r="Q48">
        <f>INDEX(참고!$C$5:$J$12, MATCH($J$2, 참고!$B$5:$B$12, 0), MATCH(Q$2, 참고!$C$4:$J$4, 0))</f>
        <v>1</v>
      </c>
      <c r="R48">
        <f>INDEX(참고!$C$5:$J$12, MATCH($J$2, 참고!$B$5:$B$12, 0), MATCH(R$2, 참고!$C$4:$J$4, 0))</f>
        <v>0</v>
      </c>
      <c r="S48">
        <f>INDEX(참고!$C$5:$J$12, MATCH($J$2, 참고!$B$5:$B$12, 0), MATCH(S$2, 참고!$C$4:$J$4, 0))</f>
        <v>0</v>
      </c>
      <c r="T48">
        <f>INDEX(참고!$C$5:$J$12, MATCH($J$2, 참고!$B$5:$B$12, 0), MATCH(T$2, 참고!$C$4:$J$4, 0))</f>
        <v>0</v>
      </c>
      <c r="U48">
        <f>INDEX(참고!$C$5:$J$12, MATCH($J$2, 참고!$B$5:$B$12, 0), MATCH(U$2, 참고!$C$4:$J$4, 0))</f>
        <v>0</v>
      </c>
    </row>
    <row r="49" spans="1:21">
      <c r="A49" t="s">
        <v>174</v>
      </c>
      <c r="B49" s="9">
        <v>425</v>
      </c>
      <c r="C49">
        <f t="shared" si="0"/>
        <v>2120</v>
      </c>
      <c r="O49">
        <f>INDEX(참고!$C$5:$J$12, MATCH("생명", 참고!$B$5:$B$12, 0), MATCH("HP", 참고!$C$4:$J$4, 0))*J49
+INDEX(참고!$C$5:$J$12, MATCH("힘", 참고!$B$5:$B$12, 0), MATCH("HP", 참고!$C$4:$J$4, 0))*K49
+INDEX(참고!$C$5:$J$12, MATCH("근력", 참고!$B$5:$B$12, 0), MATCH("HP", 참고!$C$4:$J$4, 0))*L49
+INDEX(참고!$C$5:$J$12, MATCH("숙련도", 참고!$B$5:$B$12, 0), MATCH("HP", 참고!$C$4:$J$4, 0))*M49
+INDEX(참고!$C$5:$J$12, MATCH("행운", 참고!$B$5:$B$12, 0), MATCH("HP", 참고!$C$4:$J$4, 0))*N49</f>
        <v>0</v>
      </c>
      <c r="P49">
        <f>INDEX(참고!$C$5:$J$12, MATCH($J$2, 참고!$B$5:$B$12, 0), MATCH(P$2, 참고!$C$4:$J$4, 0))</f>
        <v>3</v>
      </c>
      <c r="Q49">
        <f>INDEX(참고!$C$5:$J$12, MATCH($J$2, 참고!$B$5:$B$12, 0), MATCH(Q$2, 참고!$C$4:$J$4, 0))</f>
        <v>1</v>
      </c>
      <c r="R49">
        <f>INDEX(참고!$C$5:$J$12, MATCH($J$2, 참고!$B$5:$B$12, 0), MATCH(R$2, 참고!$C$4:$J$4, 0))</f>
        <v>0</v>
      </c>
      <c r="S49">
        <f>INDEX(참고!$C$5:$J$12, MATCH($J$2, 참고!$B$5:$B$12, 0), MATCH(S$2, 참고!$C$4:$J$4, 0))</f>
        <v>0</v>
      </c>
      <c r="T49">
        <f>INDEX(참고!$C$5:$J$12, MATCH($J$2, 참고!$B$5:$B$12, 0), MATCH(T$2, 참고!$C$4:$J$4, 0))</f>
        <v>0</v>
      </c>
      <c r="U49">
        <f>INDEX(참고!$C$5:$J$12, MATCH($J$2, 참고!$B$5:$B$12, 0), MATCH(U$2, 참고!$C$4:$J$4, 0))</f>
        <v>0</v>
      </c>
    </row>
    <row r="50" spans="1:21">
      <c r="A50" t="s">
        <v>175</v>
      </c>
      <c r="B50" s="9">
        <v>450</v>
      </c>
      <c r="C50">
        <f t="shared" si="0"/>
        <v>2245</v>
      </c>
      <c r="O50">
        <f>INDEX(참고!$C$5:$J$12, MATCH("생명", 참고!$B$5:$B$12, 0), MATCH("HP", 참고!$C$4:$J$4, 0))*J50
+INDEX(참고!$C$5:$J$12, MATCH("힘", 참고!$B$5:$B$12, 0), MATCH("HP", 참고!$C$4:$J$4, 0))*K50
+INDEX(참고!$C$5:$J$12, MATCH("근력", 참고!$B$5:$B$12, 0), MATCH("HP", 참고!$C$4:$J$4, 0))*L50
+INDEX(참고!$C$5:$J$12, MATCH("숙련도", 참고!$B$5:$B$12, 0), MATCH("HP", 참고!$C$4:$J$4, 0))*M50
+INDEX(참고!$C$5:$J$12, MATCH("행운", 참고!$B$5:$B$12, 0), MATCH("HP", 참고!$C$4:$J$4, 0))*N50</f>
        <v>0</v>
      </c>
      <c r="P50">
        <f>INDEX(참고!$C$5:$J$12, MATCH($J$2, 참고!$B$5:$B$12, 0), MATCH(P$2, 참고!$C$4:$J$4, 0))</f>
        <v>3</v>
      </c>
      <c r="Q50">
        <f>INDEX(참고!$C$5:$J$12, MATCH($J$2, 참고!$B$5:$B$12, 0), MATCH(Q$2, 참고!$C$4:$J$4, 0))</f>
        <v>1</v>
      </c>
      <c r="R50">
        <f>INDEX(참고!$C$5:$J$12, MATCH($J$2, 참고!$B$5:$B$12, 0), MATCH(R$2, 참고!$C$4:$J$4, 0))</f>
        <v>0</v>
      </c>
      <c r="S50">
        <f>INDEX(참고!$C$5:$J$12, MATCH($J$2, 참고!$B$5:$B$12, 0), MATCH(S$2, 참고!$C$4:$J$4, 0))</f>
        <v>0</v>
      </c>
      <c r="T50">
        <f>INDEX(참고!$C$5:$J$12, MATCH($J$2, 참고!$B$5:$B$12, 0), MATCH(T$2, 참고!$C$4:$J$4, 0))</f>
        <v>0</v>
      </c>
      <c r="U50">
        <f>INDEX(참고!$C$5:$J$12, MATCH($J$2, 참고!$B$5:$B$12, 0), MATCH(U$2, 참고!$C$4:$J$4, 0))</f>
        <v>0</v>
      </c>
    </row>
    <row r="51" spans="1:21">
      <c r="A51" t="s">
        <v>176</v>
      </c>
      <c r="B51" s="9">
        <v>480</v>
      </c>
      <c r="C51">
        <f t="shared" si="0"/>
        <v>2395</v>
      </c>
      <c r="O51">
        <f>INDEX(참고!$C$5:$J$12, MATCH("생명", 참고!$B$5:$B$12, 0), MATCH("HP", 참고!$C$4:$J$4, 0))*J51
+INDEX(참고!$C$5:$J$12, MATCH("힘", 참고!$B$5:$B$12, 0), MATCH("HP", 참고!$C$4:$J$4, 0))*K51
+INDEX(참고!$C$5:$J$12, MATCH("근력", 참고!$B$5:$B$12, 0), MATCH("HP", 참고!$C$4:$J$4, 0))*L51
+INDEX(참고!$C$5:$J$12, MATCH("숙련도", 참고!$B$5:$B$12, 0), MATCH("HP", 참고!$C$4:$J$4, 0))*M51
+INDEX(참고!$C$5:$J$12, MATCH("행운", 참고!$B$5:$B$12, 0), MATCH("HP", 참고!$C$4:$J$4, 0))*N51</f>
        <v>0</v>
      </c>
      <c r="P51">
        <f>INDEX(참고!$C$5:$J$12, MATCH($J$2, 참고!$B$5:$B$12, 0), MATCH(P$2, 참고!$C$4:$J$4, 0))</f>
        <v>3</v>
      </c>
      <c r="Q51">
        <f>INDEX(참고!$C$5:$J$12, MATCH($J$2, 참고!$B$5:$B$12, 0), MATCH(Q$2, 참고!$C$4:$J$4, 0))</f>
        <v>1</v>
      </c>
      <c r="R51">
        <f>INDEX(참고!$C$5:$J$12, MATCH($J$2, 참고!$B$5:$B$12, 0), MATCH(R$2, 참고!$C$4:$J$4, 0))</f>
        <v>0</v>
      </c>
      <c r="S51">
        <f>INDEX(참고!$C$5:$J$12, MATCH($J$2, 참고!$B$5:$B$12, 0), MATCH(S$2, 참고!$C$4:$J$4, 0))</f>
        <v>0</v>
      </c>
      <c r="T51">
        <f>INDEX(참고!$C$5:$J$12, MATCH($J$2, 참고!$B$5:$B$12, 0), MATCH(T$2, 참고!$C$4:$J$4, 0))</f>
        <v>0</v>
      </c>
      <c r="U51">
        <f>INDEX(참고!$C$5:$J$12, MATCH($J$2, 참고!$B$5:$B$12, 0), MATCH(U$2, 참고!$C$4:$J$4, 0))</f>
        <v>0</v>
      </c>
    </row>
    <row r="52" spans="1:21">
      <c r="A52" t="s">
        <v>177</v>
      </c>
      <c r="B52" s="9">
        <v>515</v>
      </c>
      <c r="C52">
        <f t="shared" si="0"/>
        <v>2570</v>
      </c>
      <c r="O52">
        <f>INDEX(참고!$C$5:$J$12, MATCH("생명", 참고!$B$5:$B$12, 0), MATCH("HP", 참고!$C$4:$J$4, 0))*J52
+INDEX(참고!$C$5:$J$12, MATCH("힘", 참고!$B$5:$B$12, 0), MATCH("HP", 참고!$C$4:$J$4, 0))*K52
+INDEX(참고!$C$5:$J$12, MATCH("근력", 참고!$B$5:$B$12, 0), MATCH("HP", 참고!$C$4:$J$4, 0))*L52
+INDEX(참고!$C$5:$J$12, MATCH("숙련도", 참고!$B$5:$B$12, 0), MATCH("HP", 참고!$C$4:$J$4, 0))*M52
+INDEX(참고!$C$5:$J$12, MATCH("행운", 참고!$B$5:$B$12, 0), MATCH("HP", 참고!$C$4:$J$4, 0))*N52</f>
        <v>0</v>
      </c>
      <c r="P52">
        <f>INDEX(참고!$C$5:$J$12, MATCH($J$2, 참고!$B$5:$B$12, 0), MATCH(P$2, 참고!$C$4:$J$4, 0))</f>
        <v>3</v>
      </c>
      <c r="Q52">
        <f>INDEX(참고!$C$5:$J$12, MATCH($J$2, 참고!$B$5:$B$12, 0), MATCH(Q$2, 참고!$C$4:$J$4, 0))</f>
        <v>1</v>
      </c>
      <c r="R52">
        <f>INDEX(참고!$C$5:$J$12, MATCH($J$2, 참고!$B$5:$B$12, 0), MATCH(R$2, 참고!$C$4:$J$4, 0))</f>
        <v>0</v>
      </c>
      <c r="S52">
        <f>INDEX(참고!$C$5:$J$12, MATCH($J$2, 참고!$B$5:$B$12, 0), MATCH(S$2, 참고!$C$4:$J$4, 0))</f>
        <v>0</v>
      </c>
      <c r="T52">
        <f>INDEX(참고!$C$5:$J$12, MATCH($J$2, 참고!$B$5:$B$12, 0), MATCH(T$2, 참고!$C$4:$J$4, 0))</f>
        <v>0</v>
      </c>
      <c r="U52">
        <f>INDEX(참고!$C$5:$J$12, MATCH($J$2, 참고!$B$5:$B$12, 0), MATCH(U$2, 참고!$C$4:$J$4, 0))</f>
        <v>0</v>
      </c>
    </row>
    <row r="53" spans="1:21">
      <c r="A53" t="s">
        <v>178</v>
      </c>
      <c r="B53" s="9">
        <v>550</v>
      </c>
      <c r="C53">
        <f t="shared" si="0"/>
        <v>2745</v>
      </c>
      <c r="O53">
        <f>INDEX(참고!$C$5:$J$12, MATCH("생명", 참고!$B$5:$B$12, 0), MATCH("HP", 참고!$C$4:$J$4, 0))*J53
+INDEX(참고!$C$5:$J$12, MATCH("힘", 참고!$B$5:$B$12, 0), MATCH("HP", 참고!$C$4:$J$4, 0))*K53
+INDEX(참고!$C$5:$J$12, MATCH("근력", 참고!$B$5:$B$12, 0), MATCH("HP", 참고!$C$4:$J$4, 0))*L53
+INDEX(참고!$C$5:$J$12, MATCH("숙련도", 참고!$B$5:$B$12, 0), MATCH("HP", 참고!$C$4:$J$4, 0))*M53
+INDEX(참고!$C$5:$J$12, MATCH("행운", 참고!$B$5:$B$12, 0), MATCH("HP", 참고!$C$4:$J$4, 0))*N53</f>
        <v>0</v>
      </c>
      <c r="P53">
        <f>INDEX(참고!$C$5:$J$12, MATCH($J$2, 참고!$B$5:$B$12, 0), MATCH(P$2, 참고!$C$4:$J$4, 0))</f>
        <v>3</v>
      </c>
      <c r="Q53">
        <f>INDEX(참고!$C$5:$J$12, MATCH($J$2, 참고!$B$5:$B$12, 0), MATCH(Q$2, 참고!$C$4:$J$4, 0))</f>
        <v>1</v>
      </c>
      <c r="R53">
        <f>INDEX(참고!$C$5:$J$12, MATCH($J$2, 참고!$B$5:$B$12, 0), MATCH(R$2, 참고!$C$4:$J$4, 0))</f>
        <v>0</v>
      </c>
      <c r="S53">
        <f>INDEX(참고!$C$5:$J$12, MATCH($J$2, 참고!$B$5:$B$12, 0), MATCH(S$2, 참고!$C$4:$J$4, 0))</f>
        <v>0</v>
      </c>
      <c r="T53">
        <f>INDEX(참고!$C$5:$J$12, MATCH($J$2, 참고!$B$5:$B$12, 0), MATCH(T$2, 참고!$C$4:$J$4, 0))</f>
        <v>0</v>
      </c>
      <c r="U53">
        <f>INDEX(참고!$C$5:$J$12, MATCH($J$2, 참고!$B$5:$B$12, 0), MATCH(U$2, 참고!$C$4:$J$4, 0))</f>
        <v>0</v>
      </c>
    </row>
    <row r="54" spans="1:21">
      <c r="A54" t="s">
        <v>179</v>
      </c>
      <c r="B54" s="9">
        <v>600</v>
      </c>
      <c r="C54">
        <f t="shared" si="0"/>
        <v>2995</v>
      </c>
      <c r="O54">
        <f>INDEX(참고!$C$5:$J$12, MATCH("생명", 참고!$B$5:$B$12, 0), MATCH("HP", 참고!$C$4:$J$4, 0))*J54
+INDEX(참고!$C$5:$J$12, MATCH("힘", 참고!$B$5:$B$12, 0), MATCH("HP", 참고!$C$4:$J$4, 0))*K54
+INDEX(참고!$C$5:$J$12, MATCH("근력", 참고!$B$5:$B$12, 0), MATCH("HP", 참고!$C$4:$J$4, 0))*L54
+INDEX(참고!$C$5:$J$12, MATCH("숙련도", 참고!$B$5:$B$12, 0), MATCH("HP", 참고!$C$4:$J$4, 0))*M54
+INDEX(참고!$C$5:$J$12, MATCH("행운", 참고!$B$5:$B$12, 0), MATCH("HP", 참고!$C$4:$J$4, 0))*N54</f>
        <v>0</v>
      </c>
      <c r="P54">
        <f>INDEX(참고!$C$5:$J$12, MATCH($J$2, 참고!$B$5:$B$12, 0), MATCH(P$2, 참고!$C$4:$J$4, 0))</f>
        <v>3</v>
      </c>
      <c r="Q54">
        <f>INDEX(참고!$C$5:$J$12, MATCH($J$2, 참고!$B$5:$B$12, 0), MATCH(Q$2, 참고!$C$4:$J$4, 0))</f>
        <v>1</v>
      </c>
      <c r="R54">
        <f>INDEX(참고!$C$5:$J$12, MATCH($J$2, 참고!$B$5:$B$12, 0), MATCH(R$2, 참고!$C$4:$J$4, 0))</f>
        <v>0</v>
      </c>
      <c r="S54">
        <f>INDEX(참고!$C$5:$J$12, MATCH($J$2, 참고!$B$5:$B$12, 0), MATCH(S$2, 참고!$C$4:$J$4, 0))</f>
        <v>0</v>
      </c>
      <c r="T54">
        <f>INDEX(참고!$C$5:$J$12, MATCH($J$2, 참고!$B$5:$B$12, 0), MATCH(T$2, 참고!$C$4:$J$4, 0))</f>
        <v>0</v>
      </c>
      <c r="U54">
        <f>INDEX(참고!$C$5:$J$12, MATCH($J$2, 참고!$B$5:$B$12, 0), MATCH(U$2, 참고!$C$4:$J$4, 0))</f>
        <v>0</v>
      </c>
    </row>
    <row r="55" spans="1:21">
      <c r="A55" t="s">
        <v>180</v>
      </c>
      <c r="B55" s="9">
        <v>650</v>
      </c>
      <c r="C55">
        <f t="shared" si="0"/>
        <v>3245</v>
      </c>
      <c r="O55">
        <f>INDEX(참고!$C$5:$J$12, MATCH("생명", 참고!$B$5:$B$12, 0), MATCH("HP", 참고!$C$4:$J$4, 0))*J55
+INDEX(참고!$C$5:$J$12, MATCH("힘", 참고!$B$5:$B$12, 0), MATCH("HP", 참고!$C$4:$J$4, 0))*K55
+INDEX(참고!$C$5:$J$12, MATCH("근력", 참고!$B$5:$B$12, 0), MATCH("HP", 참고!$C$4:$J$4, 0))*L55
+INDEX(참고!$C$5:$J$12, MATCH("숙련도", 참고!$B$5:$B$12, 0), MATCH("HP", 참고!$C$4:$J$4, 0))*M55
+INDEX(참고!$C$5:$J$12, MATCH("행운", 참고!$B$5:$B$12, 0), MATCH("HP", 참고!$C$4:$J$4, 0))*N55</f>
        <v>0</v>
      </c>
      <c r="P55">
        <f>INDEX(참고!$C$5:$J$12, MATCH($J$2, 참고!$B$5:$B$12, 0), MATCH(P$2, 참고!$C$4:$J$4, 0))</f>
        <v>3</v>
      </c>
      <c r="Q55">
        <f>INDEX(참고!$C$5:$J$12, MATCH($J$2, 참고!$B$5:$B$12, 0), MATCH(Q$2, 참고!$C$4:$J$4, 0))</f>
        <v>1</v>
      </c>
      <c r="R55">
        <f>INDEX(참고!$C$5:$J$12, MATCH($J$2, 참고!$B$5:$B$12, 0), MATCH(R$2, 참고!$C$4:$J$4, 0))</f>
        <v>0</v>
      </c>
      <c r="S55">
        <f>INDEX(참고!$C$5:$J$12, MATCH($J$2, 참고!$B$5:$B$12, 0), MATCH(S$2, 참고!$C$4:$J$4, 0))</f>
        <v>0</v>
      </c>
      <c r="T55">
        <f>INDEX(참고!$C$5:$J$12, MATCH($J$2, 참고!$B$5:$B$12, 0), MATCH(T$2, 참고!$C$4:$J$4, 0))</f>
        <v>0</v>
      </c>
      <c r="U55">
        <f>INDEX(참고!$C$5:$J$12, MATCH($J$2, 참고!$B$5:$B$12, 0), MATCH(U$2, 참고!$C$4:$J$4, 0))</f>
        <v>0</v>
      </c>
    </row>
    <row r="56" spans="1:21">
      <c r="A56" t="s">
        <v>181</v>
      </c>
      <c r="B56" s="9">
        <v>700</v>
      </c>
      <c r="C56">
        <f t="shared" si="0"/>
        <v>3495</v>
      </c>
      <c r="O56">
        <f>INDEX(참고!$C$5:$J$12, MATCH("생명", 참고!$B$5:$B$12, 0), MATCH("HP", 참고!$C$4:$J$4, 0))*J56
+INDEX(참고!$C$5:$J$12, MATCH("힘", 참고!$B$5:$B$12, 0), MATCH("HP", 참고!$C$4:$J$4, 0))*K56
+INDEX(참고!$C$5:$J$12, MATCH("근력", 참고!$B$5:$B$12, 0), MATCH("HP", 참고!$C$4:$J$4, 0))*L56
+INDEX(참고!$C$5:$J$12, MATCH("숙련도", 참고!$B$5:$B$12, 0), MATCH("HP", 참고!$C$4:$J$4, 0))*M56
+INDEX(참고!$C$5:$J$12, MATCH("행운", 참고!$B$5:$B$12, 0), MATCH("HP", 참고!$C$4:$J$4, 0))*N56</f>
        <v>0</v>
      </c>
      <c r="P56">
        <f>INDEX(참고!$C$5:$J$12, MATCH($J$2, 참고!$B$5:$B$12, 0), MATCH(P$2, 참고!$C$4:$J$4, 0))</f>
        <v>3</v>
      </c>
      <c r="Q56">
        <f>INDEX(참고!$C$5:$J$12, MATCH($J$2, 참고!$B$5:$B$12, 0), MATCH(Q$2, 참고!$C$4:$J$4, 0))</f>
        <v>1</v>
      </c>
      <c r="R56">
        <f>INDEX(참고!$C$5:$J$12, MATCH($J$2, 참고!$B$5:$B$12, 0), MATCH(R$2, 참고!$C$4:$J$4, 0))</f>
        <v>0</v>
      </c>
      <c r="S56">
        <f>INDEX(참고!$C$5:$J$12, MATCH($J$2, 참고!$B$5:$B$12, 0), MATCH(S$2, 참고!$C$4:$J$4, 0))</f>
        <v>0</v>
      </c>
      <c r="T56">
        <f>INDEX(참고!$C$5:$J$12, MATCH($J$2, 참고!$B$5:$B$12, 0), MATCH(T$2, 참고!$C$4:$J$4, 0))</f>
        <v>0</v>
      </c>
      <c r="U56">
        <f>INDEX(참고!$C$5:$J$12, MATCH($J$2, 참고!$B$5:$B$12, 0), MATCH(U$2, 참고!$C$4:$J$4, 0))</f>
        <v>0</v>
      </c>
    </row>
    <row r="57" spans="1:21">
      <c r="A57" t="s">
        <v>182</v>
      </c>
      <c r="B57" s="9">
        <v>500</v>
      </c>
      <c r="C57">
        <f t="shared" si="0"/>
        <v>2495</v>
      </c>
      <c r="O57">
        <f>INDEX(참고!$C$5:$J$12, MATCH("생명", 참고!$B$5:$B$12, 0), MATCH("HP", 참고!$C$4:$J$4, 0))*J57
+INDEX(참고!$C$5:$J$12, MATCH("힘", 참고!$B$5:$B$12, 0), MATCH("HP", 참고!$C$4:$J$4, 0))*K57
+INDEX(참고!$C$5:$J$12, MATCH("근력", 참고!$B$5:$B$12, 0), MATCH("HP", 참고!$C$4:$J$4, 0))*L57
+INDEX(참고!$C$5:$J$12, MATCH("숙련도", 참고!$B$5:$B$12, 0), MATCH("HP", 참고!$C$4:$J$4, 0))*M57
+INDEX(참고!$C$5:$J$12, MATCH("행운", 참고!$B$5:$B$12, 0), MATCH("HP", 참고!$C$4:$J$4, 0))*N57</f>
        <v>0</v>
      </c>
      <c r="P57">
        <f>INDEX(참고!$C$5:$J$12, MATCH($J$2, 참고!$B$5:$B$12, 0), MATCH(P$2, 참고!$C$4:$J$4, 0))</f>
        <v>3</v>
      </c>
      <c r="Q57">
        <f>INDEX(참고!$C$5:$J$12, MATCH($J$2, 참고!$B$5:$B$12, 0), MATCH(Q$2, 참고!$C$4:$J$4, 0))</f>
        <v>1</v>
      </c>
      <c r="R57">
        <f>INDEX(참고!$C$5:$J$12, MATCH($J$2, 참고!$B$5:$B$12, 0), MATCH(R$2, 참고!$C$4:$J$4, 0))</f>
        <v>0</v>
      </c>
      <c r="S57">
        <f>INDEX(참고!$C$5:$J$12, MATCH($J$2, 참고!$B$5:$B$12, 0), MATCH(S$2, 참고!$C$4:$J$4, 0))</f>
        <v>0</v>
      </c>
      <c r="T57">
        <f>INDEX(참고!$C$5:$J$12, MATCH($J$2, 참고!$B$5:$B$12, 0), MATCH(T$2, 참고!$C$4:$J$4, 0))</f>
        <v>0</v>
      </c>
      <c r="U57">
        <f>INDEX(참고!$C$5:$J$12, MATCH($J$2, 참고!$B$5:$B$12, 0), MATCH(U$2, 참고!$C$4:$J$4, 0))</f>
        <v>0</v>
      </c>
    </row>
    <row r="58" spans="1:21">
      <c r="A58" t="s">
        <v>183</v>
      </c>
      <c r="B58" s="9">
        <v>750</v>
      </c>
      <c r="C58">
        <f t="shared" si="0"/>
        <v>3745</v>
      </c>
      <c r="O58">
        <f>INDEX(참고!$C$5:$J$12, MATCH("생명", 참고!$B$5:$B$12, 0), MATCH("HP", 참고!$C$4:$J$4, 0))*J58
+INDEX(참고!$C$5:$J$12, MATCH("힘", 참고!$B$5:$B$12, 0), MATCH("HP", 참고!$C$4:$J$4, 0))*K58
+INDEX(참고!$C$5:$J$12, MATCH("근력", 참고!$B$5:$B$12, 0), MATCH("HP", 참고!$C$4:$J$4, 0))*L58
+INDEX(참고!$C$5:$J$12, MATCH("숙련도", 참고!$B$5:$B$12, 0), MATCH("HP", 참고!$C$4:$J$4, 0))*M58
+INDEX(참고!$C$5:$J$12, MATCH("행운", 참고!$B$5:$B$12, 0), MATCH("HP", 참고!$C$4:$J$4, 0))*N58</f>
        <v>0</v>
      </c>
      <c r="P58">
        <f>INDEX(참고!$C$5:$J$12, MATCH($J$2, 참고!$B$5:$B$12, 0), MATCH(P$2, 참고!$C$4:$J$4, 0))</f>
        <v>3</v>
      </c>
      <c r="Q58">
        <f>INDEX(참고!$C$5:$J$12, MATCH($J$2, 참고!$B$5:$B$12, 0), MATCH(Q$2, 참고!$C$4:$J$4, 0))</f>
        <v>1</v>
      </c>
      <c r="R58">
        <f>INDEX(참고!$C$5:$J$12, MATCH($J$2, 참고!$B$5:$B$12, 0), MATCH(R$2, 참고!$C$4:$J$4, 0))</f>
        <v>0</v>
      </c>
      <c r="S58">
        <f>INDEX(참고!$C$5:$J$12, MATCH($J$2, 참고!$B$5:$B$12, 0), MATCH(S$2, 참고!$C$4:$J$4, 0))</f>
        <v>0</v>
      </c>
      <c r="T58">
        <f>INDEX(참고!$C$5:$J$12, MATCH($J$2, 참고!$B$5:$B$12, 0), MATCH(T$2, 참고!$C$4:$J$4, 0))</f>
        <v>0</v>
      </c>
      <c r="U58">
        <f>INDEX(참고!$C$5:$J$12, MATCH($J$2, 참고!$B$5:$B$12, 0), MATCH(U$2, 참고!$C$4:$J$4, 0))</f>
        <v>0</v>
      </c>
    </row>
    <row r="59" spans="1:21">
      <c r="A59" t="s">
        <v>184</v>
      </c>
      <c r="B59" s="9">
        <v>800</v>
      </c>
      <c r="C59">
        <f t="shared" si="0"/>
        <v>3995</v>
      </c>
      <c r="O59">
        <f>INDEX(참고!$C$5:$J$12, MATCH("생명", 참고!$B$5:$B$12, 0), MATCH("HP", 참고!$C$4:$J$4, 0))*J59
+INDEX(참고!$C$5:$J$12, MATCH("힘", 참고!$B$5:$B$12, 0), MATCH("HP", 참고!$C$4:$J$4, 0))*K59
+INDEX(참고!$C$5:$J$12, MATCH("근력", 참고!$B$5:$B$12, 0), MATCH("HP", 참고!$C$4:$J$4, 0))*L59
+INDEX(참고!$C$5:$J$12, MATCH("숙련도", 참고!$B$5:$B$12, 0), MATCH("HP", 참고!$C$4:$J$4, 0))*M59
+INDEX(참고!$C$5:$J$12, MATCH("행운", 참고!$B$5:$B$12, 0), MATCH("HP", 참고!$C$4:$J$4, 0))*N59</f>
        <v>0</v>
      </c>
      <c r="P59">
        <f>INDEX(참고!$C$5:$J$12, MATCH($J$2, 참고!$B$5:$B$12, 0), MATCH(P$2, 참고!$C$4:$J$4, 0))</f>
        <v>3</v>
      </c>
      <c r="Q59">
        <f>INDEX(참고!$C$5:$J$12, MATCH($J$2, 참고!$B$5:$B$12, 0), MATCH(Q$2, 참고!$C$4:$J$4, 0))</f>
        <v>1</v>
      </c>
      <c r="R59">
        <f>INDEX(참고!$C$5:$J$12, MATCH($J$2, 참고!$B$5:$B$12, 0), MATCH(R$2, 참고!$C$4:$J$4, 0))</f>
        <v>0</v>
      </c>
      <c r="S59">
        <f>INDEX(참고!$C$5:$J$12, MATCH($J$2, 참고!$B$5:$B$12, 0), MATCH(S$2, 참고!$C$4:$J$4, 0))</f>
        <v>0</v>
      </c>
      <c r="T59">
        <f>INDEX(참고!$C$5:$J$12, MATCH($J$2, 참고!$B$5:$B$12, 0), MATCH(T$2, 참고!$C$4:$J$4, 0))</f>
        <v>0</v>
      </c>
      <c r="U59">
        <f>INDEX(참고!$C$5:$J$12, MATCH($J$2, 참고!$B$5:$B$12, 0), MATCH(U$2, 참고!$C$4:$J$4, 0))</f>
        <v>0</v>
      </c>
    </row>
    <row r="60" spans="1:21">
      <c r="A60" t="s">
        <v>185</v>
      </c>
      <c r="B60" s="9">
        <v>850</v>
      </c>
      <c r="C60">
        <f t="shared" si="0"/>
        <v>4245</v>
      </c>
      <c r="O60">
        <f>INDEX(참고!$C$5:$J$12, MATCH("생명", 참고!$B$5:$B$12, 0), MATCH("HP", 참고!$C$4:$J$4, 0))*J60
+INDEX(참고!$C$5:$J$12, MATCH("힘", 참고!$B$5:$B$12, 0), MATCH("HP", 참고!$C$4:$J$4, 0))*K60
+INDEX(참고!$C$5:$J$12, MATCH("근력", 참고!$B$5:$B$12, 0), MATCH("HP", 참고!$C$4:$J$4, 0))*L60
+INDEX(참고!$C$5:$J$12, MATCH("숙련도", 참고!$B$5:$B$12, 0), MATCH("HP", 참고!$C$4:$J$4, 0))*M60
+INDEX(참고!$C$5:$J$12, MATCH("행운", 참고!$B$5:$B$12, 0), MATCH("HP", 참고!$C$4:$J$4, 0))*N60</f>
        <v>0</v>
      </c>
      <c r="P60">
        <f>INDEX(참고!$C$5:$J$12, MATCH($J$2, 참고!$B$5:$B$12, 0), MATCH(P$2, 참고!$C$4:$J$4, 0))</f>
        <v>3</v>
      </c>
      <c r="Q60">
        <f>INDEX(참고!$C$5:$J$12, MATCH($J$2, 참고!$B$5:$B$12, 0), MATCH(Q$2, 참고!$C$4:$J$4, 0))</f>
        <v>1</v>
      </c>
      <c r="R60">
        <f>INDEX(참고!$C$5:$J$12, MATCH($J$2, 참고!$B$5:$B$12, 0), MATCH(R$2, 참고!$C$4:$J$4, 0))</f>
        <v>0</v>
      </c>
      <c r="S60">
        <f>INDEX(참고!$C$5:$J$12, MATCH($J$2, 참고!$B$5:$B$12, 0), MATCH(S$2, 참고!$C$4:$J$4, 0))</f>
        <v>0</v>
      </c>
      <c r="T60">
        <f>INDEX(참고!$C$5:$J$12, MATCH($J$2, 참고!$B$5:$B$12, 0), MATCH(T$2, 참고!$C$4:$J$4, 0))</f>
        <v>0</v>
      </c>
      <c r="U60">
        <f>INDEX(참고!$C$5:$J$12, MATCH($J$2, 참고!$B$5:$B$12, 0), MATCH(U$2, 참고!$C$4:$J$4, 0))</f>
        <v>0</v>
      </c>
    </row>
    <row r="61" spans="1:21">
      <c r="A61" t="s">
        <v>186</v>
      </c>
      <c r="B61" s="9">
        <v>900</v>
      </c>
      <c r="C61">
        <f t="shared" si="0"/>
        <v>4495</v>
      </c>
      <c r="O61">
        <f>INDEX(참고!$C$5:$J$12, MATCH("생명", 참고!$B$5:$B$12, 0), MATCH("HP", 참고!$C$4:$J$4, 0))*J61
+INDEX(참고!$C$5:$J$12, MATCH("힘", 참고!$B$5:$B$12, 0), MATCH("HP", 참고!$C$4:$J$4, 0))*K61
+INDEX(참고!$C$5:$J$12, MATCH("근력", 참고!$B$5:$B$12, 0), MATCH("HP", 참고!$C$4:$J$4, 0))*L61
+INDEX(참고!$C$5:$J$12, MATCH("숙련도", 참고!$B$5:$B$12, 0), MATCH("HP", 참고!$C$4:$J$4, 0))*M61
+INDEX(참고!$C$5:$J$12, MATCH("행운", 참고!$B$5:$B$12, 0), MATCH("HP", 참고!$C$4:$J$4, 0))*N61</f>
        <v>0</v>
      </c>
      <c r="P61">
        <f>INDEX(참고!$C$5:$J$12, MATCH($J$2, 참고!$B$5:$B$12, 0), MATCH(P$2, 참고!$C$4:$J$4, 0))</f>
        <v>3</v>
      </c>
      <c r="Q61">
        <f>INDEX(참고!$C$5:$J$12, MATCH($J$2, 참고!$B$5:$B$12, 0), MATCH(Q$2, 참고!$C$4:$J$4, 0))</f>
        <v>1</v>
      </c>
      <c r="R61">
        <f>INDEX(참고!$C$5:$J$12, MATCH($J$2, 참고!$B$5:$B$12, 0), MATCH(R$2, 참고!$C$4:$J$4, 0))</f>
        <v>0</v>
      </c>
      <c r="S61">
        <f>INDEX(참고!$C$5:$J$12, MATCH($J$2, 참고!$B$5:$B$12, 0), MATCH(S$2, 참고!$C$4:$J$4, 0))</f>
        <v>0</v>
      </c>
      <c r="T61">
        <f>INDEX(참고!$C$5:$J$12, MATCH($J$2, 참고!$B$5:$B$12, 0), MATCH(T$2, 참고!$C$4:$J$4, 0))</f>
        <v>0</v>
      </c>
      <c r="U61">
        <f>INDEX(참고!$C$5:$J$12, MATCH($J$2, 참고!$B$5:$B$12, 0), MATCH(U$2, 참고!$C$4:$J$4, 0))</f>
        <v>0</v>
      </c>
    </row>
    <row r="62" spans="1:21">
      <c r="A62" t="s">
        <v>187</v>
      </c>
      <c r="B62" s="9">
        <v>950</v>
      </c>
      <c r="C62">
        <f t="shared" si="0"/>
        <v>4745</v>
      </c>
      <c r="O62">
        <f>INDEX(참고!$C$5:$J$12, MATCH("생명", 참고!$B$5:$B$12, 0), MATCH("HP", 참고!$C$4:$J$4, 0))*J62
+INDEX(참고!$C$5:$J$12, MATCH("힘", 참고!$B$5:$B$12, 0), MATCH("HP", 참고!$C$4:$J$4, 0))*K62
+INDEX(참고!$C$5:$J$12, MATCH("근력", 참고!$B$5:$B$12, 0), MATCH("HP", 참고!$C$4:$J$4, 0))*L62
+INDEX(참고!$C$5:$J$12, MATCH("숙련도", 참고!$B$5:$B$12, 0), MATCH("HP", 참고!$C$4:$J$4, 0))*M62
+INDEX(참고!$C$5:$J$12, MATCH("행운", 참고!$B$5:$B$12, 0), MATCH("HP", 참고!$C$4:$J$4, 0))*N62</f>
        <v>0</v>
      </c>
      <c r="P62">
        <f>INDEX(참고!$C$5:$J$12, MATCH($J$2, 참고!$B$5:$B$12, 0), MATCH(P$2, 참고!$C$4:$J$4, 0))</f>
        <v>3</v>
      </c>
      <c r="Q62">
        <f>INDEX(참고!$C$5:$J$12, MATCH($J$2, 참고!$B$5:$B$12, 0), MATCH(Q$2, 참고!$C$4:$J$4, 0))</f>
        <v>1</v>
      </c>
      <c r="R62">
        <f>INDEX(참고!$C$5:$J$12, MATCH($J$2, 참고!$B$5:$B$12, 0), MATCH(R$2, 참고!$C$4:$J$4, 0))</f>
        <v>0</v>
      </c>
      <c r="S62">
        <f>INDEX(참고!$C$5:$J$12, MATCH($J$2, 참고!$B$5:$B$12, 0), MATCH(S$2, 참고!$C$4:$J$4, 0))</f>
        <v>0</v>
      </c>
      <c r="T62">
        <f>INDEX(참고!$C$5:$J$12, MATCH($J$2, 참고!$B$5:$B$12, 0), MATCH(T$2, 참고!$C$4:$J$4, 0))</f>
        <v>0</v>
      </c>
      <c r="U62">
        <f>INDEX(참고!$C$5:$J$12, MATCH($J$2, 참고!$B$5:$B$12, 0), MATCH(U$2, 참고!$C$4:$J$4, 0))</f>
        <v>0</v>
      </c>
    </row>
    <row r="63" spans="1:21">
      <c r="A63" t="s">
        <v>188</v>
      </c>
      <c r="B63" s="9">
        <v>1000</v>
      </c>
      <c r="C63">
        <f t="shared" si="0"/>
        <v>4995</v>
      </c>
      <c r="O63">
        <f>INDEX(참고!$C$5:$J$12, MATCH("생명", 참고!$B$5:$B$12, 0), MATCH("HP", 참고!$C$4:$J$4, 0))*J63
+INDEX(참고!$C$5:$J$12, MATCH("힘", 참고!$B$5:$B$12, 0), MATCH("HP", 참고!$C$4:$J$4, 0))*K63
+INDEX(참고!$C$5:$J$12, MATCH("근력", 참고!$B$5:$B$12, 0), MATCH("HP", 참고!$C$4:$J$4, 0))*L63
+INDEX(참고!$C$5:$J$12, MATCH("숙련도", 참고!$B$5:$B$12, 0), MATCH("HP", 참고!$C$4:$J$4, 0))*M63
+INDEX(참고!$C$5:$J$12, MATCH("행운", 참고!$B$5:$B$12, 0), MATCH("HP", 참고!$C$4:$J$4, 0))*N63</f>
        <v>0</v>
      </c>
      <c r="P63">
        <f>INDEX(참고!$C$5:$J$12, MATCH($J$2, 참고!$B$5:$B$12, 0), MATCH(P$2, 참고!$C$4:$J$4, 0))</f>
        <v>3</v>
      </c>
      <c r="Q63">
        <f>INDEX(참고!$C$5:$J$12, MATCH($J$2, 참고!$B$5:$B$12, 0), MATCH(Q$2, 참고!$C$4:$J$4, 0))</f>
        <v>1</v>
      </c>
      <c r="R63">
        <f>INDEX(참고!$C$5:$J$12, MATCH($J$2, 참고!$B$5:$B$12, 0), MATCH(R$2, 참고!$C$4:$J$4, 0))</f>
        <v>0</v>
      </c>
      <c r="S63">
        <f>INDEX(참고!$C$5:$J$12, MATCH($J$2, 참고!$B$5:$B$12, 0), MATCH(S$2, 참고!$C$4:$J$4, 0))</f>
        <v>0</v>
      </c>
      <c r="T63">
        <f>INDEX(참고!$C$5:$J$12, MATCH($J$2, 참고!$B$5:$B$12, 0), MATCH(T$2, 참고!$C$4:$J$4, 0))</f>
        <v>0</v>
      </c>
      <c r="U63">
        <f>INDEX(참고!$C$5:$J$12, MATCH($J$2, 참고!$B$5:$B$12, 0), MATCH(U$2, 참고!$C$4:$J$4, 0))</f>
        <v>0</v>
      </c>
    </row>
    <row r="64" spans="1:21">
      <c r="A64" t="s">
        <v>189</v>
      </c>
      <c r="B64" s="9">
        <v>1000</v>
      </c>
      <c r="C64">
        <f t="shared" si="0"/>
        <v>4995</v>
      </c>
      <c r="O64">
        <f>INDEX(참고!$C$5:$J$12, MATCH("생명", 참고!$B$5:$B$12, 0), MATCH("HP", 참고!$C$4:$J$4, 0))*J64
+INDEX(참고!$C$5:$J$12, MATCH("힘", 참고!$B$5:$B$12, 0), MATCH("HP", 참고!$C$4:$J$4, 0))*K64
+INDEX(참고!$C$5:$J$12, MATCH("근력", 참고!$B$5:$B$12, 0), MATCH("HP", 참고!$C$4:$J$4, 0))*L64
+INDEX(참고!$C$5:$J$12, MATCH("숙련도", 참고!$B$5:$B$12, 0), MATCH("HP", 참고!$C$4:$J$4, 0))*M64
+INDEX(참고!$C$5:$J$12, MATCH("행운", 참고!$B$5:$B$12, 0), MATCH("HP", 참고!$C$4:$J$4, 0))*N64</f>
        <v>0</v>
      </c>
      <c r="P64">
        <f>INDEX(참고!$C$5:$J$12, MATCH($J$2, 참고!$B$5:$B$12, 0), MATCH(P$2, 참고!$C$4:$J$4, 0))</f>
        <v>3</v>
      </c>
      <c r="Q64">
        <f>INDEX(참고!$C$5:$J$12, MATCH($J$2, 참고!$B$5:$B$12, 0), MATCH(Q$2, 참고!$C$4:$J$4, 0))</f>
        <v>1</v>
      </c>
      <c r="R64">
        <f>INDEX(참고!$C$5:$J$12, MATCH($J$2, 참고!$B$5:$B$12, 0), MATCH(R$2, 참고!$C$4:$J$4, 0))</f>
        <v>0</v>
      </c>
      <c r="S64">
        <f>INDEX(참고!$C$5:$J$12, MATCH($J$2, 참고!$B$5:$B$12, 0), MATCH(S$2, 참고!$C$4:$J$4, 0))</f>
        <v>0</v>
      </c>
      <c r="T64">
        <f>INDEX(참고!$C$5:$J$12, MATCH($J$2, 참고!$B$5:$B$12, 0), MATCH(T$2, 참고!$C$4:$J$4, 0))</f>
        <v>0</v>
      </c>
      <c r="U64">
        <f>INDEX(참고!$C$5:$J$12, MATCH($J$2, 참고!$B$5:$B$12, 0), MATCH(U$2, 참고!$C$4:$J$4, 0))</f>
        <v>0</v>
      </c>
    </row>
    <row r="65" spans="1:21">
      <c r="A65" t="s">
        <v>190</v>
      </c>
      <c r="B65" s="9">
        <v>1050</v>
      </c>
      <c r="C65">
        <f t="shared" si="0"/>
        <v>5245</v>
      </c>
      <c r="O65">
        <f>INDEX(참고!$C$5:$J$12, MATCH("생명", 참고!$B$5:$B$12, 0), MATCH("HP", 참고!$C$4:$J$4, 0))*J65
+INDEX(참고!$C$5:$J$12, MATCH("힘", 참고!$B$5:$B$12, 0), MATCH("HP", 참고!$C$4:$J$4, 0))*K65
+INDEX(참고!$C$5:$J$12, MATCH("근력", 참고!$B$5:$B$12, 0), MATCH("HP", 참고!$C$4:$J$4, 0))*L65
+INDEX(참고!$C$5:$J$12, MATCH("숙련도", 참고!$B$5:$B$12, 0), MATCH("HP", 참고!$C$4:$J$4, 0))*M65
+INDEX(참고!$C$5:$J$12, MATCH("행운", 참고!$B$5:$B$12, 0), MATCH("HP", 참고!$C$4:$J$4, 0))*N65</f>
        <v>0</v>
      </c>
      <c r="P65">
        <f>INDEX(참고!$C$5:$J$12, MATCH($J$2, 참고!$B$5:$B$12, 0), MATCH(P$2, 참고!$C$4:$J$4, 0))</f>
        <v>3</v>
      </c>
      <c r="Q65">
        <f>INDEX(참고!$C$5:$J$12, MATCH($J$2, 참고!$B$5:$B$12, 0), MATCH(Q$2, 참고!$C$4:$J$4, 0))</f>
        <v>1</v>
      </c>
      <c r="R65">
        <f>INDEX(참고!$C$5:$J$12, MATCH($J$2, 참고!$B$5:$B$12, 0), MATCH(R$2, 참고!$C$4:$J$4, 0))</f>
        <v>0</v>
      </c>
      <c r="S65">
        <f>INDEX(참고!$C$5:$J$12, MATCH($J$2, 참고!$B$5:$B$12, 0), MATCH(S$2, 참고!$C$4:$J$4, 0))</f>
        <v>0</v>
      </c>
      <c r="T65">
        <f>INDEX(참고!$C$5:$J$12, MATCH($J$2, 참고!$B$5:$B$12, 0), MATCH(T$2, 참고!$C$4:$J$4, 0))</f>
        <v>0</v>
      </c>
      <c r="U65">
        <f>INDEX(참고!$C$5:$J$12, MATCH($J$2, 참고!$B$5:$B$12, 0), MATCH(U$2, 참고!$C$4:$J$4, 0))</f>
        <v>0</v>
      </c>
    </row>
    <row r="66" spans="1:21">
      <c r="A66" t="s">
        <v>191</v>
      </c>
      <c r="B66" s="9">
        <v>1100</v>
      </c>
      <c r="C66">
        <f t="shared" si="0"/>
        <v>5495</v>
      </c>
      <c r="O66">
        <f>INDEX(참고!$C$5:$J$12, MATCH("생명", 참고!$B$5:$B$12, 0), MATCH("HP", 참고!$C$4:$J$4, 0))*J66
+INDEX(참고!$C$5:$J$12, MATCH("힘", 참고!$B$5:$B$12, 0), MATCH("HP", 참고!$C$4:$J$4, 0))*K66
+INDEX(참고!$C$5:$J$12, MATCH("근력", 참고!$B$5:$B$12, 0), MATCH("HP", 참고!$C$4:$J$4, 0))*L66
+INDEX(참고!$C$5:$J$12, MATCH("숙련도", 참고!$B$5:$B$12, 0), MATCH("HP", 참고!$C$4:$J$4, 0))*M66
+INDEX(참고!$C$5:$J$12, MATCH("행운", 참고!$B$5:$B$12, 0), MATCH("HP", 참고!$C$4:$J$4, 0))*N66</f>
        <v>0</v>
      </c>
      <c r="P66">
        <f>INDEX(참고!$C$5:$J$12, MATCH($J$2, 참고!$B$5:$B$12, 0), MATCH(P$2, 참고!$C$4:$J$4, 0))</f>
        <v>3</v>
      </c>
      <c r="Q66">
        <f>INDEX(참고!$C$5:$J$12, MATCH($J$2, 참고!$B$5:$B$12, 0), MATCH(Q$2, 참고!$C$4:$J$4, 0))</f>
        <v>1</v>
      </c>
      <c r="R66">
        <f>INDEX(참고!$C$5:$J$12, MATCH($J$2, 참고!$B$5:$B$12, 0), MATCH(R$2, 참고!$C$4:$J$4, 0))</f>
        <v>0</v>
      </c>
      <c r="S66">
        <f>INDEX(참고!$C$5:$J$12, MATCH($J$2, 참고!$B$5:$B$12, 0), MATCH(S$2, 참고!$C$4:$J$4, 0))</f>
        <v>0</v>
      </c>
      <c r="T66">
        <f>INDEX(참고!$C$5:$J$12, MATCH($J$2, 참고!$B$5:$B$12, 0), MATCH(T$2, 참고!$C$4:$J$4, 0))</f>
        <v>0</v>
      </c>
      <c r="U66">
        <f>INDEX(참고!$C$5:$J$12, MATCH($J$2, 참고!$B$5:$B$12, 0), MATCH(U$2, 참고!$C$4:$J$4, 0))</f>
        <v>0</v>
      </c>
    </row>
    <row r="67" spans="1:21">
      <c r="A67" t="s">
        <v>192</v>
      </c>
      <c r="B67" s="9">
        <v>1200</v>
      </c>
      <c r="C67">
        <f t="shared" si="0"/>
        <v>5995</v>
      </c>
      <c r="O67">
        <f>INDEX(참고!$C$5:$J$12, MATCH("생명", 참고!$B$5:$B$12, 0), MATCH("HP", 참고!$C$4:$J$4, 0))*J67
+INDEX(참고!$C$5:$J$12, MATCH("힘", 참고!$B$5:$B$12, 0), MATCH("HP", 참고!$C$4:$J$4, 0))*K67
+INDEX(참고!$C$5:$J$12, MATCH("근력", 참고!$B$5:$B$12, 0), MATCH("HP", 참고!$C$4:$J$4, 0))*L67
+INDEX(참고!$C$5:$J$12, MATCH("숙련도", 참고!$B$5:$B$12, 0), MATCH("HP", 참고!$C$4:$J$4, 0))*M67
+INDEX(참고!$C$5:$J$12, MATCH("행운", 참고!$B$5:$B$12, 0), MATCH("HP", 참고!$C$4:$J$4, 0))*N67</f>
        <v>0</v>
      </c>
      <c r="P67">
        <f>INDEX(참고!$C$5:$J$12, MATCH($J$2, 참고!$B$5:$B$12, 0), MATCH(P$2, 참고!$C$4:$J$4, 0))</f>
        <v>3</v>
      </c>
      <c r="Q67">
        <f>INDEX(참고!$C$5:$J$12, MATCH($J$2, 참고!$B$5:$B$12, 0), MATCH(Q$2, 참고!$C$4:$J$4, 0))</f>
        <v>1</v>
      </c>
      <c r="R67">
        <f>INDEX(참고!$C$5:$J$12, MATCH($J$2, 참고!$B$5:$B$12, 0), MATCH(R$2, 참고!$C$4:$J$4, 0))</f>
        <v>0</v>
      </c>
      <c r="S67">
        <f>INDEX(참고!$C$5:$J$12, MATCH($J$2, 참고!$B$5:$B$12, 0), MATCH(S$2, 참고!$C$4:$J$4, 0))</f>
        <v>0</v>
      </c>
      <c r="T67">
        <f>INDEX(참고!$C$5:$J$12, MATCH($J$2, 참고!$B$5:$B$12, 0), MATCH(T$2, 참고!$C$4:$J$4, 0))</f>
        <v>0</v>
      </c>
      <c r="U67">
        <f>INDEX(참고!$C$5:$J$12, MATCH($J$2, 참고!$B$5:$B$12, 0), MATCH(U$2, 참고!$C$4:$J$4, 0))</f>
        <v>0</v>
      </c>
    </row>
    <row r="68" spans="1:21">
      <c r="A68" t="s">
        <v>193</v>
      </c>
      <c r="B68" s="9">
        <v>1300</v>
      </c>
      <c r="C68">
        <f t="shared" ref="C68:C131" si="1">(B68-1)*$B$1</f>
        <v>6495</v>
      </c>
      <c r="O68">
        <f>INDEX(참고!$C$5:$J$12, MATCH("생명", 참고!$B$5:$B$12, 0), MATCH("HP", 참고!$C$4:$J$4, 0))*J68
+INDEX(참고!$C$5:$J$12, MATCH("힘", 참고!$B$5:$B$12, 0), MATCH("HP", 참고!$C$4:$J$4, 0))*K68
+INDEX(참고!$C$5:$J$12, MATCH("근력", 참고!$B$5:$B$12, 0), MATCH("HP", 참고!$C$4:$J$4, 0))*L68
+INDEX(참고!$C$5:$J$12, MATCH("숙련도", 참고!$B$5:$B$12, 0), MATCH("HP", 참고!$C$4:$J$4, 0))*M68
+INDEX(참고!$C$5:$J$12, MATCH("행운", 참고!$B$5:$B$12, 0), MATCH("HP", 참고!$C$4:$J$4, 0))*N68</f>
        <v>0</v>
      </c>
      <c r="P68">
        <f>INDEX(참고!$C$5:$J$12, MATCH($J$2, 참고!$B$5:$B$12, 0), MATCH(P$2, 참고!$C$4:$J$4, 0))</f>
        <v>3</v>
      </c>
      <c r="Q68">
        <f>INDEX(참고!$C$5:$J$12, MATCH($J$2, 참고!$B$5:$B$12, 0), MATCH(Q$2, 참고!$C$4:$J$4, 0))</f>
        <v>1</v>
      </c>
      <c r="R68">
        <f>INDEX(참고!$C$5:$J$12, MATCH($J$2, 참고!$B$5:$B$12, 0), MATCH(R$2, 참고!$C$4:$J$4, 0))</f>
        <v>0</v>
      </c>
      <c r="S68">
        <f>INDEX(참고!$C$5:$J$12, MATCH($J$2, 참고!$B$5:$B$12, 0), MATCH(S$2, 참고!$C$4:$J$4, 0))</f>
        <v>0</v>
      </c>
      <c r="T68">
        <f>INDEX(참고!$C$5:$J$12, MATCH($J$2, 참고!$B$5:$B$12, 0), MATCH(T$2, 참고!$C$4:$J$4, 0))</f>
        <v>0</v>
      </c>
      <c r="U68">
        <f>INDEX(참고!$C$5:$J$12, MATCH($J$2, 참고!$B$5:$B$12, 0), MATCH(U$2, 참고!$C$4:$J$4, 0))</f>
        <v>0</v>
      </c>
    </row>
    <row r="69" spans="1:21">
      <c r="A69" t="s">
        <v>194</v>
      </c>
      <c r="B69" s="9">
        <v>1350</v>
      </c>
      <c r="C69">
        <f t="shared" si="1"/>
        <v>6745</v>
      </c>
      <c r="O69">
        <f>INDEX(참고!$C$5:$J$12, MATCH("생명", 참고!$B$5:$B$12, 0), MATCH("HP", 참고!$C$4:$J$4, 0))*J69
+INDEX(참고!$C$5:$J$12, MATCH("힘", 참고!$B$5:$B$12, 0), MATCH("HP", 참고!$C$4:$J$4, 0))*K69
+INDEX(참고!$C$5:$J$12, MATCH("근력", 참고!$B$5:$B$12, 0), MATCH("HP", 참고!$C$4:$J$4, 0))*L69
+INDEX(참고!$C$5:$J$12, MATCH("숙련도", 참고!$B$5:$B$12, 0), MATCH("HP", 참고!$C$4:$J$4, 0))*M69
+INDEX(참고!$C$5:$J$12, MATCH("행운", 참고!$B$5:$B$12, 0), MATCH("HP", 참고!$C$4:$J$4, 0))*N69</f>
        <v>0</v>
      </c>
      <c r="P69">
        <f>INDEX(참고!$C$5:$J$12, MATCH($J$2, 참고!$B$5:$B$12, 0), MATCH(P$2, 참고!$C$4:$J$4, 0))</f>
        <v>3</v>
      </c>
      <c r="Q69">
        <f>INDEX(참고!$C$5:$J$12, MATCH($J$2, 참고!$B$5:$B$12, 0), MATCH(Q$2, 참고!$C$4:$J$4, 0))</f>
        <v>1</v>
      </c>
      <c r="R69">
        <f>INDEX(참고!$C$5:$J$12, MATCH($J$2, 참고!$B$5:$B$12, 0), MATCH(R$2, 참고!$C$4:$J$4, 0))</f>
        <v>0</v>
      </c>
      <c r="S69">
        <f>INDEX(참고!$C$5:$J$12, MATCH($J$2, 참고!$B$5:$B$12, 0), MATCH(S$2, 참고!$C$4:$J$4, 0))</f>
        <v>0</v>
      </c>
      <c r="T69">
        <f>INDEX(참고!$C$5:$J$12, MATCH($J$2, 참고!$B$5:$B$12, 0), MATCH(T$2, 참고!$C$4:$J$4, 0))</f>
        <v>0</v>
      </c>
      <c r="U69">
        <f>INDEX(참고!$C$5:$J$12, MATCH($J$2, 참고!$B$5:$B$12, 0), MATCH(U$2, 참고!$C$4:$J$4, 0))</f>
        <v>0</v>
      </c>
    </row>
    <row r="70" spans="1:21">
      <c r="A70" t="s">
        <v>195</v>
      </c>
      <c r="B70" s="9">
        <v>4000</v>
      </c>
      <c r="C70">
        <f t="shared" si="1"/>
        <v>19995</v>
      </c>
      <c r="O70">
        <f>INDEX(참고!$C$5:$J$12, MATCH("생명", 참고!$B$5:$B$12, 0), MATCH("HP", 참고!$C$4:$J$4, 0))*J70
+INDEX(참고!$C$5:$J$12, MATCH("힘", 참고!$B$5:$B$12, 0), MATCH("HP", 참고!$C$4:$J$4, 0))*K70
+INDEX(참고!$C$5:$J$12, MATCH("근력", 참고!$B$5:$B$12, 0), MATCH("HP", 참고!$C$4:$J$4, 0))*L70
+INDEX(참고!$C$5:$J$12, MATCH("숙련도", 참고!$B$5:$B$12, 0), MATCH("HP", 참고!$C$4:$J$4, 0))*M70
+INDEX(참고!$C$5:$J$12, MATCH("행운", 참고!$B$5:$B$12, 0), MATCH("HP", 참고!$C$4:$J$4, 0))*N70</f>
        <v>0</v>
      </c>
      <c r="P70">
        <f>INDEX(참고!$C$5:$J$12, MATCH($J$2, 참고!$B$5:$B$12, 0), MATCH(P$2, 참고!$C$4:$J$4, 0))</f>
        <v>3</v>
      </c>
      <c r="Q70">
        <f>INDEX(참고!$C$5:$J$12, MATCH($J$2, 참고!$B$5:$B$12, 0), MATCH(Q$2, 참고!$C$4:$J$4, 0))</f>
        <v>1</v>
      </c>
      <c r="R70">
        <f>INDEX(참고!$C$5:$J$12, MATCH($J$2, 참고!$B$5:$B$12, 0), MATCH(R$2, 참고!$C$4:$J$4, 0))</f>
        <v>0</v>
      </c>
      <c r="S70">
        <f>INDEX(참고!$C$5:$J$12, MATCH($J$2, 참고!$B$5:$B$12, 0), MATCH(S$2, 참고!$C$4:$J$4, 0))</f>
        <v>0</v>
      </c>
      <c r="T70">
        <f>INDEX(참고!$C$5:$J$12, MATCH($J$2, 참고!$B$5:$B$12, 0), MATCH(T$2, 참고!$C$4:$J$4, 0))</f>
        <v>0</v>
      </c>
      <c r="U70">
        <f>INDEX(참고!$C$5:$J$12, MATCH($J$2, 참고!$B$5:$B$12, 0), MATCH(U$2, 참고!$C$4:$J$4, 0))</f>
        <v>0</v>
      </c>
    </row>
    <row r="71" spans="1:21">
      <c r="A71" t="s">
        <v>196</v>
      </c>
      <c r="B71" s="9">
        <v>5000</v>
      </c>
      <c r="C71">
        <f t="shared" si="1"/>
        <v>24995</v>
      </c>
      <c r="O71">
        <f>INDEX(참고!$C$5:$J$12, MATCH("생명", 참고!$B$5:$B$12, 0), MATCH("HP", 참고!$C$4:$J$4, 0))*J71
+INDEX(참고!$C$5:$J$12, MATCH("힘", 참고!$B$5:$B$12, 0), MATCH("HP", 참고!$C$4:$J$4, 0))*K71
+INDEX(참고!$C$5:$J$12, MATCH("근력", 참고!$B$5:$B$12, 0), MATCH("HP", 참고!$C$4:$J$4, 0))*L71
+INDEX(참고!$C$5:$J$12, MATCH("숙련도", 참고!$B$5:$B$12, 0), MATCH("HP", 참고!$C$4:$J$4, 0))*M71
+INDEX(참고!$C$5:$J$12, MATCH("행운", 참고!$B$5:$B$12, 0), MATCH("HP", 참고!$C$4:$J$4, 0))*N71</f>
        <v>0</v>
      </c>
      <c r="P71">
        <f>INDEX(참고!$C$5:$J$12, MATCH($J$2, 참고!$B$5:$B$12, 0), MATCH(P$2, 참고!$C$4:$J$4, 0))</f>
        <v>3</v>
      </c>
      <c r="Q71">
        <f>INDEX(참고!$C$5:$J$12, MATCH($J$2, 참고!$B$5:$B$12, 0), MATCH(Q$2, 참고!$C$4:$J$4, 0))</f>
        <v>1</v>
      </c>
      <c r="R71">
        <f>INDEX(참고!$C$5:$J$12, MATCH($J$2, 참고!$B$5:$B$12, 0), MATCH(R$2, 참고!$C$4:$J$4, 0))</f>
        <v>0</v>
      </c>
      <c r="S71">
        <f>INDEX(참고!$C$5:$J$12, MATCH($J$2, 참고!$B$5:$B$12, 0), MATCH(S$2, 참고!$C$4:$J$4, 0))</f>
        <v>0</v>
      </c>
      <c r="T71">
        <f>INDEX(참고!$C$5:$J$12, MATCH($J$2, 참고!$B$5:$B$12, 0), MATCH(T$2, 참고!$C$4:$J$4, 0))</f>
        <v>0</v>
      </c>
      <c r="U71">
        <f>INDEX(참고!$C$5:$J$12, MATCH($J$2, 참고!$B$5:$B$12, 0), MATCH(U$2, 참고!$C$4:$J$4, 0))</f>
        <v>0</v>
      </c>
    </row>
    <row r="72" spans="1:21">
      <c r="A72" t="s">
        <v>197</v>
      </c>
      <c r="B72" s="9">
        <v>1500</v>
      </c>
      <c r="C72">
        <f t="shared" si="1"/>
        <v>7495</v>
      </c>
      <c r="O72">
        <f>INDEX(참고!$C$5:$J$12, MATCH("생명", 참고!$B$5:$B$12, 0), MATCH("HP", 참고!$C$4:$J$4, 0))*J72
+INDEX(참고!$C$5:$J$12, MATCH("힘", 참고!$B$5:$B$12, 0), MATCH("HP", 참고!$C$4:$J$4, 0))*K72
+INDEX(참고!$C$5:$J$12, MATCH("근력", 참고!$B$5:$B$12, 0), MATCH("HP", 참고!$C$4:$J$4, 0))*L72
+INDEX(참고!$C$5:$J$12, MATCH("숙련도", 참고!$B$5:$B$12, 0), MATCH("HP", 참고!$C$4:$J$4, 0))*M72
+INDEX(참고!$C$5:$J$12, MATCH("행운", 참고!$B$5:$B$12, 0), MATCH("HP", 참고!$C$4:$J$4, 0))*N72</f>
        <v>0</v>
      </c>
      <c r="P72">
        <f>INDEX(참고!$C$5:$J$12, MATCH($J$2, 참고!$B$5:$B$12, 0), MATCH(P$2, 참고!$C$4:$J$4, 0))</f>
        <v>3</v>
      </c>
      <c r="Q72">
        <f>INDEX(참고!$C$5:$J$12, MATCH($J$2, 참고!$B$5:$B$12, 0), MATCH(Q$2, 참고!$C$4:$J$4, 0))</f>
        <v>1</v>
      </c>
      <c r="R72">
        <f>INDEX(참고!$C$5:$J$12, MATCH($J$2, 참고!$B$5:$B$12, 0), MATCH(R$2, 참고!$C$4:$J$4, 0))</f>
        <v>0</v>
      </c>
      <c r="S72">
        <f>INDEX(참고!$C$5:$J$12, MATCH($J$2, 참고!$B$5:$B$12, 0), MATCH(S$2, 참고!$C$4:$J$4, 0))</f>
        <v>0</v>
      </c>
      <c r="T72">
        <f>INDEX(참고!$C$5:$J$12, MATCH($J$2, 참고!$B$5:$B$12, 0), MATCH(T$2, 참고!$C$4:$J$4, 0))</f>
        <v>0</v>
      </c>
      <c r="U72">
        <f>INDEX(참고!$C$5:$J$12, MATCH($J$2, 참고!$B$5:$B$12, 0), MATCH(U$2, 참고!$C$4:$J$4, 0))</f>
        <v>0</v>
      </c>
    </row>
    <row r="73" spans="1:21">
      <c r="A73" t="s">
        <v>198</v>
      </c>
      <c r="B73" s="9">
        <v>1400</v>
      </c>
      <c r="C73">
        <f t="shared" si="1"/>
        <v>6995</v>
      </c>
      <c r="O73">
        <f>INDEX(참고!$C$5:$J$12, MATCH("생명", 참고!$B$5:$B$12, 0), MATCH("HP", 참고!$C$4:$J$4, 0))*J73
+INDEX(참고!$C$5:$J$12, MATCH("힘", 참고!$B$5:$B$12, 0), MATCH("HP", 참고!$C$4:$J$4, 0))*K73
+INDEX(참고!$C$5:$J$12, MATCH("근력", 참고!$B$5:$B$12, 0), MATCH("HP", 참고!$C$4:$J$4, 0))*L73
+INDEX(참고!$C$5:$J$12, MATCH("숙련도", 참고!$B$5:$B$12, 0), MATCH("HP", 참고!$C$4:$J$4, 0))*M73
+INDEX(참고!$C$5:$J$12, MATCH("행운", 참고!$B$5:$B$12, 0), MATCH("HP", 참고!$C$4:$J$4, 0))*N73</f>
        <v>0</v>
      </c>
      <c r="P73">
        <f>INDEX(참고!$C$5:$J$12, MATCH($J$2, 참고!$B$5:$B$12, 0), MATCH(P$2, 참고!$C$4:$J$4, 0))</f>
        <v>3</v>
      </c>
      <c r="Q73">
        <f>INDEX(참고!$C$5:$J$12, MATCH($J$2, 참고!$B$5:$B$12, 0), MATCH(Q$2, 참고!$C$4:$J$4, 0))</f>
        <v>1</v>
      </c>
      <c r="R73">
        <f>INDEX(참고!$C$5:$J$12, MATCH($J$2, 참고!$B$5:$B$12, 0), MATCH(R$2, 참고!$C$4:$J$4, 0))</f>
        <v>0</v>
      </c>
      <c r="S73">
        <f>INDEX(참고!$C$5:$J$12, MATCH($J$2, 참고!$B$5:$B$12, 0), MATCH(S$2, 참고!$C$4:$J$4, 0))</f>
        <v>0</v>
      </c>
      <c r="T73">
        <f>INDEX(참고!$C$5:$J$12, MATCH($J$2, 참고!$B$5:$B$12, 0), MATCH(T$2, 참고!$C$4:$J$4, 0))</f>
        <v>0</v>
      </c>
      <c r="U73">
        <f>INDEX(참고!$C$5:$J$12, MATCH($J$2, 참고!$B$5:$B$12, 0), MATCH(U$2, 참고!$C$4:$J$4, 0))</f>
        <v>0</v>
      </c>
    </row>
    <row r="74" spans="1:21">
      <c r="A74" t="s">
        <v>199</v>
      </c>
      <c r="B74" s="9">
        <v>1600</v>
      </c>
      <c r="C74">
        <f t="shared" si="1"/>
        <v>7995</v>
      </c>
      <c r="O74">
        <f>INDEX(참고!$C$5:$J$12, MATCH("생명", 참고!$B$5:$B$12, 0), MATCH("HP", 참고!$C$4:$J$4, 0))*J74
+INDEX(참고!$C$5:$J$12, MATCH("힘", 참고!$B$5:$B$12, 0), MATCH("HP", 참고!$C$4:$J$4, 0))*K74
+INDEX(참고!$C$5:$J$12, MATCH("근력", 참고!$B$5:$B$12, 0), MATCH("HP", 참고!$C$4:$J$4, 0))*L74
+INDEX(참고!$C$5:$J$12, MATCH("숙련도", 참고!$B$5:$B$12, 0), MATCH("HP", 참고!$C$4:$J$4, 0))*M74
+INDEX(참고!$C$5:$J$12, MATCH("행운", 참고!$B$5:$B$12, 0), MATCH("HP", 참고!$C$4:$J$4, 0))*N74</f>
        <v>0</v>
      </c>
      <c r="P74">
        <f>INDEX(참고!$C$5:$J$12, MATCH($J$2, 참고!$B$5:$B$12, 0), MATCH(P$2, 참고!$C$4:$J$4, 0))</f>
        <v>3</v>
      </c>
      <c r="Q74">
        <f>INDEX(참고!$C$5:$J$12, MATCH($J$2, 참고!$B$5:$B$12, 0), MATCH(Q$2, 참고!$C$4:$J$4, 0))</f>
        <v>1</v>
      </c>
      <c r="R74">
        <f>INDEX(참고!$C$5:$J$12, MATCH($J$2, 참고!$B$5:$B$12, 0), MATCH(R$2, 참고!$C$4:$J$4, 0))</f>
        <v>0</v>
      </c>
      <c r="S74">
        <f>INDEX(참고!$C$5:$J$12, MATCH($J$2, 참고!$B$5:$B$12, 0), MATCH(S$2, 참고!$C$4:$J$4, 0))</f>
        <v>0</v>
      </c>
      <c r="T74">
        <f>INDEX(참고!$C$5:$J$12, MATCH($J$2, 참고!$B$5:$B$12, 0), MATCH(T$2, 참고!$C$4:$J$4, 0))</f>
        <v>0</v>
      </c>
      <c r="U74">
        <f>INDEX(참고!$C$5:$J$12, MATCH($J$2, 참고!$B$5:$B$12, 0), MATCH(U$2, 참고!$C$4:$J$4, 0))</f>
        <v>0</v>
      </c>
    </row>
    <row r="75" spans="1:21">
      <c r="A75" t="s">
        <v>200</v>
      </c>
      <c r="B75" s="9">
        <v>1700</v>
      </c>
      <c r="C75">
        <f t="shared" si="1"/>
        <v>8495</v>
      </c>
      <c r="O75">
        <f>INDEX(참고!$C$5:$J$12, MATCH("생명", 참고!$B$5:$B$12, 0), MATCH("HP", 참고!$C$4:$J$4, 0))*J75
+INDEX(참고!$C$5:$J$12, MATCH("힘", 참고!$B$5:$B$12, 0), MATCH("HP", 참고!$C$4:$J$4, 0))*K75
+INDEX(참고!$C$5:$J$12, MATCH("근력", 참고!$B$5:$B$12, 0), MATCH("HP", 참고!$C$4:$J$4, 0))*L75
+INDEX(참고!$C$5:$J$12, MATCH("숙련도", 참고!$B$5:$B$12, 0), MATCH("HP", 참고!$C$4:$J$4, 0))*M75
+INDEX(참고!$C$5:$J$12, MATCH("행운", 참고!$B$5:$B$12, 0), MATCH("HP", 참고!$C$4:$J$4, 0))*N75</f>
        <v>0</v>
      </c>
      <c r="P75">
        <f>INDEX(참고!$C$5:$J$12, MATCH($J$2, 참고!$B$5:$B$12, 0), MATCH(P$2, 참고!$C$4:$J$4, 0))</f>
        <v>3</v>
      </c>
      <c r="Q75">
        <f>INDEX(참고!$C$5:$J$12, MATCH($J$2, 참고!$B$5:$B$12, 0), MATCH(Q$2, 참고!$C$4:$J$4, 0))</f>
        <v>1</v>
      </c>
      <c r="R75">
        <f>INDEX(참고!$C$5:$J$12, MATCH($J$2, 참고!$B$5:$B$12, 0), MATCH(R$2, 참고!$C$4:$J$4, 0))</f>
        <v>0</v>
      </c>
      <c r="S75">
        <f>INDEX(참고!$C$5:$J$12, MATCH($J$2, 참고!$B$5:$B$12, 0), MATCH(S$2, 참고!$C$4:$J$4, 0))</f>
        <v>0</v>
      </c>
      <c r="T75">
        <f>INDEX(참고!$C$5:$J$12, MATCH($J$2, 참고!$B$5:$B$12, 0), MATCH(T$2, 참고!$C$4:$J$4, 0))</f>
        <v>0</v>
      </c>
      <c r="U75">
        <f>INDEX(참고!$C$5:$J$12, MATCH($J$2, 참고!$B$5:$B$12, 0), MATCH(U$2, 참고!$C$4:$J$4, 0))</f>
        <v>0</v>
      </c>
    </row>
    <row r="76" spans="1:21">
      <c r="A76" t="s">
        <v>201</v>
      </c>
      <c r="B76" s="9">
        <v>1800</v>
      </c>
      <c r="C76">
        <f t="shared" si="1"/>
        <v>8995</v>
      </c>
      <c r="O76">
        <f>INDEX(참고!$C$5:$J$12, MATCH("생명", 참고!$B$5:$B$12, 0), MATCH("HP", 참고!$C$4:$J$4, 0))*J76
+INDEX(참고!$C$5:$J$12, MATCH("힘", 참고!$B$5:$B$12, 0), MATCH("HP", 참고!$C$4:$J$4, 0))*K76
+INDEX(참고!$C$5:$J$12, MATCH("근력", 참고!$B$5:$B$12, 0), MATCH("HP", 참고!$C$4:$J$4, 0))*L76
+INDEX(참고!$C$5:$J$12, MATCH("숙련도", 참고!$B$5:$B$12, 0), MATCH("HP", 참고!$C$4:$J$4, 0))*M76
+INDEX(참고!$C$5:$J$12, MATCH("행운", 참고!$B$5:$B$12, 0), MATCH("HP", 참고!$C$4:$J$4, 0))*N76</f>
        <v>0</v>
      </c>
      <c r="P76">
        <f>INDEX(참고!$C$5:$J$12, MATCH($J$2, 참고!$B$5:$B$12, 0), MATCH(P$2, 참고!$C$4:$J$4, 0))</f>
        <v>3</v>
      </c>
      <c r="Q76">
        <f>INDEX(참고!$C$5:$J$12, MATCH($J$2, 참고!$B$5:$B$12, 0), MATCH(Q$2, 참고!$C$4:$J$4, 0))</f>
        <v>1</v>
      </c>
      <c r="R76">
        <f>INDEX(참고!$C$5:$J$12, MATCH($J$2, 참고!$B$5:$B$12, 0), MATCH(R$2, 참고!$C$4:$J$4, 0))</f>
        <v>0</v>
      </c>
      <c r="S76">
        <f>INDEX(참고!$C$5:$J$12, MATCH($J$2, 참고!$B$5:$B$12, 0), MATCH(S$2, 참고!$C$4:$J$4, 0))</f>
        <v>0</v>
      </c>
      <c r="T76">
        <f>INDEX(참고!$C$5:$J$12, MATCH($J$2, 참고!$B$5:$B$12, 0), MATCH(T$2, 참고!$C$4:$J$4, 0))</f>
        <v>0</v>
      </c>
      <c r="U76">
        <f>INDEX(참고!$C$5:$J$12, MATCH($J$2, 참고!$B$5:$B$12, 0), MATCH(U$2, 참고!$C$4:$J$4, 0))</f>
        <v>0</v>
      </c>
    </row>
    <row r="77" spans="1:21">
      <c r="A77" t="s">
        <v>202</v>
      </c>
      <c r="B77" s="9">
        <v>1900</v>
      </c>
      <c r="C77">
        <f t="shared" si="1"/>
        <v>9495</v>
      </c>
      <c r="O77">
        <f>INDEX(참고!$C$5:$J$12, MATCH("생명", 참고!$B$5:$B$12, 0), MATCH("HP", 참고!$C$4:$J$4, 0))*J77
+INDEX(참고!$C$5:$J$12, MATCH("힘", 참고!$B$5:$B$12, 0), MATCH("HP", 참고!$C$4:$J$4, 0))*K77
+INDEX(참고!$C$5:$J$12, MATCH("근력", 참고!$B$5:$B$12, 0), MATCH("HP", 참고!$C$4:$J$4, 0))*L77
+INDEX(참고!$C$5:$J$12, MATCH("숙련도", 참고!$B$5:$B$12, 0), MATCH("HP", 참고!$C$4:$J$4, 0))*M77
+INDEX(참고!$C$5:$J$12, MATCH("행운", 참고!$B$5:$B$12, 0), MATCH("HP", 참고!$C$4:$J$4, 0))*N77</f>
        <v>0</v>
      </c>
      <c r="P77">
        <f>INDEX(참고!$C$5:$J$12, MATCH($J$2, 참고!$B$5:$B$12, 0), MATCH(P$2, 참고!$C$4:$J$4, 0))</f>
        <v>3</v>
      </c>
      <c r="Q77">
        <f>INDEX(참고!$C$5:$J$12, MATCH($J$2, 참고!$B$5:$B$12, 0), MATCH(Q$2, 참고!$C$4:$J$4, 0))</f>
        <v>1</v>
      </c>
      <c r="R77">
        <f>INDEX(참고!$C$5:$J$12, MATCH($J$2, 참고!$B$5:$B$12, 0), MATCH(R$2, 참고!$C$4:$J$4, 0))</f>
        <v>0</v>
      </c>
      <c r="S77">
        <f>INDEX(참고!$C$5:$J$12, MATCH($J$2, 참고!$B$5:$B$12, 0), MATCH(S$2, 참고!$C$4:$J$4, 0))</f>
        <v>0</v>
      </c>
      <c r="T77">
        <f>INDEX(참고!$C$5:$J$12, MATCH($J$2, 참고!$B$5:$B$12, 0), MATCH(T$2, 참고!$C$4:$J$4, 0))</f>
        <v>0</v>
      </c>
      <c r="U77">
        <f>INDEX(참고!$C$5:$J$12, MATCH($J$2, 참고!$B$5:$B$12, 0), MATCH(U$2, 참고!$C$4:$J$4, 0))</f>
        <v>0</v>
      </c>
    </row>
    <row r="78" spans="1:21">
      <c r="A78" t="s">
        <v>203</v>
      </c>
      <c r="B78" s="9">
        <v>2000</v>
      </c>
      <c r="C78">
        <f t="shared" si="1"/>
        <v>9995</v>
      </c>
      <c r="O78">
        <f>INDEX(참고!$C$5:$J$12, MATCH("생명", 참고!$B$5:$B$12, 0), MATCH("HP", 참고!$C$4:$J$4, 0))*J78
+INDEX(참고!$C$5:$J$12, MATCH("힘", 참고!$B$5:$B$12, 0), MATCH("HP", 참고!$C$4:$J$4, 0))*K78
+INDEX(참고!$C$5:$J$12, MATCH("근력", 참고!$B$5:$B$12, 0), MATCH("HP", 참고!$C$4:$J$4, 0))*L78
+INDEX(참고!$C$5:$J$12, MATCH("숙련도", 참고!$B$5:$B$12, 0), MATCH("HP", 참고!$C$4:$J$4, 0))*M78
+INDEX(참고!$C$5:$J$12, MATCH("행운", 참고!$B$5:$B$12, 0), MATCH("HP", 참고!$C$4:$J$4, 0))*N78</f>
        <v>0</v>
      </c>
      <c r="P78">
        <f>INDEX(참고!$C$5:$J$12, MATCH($J$2, 참고!$B$5:$B$12, 0), MATCH(P$2, 참고!$C$4:$J$4, 0))</f>
        <v>3</v>
      </c>
      <c r="Q78">
        <f>INDEX(참고!$C$5:$J$12, MATCH($J$2, 참고!$B$5:$B$12, 0), MATCH(Q$2, 참고!$C$4:$J$4, 0))</f>
        <v>1</v>
      </c>
      <c r="R78">
        <f>INDEX(참고!$C$5:$J$12, MATCH($J$2, 참고!$B$5:$B$12, 0), MATCH(R$2, 참고!$C$4:$J$4, 0))</f>
        <v>0</v>
      </c>
      <c r="S78">
        <f>INDEX(참고!$C$5:$J$12, MATCH($J$2, 참고!$B$5:$B$12, 0), MATCH(S$2, 참고!$C$4:$J$4, 0))</f>
        <v>0</v>
      </c>
      <c r="T78">
        <f>INDEX(참고!$C$5:$J$12, MATCH($J$2, 참고!$B$5:$B$12, 0), MATCH(T$2, 참고!$C$4:$J$4, 0))</f>
        <v>0</v>
      </c>
      <c r="U78">
        <f>INDEX(참고!$C$5:$J$12, MATCH($J$2, 참고!$B$5:$B$12, 0), MATCH(U$2, 참고!$C$4:$J$4, 0))</f>
        <v>0</v>
      </c>
    </row>
    <row r="79" spans="1:21">
      <c r="A79" t="s">
        <v>204</v>
      </c>
      <c r="B79" s="9">
        <v>2100</v>
      </c>
      <c r="C79">
        <f t="shared" si="1"/>
        <v>10495</v>
      </c>
      <c r="O79">
        <f>INDEX(참고!$C$5:$J$12, MATCH("생명", 참고!$B$5:$B$12, 0), MATCH("HP", 참고!$C$4:$J$4, 0))*J79
+INDEX(참고!$C$5:$J$12, MATCH("힘", 참고!$B$5:$B$12, 0), MATCH("HP", 참고!$C$4:$J$4, 0))*K79
+INDEX(참고!$C$5:$J$12, MATCH("근력", 참고!$B$5:$B$12, 0), MATCH("HP", 참고!$C$4:$J$4, 0))*L79
+INDEX(참고!$C$5:$J$12, MATCH("숙련도", 참고!$B$5:$B$12, 0), MATCH("HP", 참고!$C$4:$J$4, 0))*M79
+INDEX(참고!$C$5:$J$12, MATCH("행운", 참고!$B$5:$B$12, 0), MATCH("HP", 참고!$C$4:$J$4, 0))*N79</f>
        <v>0</v>
      </c>
      <c r="P79">
        <f>INDEX(참고!$C$5:$J$12, MATCH($J$2, 참고!$B$5:$B$12, 0), MATCH(P$2, 참고!$C$4:$J$4, 0))</f>
        <v>3</v>
      </c>
      <c r="Q79">
        <f>INDEX(참고!$C$5:$J$12, MATCH($J$2, 참고!$B$5:$B$12, 0), MATCH(Q$2, 참고!$C$4:$J$4, 0))</f>
        <v>1</v>
      </c>
      <c r="R79">
        <f>INDEX(참고!$C$5:$J$12, MATCH($J$2, 참고!$B$5:$B$12, 0), MATCH(R$2, 참고!$C$4:$J$4, 0))</f>
        <v>0</v>
      </c>
      <c r="S79">
        <f>INDEX(참고!$C$5:$J$12, MATCH($J$2, 참고!$B$5:$B$12, 0), MATCH(S$2, 참고!$C$4:$J$4, 0))</f>
        <v>0</v>
      </c>
      <c r="T79">
        <f>INDEX(참고!$C$5:$J$12, MATCH($J$2, 참고!$B$5:$B$12, 0), MATCH(T$2, 참고!$C$4:$J$4, 0))</f>
        <v>0</v>
      </c>
      <c r="U79">
        <f>INDEX(참고!$C$5:$J$12, MATCH($J$2, 참고!$B$5:$B$12, 0), MATCH(U$2, 참고!$C$4:$J$4, 0))</f>
        <v>0</v>
      </c>
    </row>
    <row r="80" spans="1:21">
      <c r="A80" t="s">
        <v>205</v>
      </c>
      <c r="B80" s="9">
        <v>2250</v>
      </c>
      <c r="C80">
        <f t="shared" si="1"/>
        <v>11245</v>
      </c>
      <c r="O80">
        <f>INDEX(참고!$C$5:$J$12, MATCH("생명", 참고!$B$5:$B$12, 0), MATCH("HP", 참고!$C$4:$J$4, 0))*J80
+INDEX(참고!$C$5:$J$12, MATCH("힘", 참고!$B$5:$B$12, 0), MATCH("HP", 참고!$C$4:$J$4, 0))*K80
+INDEX(참고!$C$5:$J$12, MATCH("근력", 참고!$B$5:$B$12, 0), MATCH("HP", 참고!$C$4:$J$4, 0))*L80
+INDEX(참고!$C$5:$J$12, MATCH("숙련도", 참고!$B$5:$B$12, 0), MATCH("HP", 참고!$C$4:$J$4, 0))*M80
+INDEX(참고!$C$5:$J$12, MATCH("행운", 참고!$B$5:$B$12, 0), MATCH("HP", 참고!$C$4:$J$4, 0))*N80</f>
        <v>0</v>
      </c>
      <c r="P80">
        <f>INDEX(참고!$C$5:$J$12, MATCH($J$2, 참고!$B$5:$B$12, 0), MATCH(P$2, 참고!$C$4:$J$4, 0))</f>
        <v>3</v>
      </c>
      <c r="Q80">
        <f>INDEX(참고!$C$5:$J$12, MATCH($J$2, 참고!$B$5:$B$12, 0), MATCH(Q$2, 참고!$C$4:$J$4, 0))</f>
        <v>1</v>
      </c>
      <c r="R80">
        <f>INDEX(참고!$C$5:$J$12, MATCH($J$2, 참고!$B$5:$B$12, 0), MATCH(R$2, 참고!$C$4:$J$4, 0))</f>
        <v>0</v>
      </c>
      <c r="S80">
        <f>INDEX(참고!$C$5:$J$12, MATCH($J$2, 참고!$B$5:$B$12, 0), MATCH(S$2, 참고!$C$4:$J$4, 0))</f>
        <v>0</v>
      </c>
      <c r="T80">
        <f>INDEX(참고!$C$5:$J$12, MATCH($J$2, 참고!$B$5:$B$12, 0), MATCH(T$2, 참고!$C$4:$J$4, 0))</f>
        <v>0</v>
      </c>
      <c r="U80">
        <f>INDEX(참고!$C$5:$J$12, MATCH($J$2, 참고!$B$5:$B$12, 0), MATCH(U$2, 참고!$C$4:$J$4, 0))</f>
        <v>0</v>
      </c>
    </row>
    <row r="81" spans="1:21">
      <c r="A81" t="s">
        <v>206</v>
      </c>
      <c r="B81" s="9">
        <v>2350</v>
      </c>
      <c r="C81">
        <f t="shared" si="1"/>
        <v>11745</v>
      </c>
      <c r="O81">
        <f>INDEX(참고!$C$5:$J$12, MATCH("생명", 참고!$B$5:$B$12, 0), MATCH("HP", 참고!$C$4:$J$4, 0))*J81
+INDEX(참고!$C$5:$J$12, MATCH("힘", 참고!$B$5:$B$12, 0), MATCH("HP", 참고!$C$4:$J$4, 0))*K81
+INDEX(참고!$C$5:$J$12, MATCH("근력", 참고!$B$5:$B$12, 0), MATCH("HP", 참고!$C$4:$J$4, 0))*L81
+INDEX(참고!$C$5:$J$12, MATCH("숙련도", 참고!$B$5:$B$12, 0), MATCH("HP", 참고!$C$4:$J$4, 0))*M81
+INDEX(참고!$C$5:$J$12, MATCH("행운", 참고!$B$5:$B$12, 0), MATCH("HP", 참고!$C$4:$J$4, 0))*N81</f>
        <v>0</v>
      </c>
      <c r="P81">
        <f>INDEX(참고!$C$5:$J$12, MATCH($J$2, 참고!$B$5:$B$12, 0), MATCH(P$2, 참고!$C$4:$J$4, 0))</f>
        <v>3</v>
      </c>
      <c r="Q81">
        <f>INDEX(참고!$C$5:$J$12, MATCH($J$2, 참고!$B$5:$B$12, 0), MATCH(Q$2, 참고!$C$4:$J$4, 0))</f>
        <v>1</v>
      </c>
      <c r="R81">
        <f>INDEX(참고!$C$5:$J$12, MATCH($J$2, 참고!$B$5:$B$12, 0), MATCH(R$2, 참고!$C$4:$J$4, 0))</f>
        <v>0</v>
      </c>
      <c r="S81">
        <f>INDEX(참고!$C$5:$J$12, MATCH($J$2, 참고!$B$5:$B$12, 0), MATCH(S$2, 참고!$C$4:$J$4, 0))</f>
        <v>0</v>
      </c>
      <c r="T81">
        <f>INDEX(참고!$C$5:$J$12, MATCH($J$2, 참고!$B$5:$B$12, 0), MATCH(T$2, 참고!$C$4:$J$4, 0))</f>
        <v>0</v>
      </c>
      <c r="U81">
        <f>INDEX(참고!$C$5:$J$12, MATCH($J$2, 참고!$B$5:$B$12, 0), MATCH(U$2, 참고!$C$4:$J$4, 0))</f>
        <v>0</v>
      </c>
    </row>
    <row r="82" spans="1:21">
      <c r="A82" t="s">
        <v>207</v>
      </c>
      <c r="B82" s="9">
        <v>2400</v>
      </c>
      <c r="C82">
        <f t="shared" si="1"/>
        <v>11995</v>
      </c>
      <c r="O82">
        <f>INDEX(참고!$C$5:$J$12, MATCH("생명", 참고!$B$5:$B$12, 0), MATCH("HP", 참고!$C$4:$J$4, 0))*J82
+INDEX(참고!$C$5:$J$12, MATCH("힘", 참고!$B$5:$B$12, 0), MATCH("HP", 참고!$C$4:$J$4, 0))*K82
+INDEX(참고!$C$5:$J$12, MATCH("근력", 참고!$B$5:$B$12, 0), MATCH("HP", 참고!$C$4:$J$4, 0))*L82
+INDEX(참고!$C$5:$J$12, MATCH("숙련도", 참고!$B$5:$B$12, 0), MATCH("HP", 참고!$C$4:$J$4, 0))*M82
+INDEX(참고!$C$5:$J$12, MATCH("행운", 참고!$B$5:$B$12, 0), MATCH("HP", 참고!$C$4:$J$4, 0))*N82</f>
        <v>0</v>
      </c>
      <c r="P82">
        <f>INDEX(참고!$C$5:$J$12, MATCH($J$2, 참고!$B$5:$B$12, 0), MATCH(P$2, 참고!$C$4:$J$4, 0))</f>
        <v>3</v>
      </c>
      <c r="Q82">
        <f>INDEX(참고!$C$5:$J$12, MATCH($J$2, 참고!$B$5:$B$12, 0), MATCH(Q$2, 참고!$C$4:$J$4, 0))</f>
        <v>1</v>
      </c>
      <c r="R82">
        <f>INDEX(참고!$C$5:$J$12, MATCH($J$2, 참고!$B$5:$B$12, 0), MATCH(R$2, 참고!$C$4:$J$4, 0))</f>
        <v>0</v>
      </c>
      <c r="S82">
        <f>INDEX(참고!$C$5:$J$12, MATCH($J$2, 참고!$B$5:$B$12, 0), MATCH(S$2, 참고!$C$4:$J$4, 0))</f>
        <v>0</v>
      </c>
      <c r="T82">
        <f>INDEX(참고!$C$5:$J$12, MATCH($J$2, 참고!$B$5:$B$12, 0), MATCH(T$2, 참고!$C$4:$J$4, 0))</f>
        <v>0</v>
      </c>
      <c r="U82">
        <f>INDEX(참고!$C$5:$J$12, MATCH($J$2, 참고!$B$5:$B$12, 0), MATCH(U$2, 참고!$C$4:$J$4, 0))</f>
        <v>0</v>
      </c>
    </row>
    <row r="83" spans="1:21">
      <c r="A83" t="s">
        <v>208</v>
      </c>
      <c r="B83" s="9">
        <v>5000</v>
      </c>
      <c r="C83">
        <f t="shared" si="1"/>
        <v>24995</v>
      </c>
      <c r="O83">
        <f>INDEX(참고!$C$5:$J$12, MATCH("생명", 참고!$B$5:$B$12, 0), MATCH("HP", 참고!$C$4:$J$4, 0))*J83
+INDEX(참고!$C$5:$J$12, MATCH("힘", 참고!$B$5:$B$12, 0), MATCH("HP", 참고!$C$4:$J$4, 0))*K83
+INDEX(참고!$C$5:$J$12, MATCH("근력", 참고!$B$5:$B$12, 0), MATCH("HP", 참고!$C$4:$J$4, 0))*L83
+INDEX(참고!$C$5:$J$12, MATCH("숙련도", 참고!$B$5:$B$12, 0), MATCH("HP", 참고!$C$4:$J$4, 0))*M83
+INDEX(참고!$C$5:$J$12, MATCH("행운", 참고!$B$5:$B$12, 0), MATCH("HP", 참고!$C$4:$J$4, 0))*N83</f>
        <v>0</v>
      </c>
      <c r="P83">
        <f>INDEX(참고!$C$5:$J$12, MATCH($J$2, 참고!$B$5:$B$12, 0), MATCH(P$2, 참고!$C$4:$J$4, 0))</f>
        <v>3</v>
      </c>
      <c r="Q83">
        <f>INDEX(참고!$C$5:$J$12, MATCH($J$2, 참고!$B$5:$B$12, 0), MATCH(Q$2, 참고!$C$4:$J$4, 0))</f>
        <v>1</v>
      </c>
      <c r="R83">
        <f>INDEX(참고!$C$5:$J$12, MATCH($J$2, 참고!$B$5:$B$12, 0), MATCH(R$2, 참고!$C$4:$J$4, 0))</f>
        <v>0</v>
      </c>
      <c r="S83">
        <f>INDEX(참고!$C$5:$J$12, MATCH($J$2, 참고!$B$5:$B$12, 0), MATCH(S$2, 참고!$C$4:$J$4, 0))</f>
        <v>0</v>
      </c>
      <c r="T83">
        <f>INDEX(참고!$C$5:$J$12, MATCH($J$2, 참고!$B$5:$B$12, 0), MATCH(T$2, 참고!$C$4:$J$4, 0))</f>
        <v>0</v>
      </c>
      <c r="U83">
        <f>INDEX(참고!$C$5:$J$12, MATCH($J$2, 참고!$B$5:$B$12, 0), MATCH(U$2, 참고!$C$4:$J$4, 0))</f>
        <v>0</v>
      </c>
    </row>
    <row r="84" spans="1:21">
      <c r="A84" t="s">
        <v>209</v>
      </c>
      <c r="B84" s="9">
        <v>40000</v>
      </c>
      <c r="C84">
        <f t="shared" si="1"/>
        <v>199995</v>
      </c>
      <c r="O84">
        <f>INDEX(참고!$C$5:$J$12, MATCH("생명", 참고!$B$5:$B$12, 0), MATCH("HP", 참고!$C$4:$J$4, 0))*J84
+INDEX(참고!$C$5:$J$12, MATCH("힘", 참고!$B$5:$B$12, 0), MATCH("HP", 참고!$C$4:$J$4, 0))*K84
+INDEX(참고!$C$5:$J$12, MATCH("근력", 참고!$B$5:$B$12, 0), MATCH("HP", 참고!$C$4:$J$4, 0))*L84
+INDEX(참고!$C$5:$J$12, MATCH("숙련도", 참고!$B$5:$B$12, 0), MATCH("HP", 참고!$C$4:$J$4, 0))*M84
+INDEX(참고!$C$5:$J$12, MATCH("행운", 참고!$B$5:$B$12, 0), MATCH("HP", 참고!$C$4:$J$4, 0))*N84</f>
        <v>0</v>
      </c>
      <c r="P84">
        <f>INDEX(참고!$C$5:$J$12, MATCH($J$2, 참고!$B$5:$B$12, 0), MATCH(P$2, 참고!$C$4:$J$4, 0))</f>
        <v>3</v>
      </c>
      <c r="Q84">
        <f>INDEX(참고!$C$5:$J$12, MATCH($J$2, 참고!$B$5:$B$12, 0), MATCH(Q$2, 참고!$C$4:$J$4, 0))</f>
        <v>1</v>
      </c>
      <c r="R84">
        <f>INDEX(참고!$C$5:$J$12, MATCH($J$2, 참고!$B$5:$B$12, 0), MATCH(R$2, 참고!$C$4:$J$4, 0))</f>
        <v>0</v>
      </c>
      <c r="S84">
        <f>INDEX(참고!$C$5:$J$12, MATCH($J$2, 참고!$B$5:$B$12, 0), MATCH(S$2, 참고!$C$4:$J$4, 0))</f>
        <v>0</v>
      </c>
      <c r="T84">
        <f>INDEX(참고!$C$5:$J$12, MATCH($J$2, 참고!$B$5:$B$12, 0), MATCH(T$2, 참고!$C$4:$J$4, 0))</f>
        <v>0</v>
      </c>
      <c r="U84">
        <f>INDEX(참고!$C$5:$J$12, MATCH($J$2, 참고!$B$5:$B$12, 0), MATCH(U$2, 참고!$C$4:$J$4, 0))</f>
        <v>0</v>
      </c>
    </row>
    <row r="85" spans="1:21">
      <c r="A85" t="s">
        <v>210</v>
      </c>
      <c r="B85" s="9">
        <v>10000</v>
      </c>
      <c r="C85">
        <f t="shared" si="1"/>
        <v>49995</v>
      </c>
      <c r="O85">
        <f>INDEX(참고!$C$5:$J$12, MATCH("생명", 참고!$B$5:$B$12, 0), MATCH("HP", 참고!$C$4:$J$4, 0))*J85
+INDEX(참고!$C$5:$J$12, MATCH("힘", 참고!$B$5:$B$12, 0), MATCH("HP", 참고!$C$4:$J$4, 0))*K85
+INDEX(참고!$C$5:$J$12, MATCH("근력", 참고!$B$5:$B$12, 0), MATCH("HP", 참고!$C$4:$J$4, 0))*L85
+INDEX(참고!$C$5:$J$12, MATCH("숙련도", 참고!$B$5:$B$12, 0), MATCH("HP", 참고!$C$4:$J$4, 0))*M85
+INDEX(참고!$C$5:$J$12, MATCH("행운", 참고!$B$5:$B$12, 0), MATCH("HP", 참고!$C$4:$J$4, 0))*N85</f>
        <v>0</v>
      </c>
      <c r="P85">
        <f>INDEX(참고!$C$5:$J$12, MATCH($J$2, 참고!$B$5:$B$12, 0), MATCH(P$2, 참고!$C$4:$J$4, 0))</f>
        <v>3</v>
      </c>
      <c r="Q85">
        <f>INDEX(참고!$C$5:$J$12, MATCH($J$2, 참고!$B$5:$B$12, 0), MATCH(Q$2, 참고!$C$4:$J$4, 0))</f>
        <v>1</v>
      </c>
      <c r="R85">
        <f>INDEX(참고!$C$5:$J$12, MATCH($J$2, 참고!$B$5:$B$12, 0), MATCH(R$2, 참고!$C$4:$J$4, 0))</f>
        <v>0</v>
      </c>
      <c r="S85">
        <f>INDEX(참고!$C$5:$J$12, MATCH($J$2, 참고!$B$5:$B$12, 0), MATCH(S$2, 참고!$C$4:$J$4, 0))</f>
        <v>0</v>
      </c>
      <c r="T85">
        <f>INDEX(참고!$C$5:$J$12, MATCH($J$2, 참고!$B$5:$B$12, 0), MATCH(T$2, 참고!$C$4:$J$4, 0))</f>
        <v>0</v>
      </c>
      <c r="U85">
        <f>INDEX(참고!$C$5:$J$12, MATCH($J$2, 참고!$B$5:$B$12, 0), MATCH(U$2, 참고!$C$4:$J$4, 0))</f>
        <v>0</v>
      </c>
    </row>
    <row r="86" spans="1:21">
      <c r="A86" t="s">
        <v>211</v>
      </c>
      <c r="B86" s="9">
        <v>25000</v>
      </c>
      <c r="C86">
        <f t="shared" si="1"/>
        <v>124995</v>
      </c>
      <c r="O86">
        <f>INDEX(참고!$C$5:$J$12, MATCH("생명", 참고!$B$5:$B$12, 0), MATCH("HP", 참고!$C$4:$J$4, 0))*J86
+INDEX(참고!$C$5:$J$12, MATCH("힘", 참고!$B$5:$B$12, 0), MATCH("HP", 참고!$C$4:$J$4, 0))*K86
+INDEX(참고!$C$5:$J$12, MATCH("근력", 참고!$B$5:$B$12, 0), MATCH("HP", 참고!$C$4:$J$4, 0))*L86
+INDEX(참고!$C$5:$J$12, MATCH("숙련도", 참고!$B$5:$B$12, 0), MATCH("HP", 참고!$C$4:$J$4, 0))*M86
+INDEX(참고!$C$5:$J$12, MATCH("행운", 참고!$B$5:$B$12, 0), MATCH("HP", 참고!$C$4:$J$4, 0))*N86</f>
        <v>0</v>
      </c>
      <c r="P86">
        <f>INDEX(참고!$C$5:$J$12, MATCH($J$2, 참고!$B$5:$B$12, 0), MATCH(P$2, 참고!$C$4:$J$4, 0))</f>
        <v>3</v>
      </c>
      <c r="Q86">
        <f>INDEX(참고!$C$5:$J$12, MATCH($J$2, 참고!$B$5:$B$12, 0), MATCH(Q$2, 참고!$C$4:$J$4, 0))</f>
        <v>1</v>
      </c>
      <c r="R86">
        <f>INDEX(참고!$C$5:$J$12, MATCH($J$2, 참고!$B$5:$B$12, 0), MATCH(R$2, 참고!$C$4:$J$4, 0))</f>
        <v>0</v>
      </c>
      <c r="S86">
        <f>INDEX(참고!$C$5:$J$12, MATCH($J$2, 참고!$B$5:$B$12, 0), MATCH(S$2, 참고!$C$4:$J$4, 0))</f>
        <v>0</v>
      </c>
      <c r="T86">
        <f>INDEX(참고!$C$5:$J$12, MATCH($J$2, 참고!$B$5:$B$12, 0), MATCH(T$2, 참고!$C$4:$J$4, 0))</f>
        <v>0</v>
      </c>
      <c r="U86">
        <f>INDEX(참고!$C$5:$J$12, MATCH($J$2, 참고!$B$5:$B$12, 0), MATCH(U$2, 참고!$C$4:$J$4, 0))</f>
        <v>0</v>
      </c>
    </row>
    <row r="87" spans="1:21">
      <c r="A87" t="s">
        <v>212</v>
      </c>
      <c r="B87" s="9">
        <v>2400</v>
      </c>
      <c r="C87">
        <f t="shared" si="1"/>
        <v>11995</v>
      </c>
      <c r="O87">
        <f>INDEX(참고!$C$5:$J$12, MATCH("생명", 참고!$B$5:$B$12, 0), MATCH("HP", 참고!$C$4:$J$4, 0))*J87
+INDEX(참고!$C$5:$J$12, MATCH("힘", 참고!$B$5:$B$12, 0), MATCH("HP", 참고!$C$4:$J$4, 0))*K87
+INDEX(참고!$C$5:$J$12, MATCH("근력", 참고!$B$5:$B$12, 0), MATCH("HP", 참고!$C$4:$J$4, 0))*L87
+INDEX(참고!$C$5:$J$12, MATCH("숙련도", 참고!$B$5:$B$12, 0), MATCH("HP", 참고!$C$4:$J$4, 0))*M87
+INDEX(참고!$C$5:$J$12, MATCH("행운", 참고!$B$5:$B$12, 0), MATCH("HP", 참고!$C$4:$J$4, 0))*N87</f>
        <v>0</v>
      </c>
      <c r="P87">
        <f>INDEX(참고!$C$5:$J$12, MATCH($J$2, 참고!$B$5:$B$12, 0), MATCH(P$2, 참고!$C$4:$J$4, 0))</f>
        <v>3</v>
      </c>
      <c r="Q87">
        <f>INDEX(참고!$C$5:$J$12, MATCH($J$2, 참고!$B$5:$B$12, 0), MATCH(Q$2, 참고!$C$4:$J$4, 0))</f>
        <v>1</v>
      </c>
      <c r="R87">
        <f>INDEX(참고!$C$5:$J$12, MATCH($J$2, 참고!$B$5:$B$12, 0), MATCH(R$2, 참고!$C$4:$J$4, 0))</f>
        <v>0</v>
      </c>
      <c r="S87">
        <f>INDEX(참고!$C$5:$J$12, MATCH($J$2, 참고!$B$5:$B$12, 0), MATCH(S$2, 참고!$C$4:$J$4, 0))</f>
        <v>0</v>
      </c>
      <c r="T87">
        <f>INDEX(참고!$C$5:$J$12, MATCH($J$2, 참고!$B$5:$B$12, 0), MATCH(T$2, 참고!$C$4:$J$4, 0))</f>
        <v>0</v>
      </c>
      <c r="U87">
        <f>INDEX(참고!$C$5:$J$12, MATCH($J$2, 참고!$B$5:$B$12, 0), MATCH(U$2, 참고!$C$4:$J$4, 0))</f>
        <v>0</v>
      </c>
    </row>
    <row r="88" spans="1:21">
      <c r="A88" t="s">
        <v>213</v>
      </c>
      <c r="B88" s="9">
        <v>2550</v>
      </c>
      <c r="C88">
        <f t="shared" si="1"/>
        <v>12745</v>
      </c>
      <c r="O88">
        <f>INDEX(참고!$C$5:$J$12, MATCH("생명", 참고!$B$5:$B$12, 0), MATCH("HP", 참고!$C$4:$J$4, 0))*J88
+INDEX(참고!$C$5:$J$12, MATCH("힘", 참고!$B$5:$B$12, 0), MATCH("HP", 참고!$C$4:$J$4, 0))*K88
+INDEX(참고!$C$5:$J$12, MATCH("근력", 참고!$B$5:$B$12, 0), MATCH("HP", 참고!$C$4:$J$4, 0))*L88
+INDEX(참고!$C$5:$J$12, MATCH("숙련도", 참고!$B$5:$B$12, 0), MATCH("HP", 참고!$C$4:$J$4, 0))*M88
+INDEX(참고!$C$5:$J$12, MATCH("행운", 참고!$B$5:$B$12, 0), MATCH("HP", 참고!$C$4:$J$4, 0))*N88</f>
        <v>0</v>
      </c>
      <c r="P88">
        <f>INDEX(참고!$C$5:$J$12, MATCH($J$2, 참고!$B$5:$B$12, 0), MATCH(P$2, 참고!$C$4:$J$4, 0))</f>
        <v>3</v>
      </c>
      <c r="Q88">
        <f>INDEX(참고!$C$5:$J$12, MATCH($J$2, 참고!$B$5:$B$12, 0), MATCH(Q$2, 참고!$C$4:$J$4, 0))</f>
        <v>1</v>
      </c>
      <c r="R88">
        <f>INDEX(참고!$C$5:$J$12, MATCH($J$2, 참고!$B$5:$B$12, 0), MATCH(R$2, 참고!$C$4:$J$4, 0))</f>
        <v>0</v>
      </c>
      <c r="S88">
        <f>INDEX(참고!$C$5:$J$12, MATCH($J$2, 참고!$B$5:$B$12, 0), MATCH(S$2, 참고!$C$4:$J$4, 0))</f>
        <v>0</v>
      </c>
      <c r="T88">
        <f>INDEX(참고!$C$5:$J$12, MATCH($J$2, 참고!$B$5:$B$12, 0), MATCH(T$2, 참고!$C$4:$J$4, 0))</f>
        <v>0</v>
      </c>
      <c r="U88">
        <f>INDEX(참고!$C$5:$J$12, MATCH($J$2, 참고!$B$5:$B$12, 0), MATCH(U$2, 참고!$C$4:$J$4, 0))</f>
        <v>0</v>
      </c>
    </row>
    <row r="89" spans="1:21">
      <c r="A89" t="s">
        <v>214</v>
      </c>
      <c r="B89" s="9">
        <v>2700</v>
      </c>
      <c r="C89">
        <f t="shared" si="1"/>
        <v>13495</v>
      </c>
      <c r="O89">
        <f>INDEX(참고!$C$5:$J$12, MATCH("생명", 참고!$B$5:$B$12, 0), MATCH("HP", 참고!$C$4:$J$4, 0))*J89
+INDEX(참고!$C$5:$J$12, MATCH("힘", 참고!$B$5:$B$12, 0), MATCH("HP", 참고!$C$4:$J$4, 0))*K89
+INDEX(참고!$C$5:$J$12, MATCH("근력", 참고!$B$5:$B$12, 0), MATCH("HP", 참고!$C$4:$J$4, 0))*L89
+INDEX(참고!$C$5:$J$12, MATCH("숙련도", 참고!$B$5:$B$12, 0), MATCH("HP", 참고!$C$4:$J$4, 0))*M89
+INDEX(참고!$C$5:$J$12, MATCH("행운", 참고!$B$5:$B$12, 0), MATCH("HP", 참고!$C$4:$J$4, 0))*N89</f>
        <v>0</v>
      </c>
      <c r="P89">
        <f>INDEX(참고!$C$5:$J$12, MATCH($J$2, 참고!$B$5:$B$12, 0), MATCH(P$2, 참고!$C$4:$J$4, 0))</f>
        <v>3</v>
      </c>
      <c r="Q89">
        <f>INDEX(참고!$C$5:$J$12, MATCH($J$2, 참고!$B$5:$B$12, 0), MATCH(Q$2, 참고!$C$4:$J$4, 0))</f>
        <v>1</v>
      </c>
      <c r="R89">
        <f>INDEX(참고!$C$5:$J$12, MATCH($J$2, 참고!$B$5:$B$12, 0), MATCH(R$2, 참고!$C$4:$J$4, 0))</f>
        <v>0</v>
      </c>
      <c r="S89">
        <f>INDEX(참고!$C$5:$J$12, MATCH($J$2, 참고!$B$5:$B$12, 0), MATCH(S$2, 참고!$C$4:$J$4, 0))</f>
        <v>0</v>
      </c>
      <c r="T89">
        <f>INDEX(참고!$C$5:$J$12, MATCH($J$2, 참고!$B$5:$B$12, 0), MATCH(T$2, 참고!$C$4:$J$4, 0))</f>
        <v>0</v>
      </c>
      <c r="U89">
        <f>INDEX(참고!$C$5:$J$12, MATCH($J$2, 참고!$B$5:$B$12, 0), MATCH(U$2, 참고!$C$4:$J$4, 0))</f>
        <v>0</v>
      </c>
    </row>
    <row r="90" spans="1:21">
      <c r="A90" t="s">
        <v>215</v>
      </c>
      <c r="B90" s="9">
        <v>2850</v>
      </c>
      <c r="C90">
        <f t="shared" si="1"/>
        <v>14245</v>
      </c>
      <c r="O90">
        <f>INDEX(참고!$C$5:$J$12, MATCH("생명", 참고!$B$5:$B$12, 0), MATCH("HP", 참고!$C$4:$J$4, 0))*J90
+INDEX(참고!$C$5:$J$12, MATCH("힘", 참고!$B$5:$B$12, 0), MATCH("HP", 참고!$C$4:$J$4, 0))*K90
+INDEX(참고!$C$5:$J$12, MATCH("근력", 참고!$B$5:$B$12, 0), MATCH("HP", 참고!$C$4:$J$4, 0))*L90
+INDEX(참고!$C$5:$J$12, MATCH("숙련도", 참고!$B$5:$B$12, 0), MATCH("HP", 참고!$C$4:$J$4, 0))*M90
+INDEX(참고!$C$5:$J$12, MATCH("행운", 참고!$B$5:$B$12, 0), MATCH("HP", 참고!$C$4:$J$4, 0))*N90</f>
        <v>0</v>
      </c>
      <c r="P90">
        <f>INDEX(참고!$C$5:$J$12, MATCH($J$2, 참고!$B$5:$B$12, 0), MATCH(P$2, 참고!$C$4:$J$4, 0))</f>
        <v>3</v>
      </c>
      <c r="Q90">
        <f>INDEX(참고!$C$5:$J$12, MATCH($J$2, 참고!$B$5:$B$12, 0), MATCH(Q$2, 참고!$C$4:$J$4, 0))</f>
        <v>1</v>
      </c>
      <c r="R90">
        <f>INDEX(참고!$C$5:$J$12, MATCH($J$2, 참고!$B$5:$B$12, 0), MATCH(R$2, 참고!$C$4:$J$4, 0))</f>
        <v>0</v>
      </c>
      <c r="S90">
        <f>INDEX(참고!$C$5:$J$12, MATCH($J$2, 참고!$B$5:$B$12, 0), MATCH(S$2, 참고!$C$4:$J$4, 0))</f>
        <v>0</v>
      </c>
      <c r="T90">
        <f>INDEX(참고!$C$5:$J$12, MATCH($J$2, 참고!$B$5:$B$12, 0), MATCH(T$2, 참고!$C$4:$J$4, 0))</f>
        <v>0</v>
      </c>
      <c r="U90">
        <f>INDEX(참고!$C$5:$J$12, MATCH($J$2, 참고!$B$5:$B$12, 0), MATCH(U$2, 참고!$C$4:$J$4, 0))</f>
        <v>0</v>
      </c>
    </row>
    <row r="91" spans="1:21">
      <c r="A91" t="s">
        <v>216</v>
      </c>
      <c r="B91" s="9">
        <v>3000</v>
      </c>
      <c r="C91">
        <f t="shared" si="1"/>
        <v>14995</v>
      </c>
      <c r="O91">
        <f>INDEX(참고!$C$5:$J$12, MATCH("생명", 참고!$B$5:$B$12, 0), MATCH("HP", 참고!$C$4:$J$4, 0))*J91
+INDEX(참고!$C$5:$J$12, MATCH("힘", 참고!$B$5:$B$12, 0), MATCH("HP", 참고!$C$4:$J$4, 0))*K91
+INDEX(참고!$C$5:$J$12, MATCH("근력", 참고!$B$5:$B$12, 0), MATCH("HP", 참고!$C$4:$J$4, 0))*L91
+INDEX(참고!$C$5:$J$12, MATCH("숙련도", 참고!$B$5:$B$12, 0), MATCH("HP", 참고!$C$4:$J$4, 0))*M91
+INDEX(참고!$C$5:$J$12, MATCH("행운", 참고!$B$5:$B$12, 0), MATCH("HP", 참고!$C$4:$J$4, 0))*N91</f>
        <v>0</v>
      </c>
      <c r="P91">
        <f>INDEX(참고!$C$5:$J$12, MATCH($J$2, 참고!$B$5:$B$12, 0), MATCH(P$2, 참고!$C$4:$J$4, 0))</f>
        <v>3</v>
      </c>
      <c r="Q91">
        <f>INDEX(참고!$C$5:$J$12, MATCH($J$2, 참고!$B$5:$B$12, 0), MATCH(Q$2, 참고!$C$4:$J$4, 0))</f>
        <v>1</v>
      </c>
      <c r="R91">
        <f>INDEX(참고!$C$5:$J$12, MATCH($J$2, 참고!$B$5:$B$12, 0), MATCH(R$2, 참고!$C$4:$J$4, 0))</f>
        <v>0</v>
      </c>
      <c r="S91">
        <f>INDEX(참고!$C$5:$J$12, MATCH($J$2, 참고!$B$5:$B$12, 0), MATCH(S$2, 참고!$C$4:$J$4, 0))</f>
        <v>0</v>
      </c>
      <c r="T91">
        <f>INDEX(참고!$C$5:$J$12, MATCH($J$2, 참고!$B$5:$B$12, 0), MATCH(T$2, 참고!$C$4:$J$4, 0))</f>
        <v>0</v>
      </c>
      <c r="U91">
        <f>INDEX(참고!$C$5:$J$12, MATCH($J$2, 참고!$B$5:$B$12, 0), MATCH(U$2, 참고!$C$4:$J$4, 0))</f>
        <v>0</v>
      </c>
    </row>
    <row r="92" spans="1:21">
      <c r="A92" t="s">
        <v>217</v>
      </c>
      <c r="B92" s="9">
        <v>3200</v>
      </c>
      <c r="C92">
        <f t="shared" si="1"/>
        <v>15995</v>
      </c>
      <c r="O92">
        <f>INDEX(참고!$C$5:$J$12, MATCH("생명", 참고!$B$5:$B$12, 0), MATCH("HP", 참고!$C$4:$J$4, 0))*J92
+INDEX(참고!$C$5:$J$12, MATCH("힘", 참고!$B$5:$B$12, 0), MATCH("HP", 참고!$C$4:$J$4, 0))*K92
+INDEX(참고!$C$5:$J$12, MATCH("근력", 참고!$B$5:$B$12, 0), MATCH("HP", 참고!$C$4:$J$4, 0))*L92
+INDEX(참고!$C$5:$J$12, MATCH("숙련도", 참고!$B$5:$B$12, 0), MATCH("HP", 참고!$C$4:$J$4, 0))*M92
+INDEX(참고!$C$5:$J$12, MATCH("행운", 참고!$B$5:$B$12, 0), MATCH("HP", 참고!$C$4:$J$4, 0))*N92</f>
        <v>0</v>
      </c>
      <c r="P92">
        <f>INDEX(참고!$C$5:$J$12, MATCH($J$2, 참고!$B$5:$B$12, 0), MATCH(P$2, 참고!$C$4:$J$4, 0))</f>
        <v>3</v>
      </c>
      <c r="Q92">
        <f>INDEX(참고!$C$5:$J$12, MATCH($J$2, 참고!$B$5:$B$12, 0), MATCH(Q$2, 참고!$C$4:$J$4, 0))</f>
        <v>1</v>
      </c>
      <c r="R92">
        <f>INDEX(참고!$C$5:$J$12, MATCH($J$2, 참고!$B$5:$B$12, 0), MATCH(R$2, 참고!$C$4:$J$4, 0))</f>
        <v>0</v>
      </c>
      <c r="S92">
        <f>INDEX(참고!$C$5:$J$12, MATCH($J$2, 참고!$B$5:$B$12, 0), MATCH(S$2, 참고!$C$4:$J$4, 0))</f>
        <v>0</v>
      </c>
      <c r="T92">
        <f>INDEX(참고!$C$5:$J$12, MATCH($J$2, 참고!$B$5:$B$12, 0), MATCH(T$2, 참고!$C$4:$J$4, 0))</f>
        <v>0</v>
      </c>
      <c r="U92">
        <f>INDEX(참고!$C$5:$J$12, MATCH($J$2, 참고!$B$5:$B$12, 0), MATCH(U$2, 참고!$C$4:$J$4, 0))</f>
        <v>0</v>
      </c>
    </row>
    <row r="93" spans="1:21">
      <c r="A93" t="s">
        <v>218</v>
      </c>
      <c r="B93" s="9">
        <v>3400</v>
      </c>
      <c r="C93">
        <f t="shared" si="1"/>
        <v>16995</v>
      </c>
      <c r="O93">
        <f>INDEX(참고!$C$5:$J$12, MATCH("생명", 참고!$B$5:$B$12, 0), MATCH("HP", 참고!$C$4:$J$4, 0))*J93
+INDEX(참고!$C$5:$J$12, MATCH("힘", 참고!$B$5:$B$12, 0), MATCH("HP", 참고!$C$4:$J$4, 0))*K93
+INDEX(참고!$C$5:$J$12, MATCH("근력", 참고!$B$5:$B$12, 0), MATCH("HP", 참고!$C$4:$J$4, 0))*L93
+INDEX(참고!$C$5:$J$12, MATCH("숙련도", 참고!$B$5:$B$12, 0), MATCH("HP", 참고!$C$4:$J$4, 0))*M93
+INDEX(참고!$C$5:$J$12, MATCH("행운", 참고!$B$5:$B$12, 0), MATCH("HP", 참고!$C$4:$J$4, 0))*N93</f>
        <v>0</v>
      </c>
      <c r="P93">
        <f>INDEX(참고!$C$5:$J$12, MATCH($J$2, 참고!$B$5:$B$12, 0), MATCH(P$2, 참고!$C$4:$J$4, 0))</f>
        <v>3</v>
      </c>
      <c r="Q93">
        <f>INDEX(참고!$C$5:$J$12, MATCH($J$2, 참고!$B$5:$B$12, 0), MATCH(Q$2, 참고!$C$4:$J$4, 0))</f>
        <v>1</v>
      </c>
      <c r="R93">
        <f>INDEX(참고!$C$5:$J$12, MATCH($J$2, 참고!$B$5:$B$12, 0), MATCH(R$2, 참고!$C$4:$J$4, 0))</f>
        <v>0</v>
      </c>
      <c r="S93">
        <f>INDEX(참고!$C$5:$J$12, MATCH($J$2, 참고!$B$5:$B$12, 0), MATCH(S$2, 참고!$C$4:$J$4, 0))</f>
        <v>0</v>
      </c>
      <c r="T93">
        <f>INDEX(참고!$C$5:$J$12, MATCH($J$2, 참고!$B$5:$B$12, 0), MATCH(T$2, 참고!$C$4:$J$4, 0))</f>
        <v>0</v>
      </c>
      <c r="U93">
        <f>INDEX(참고!$C$5:$J$12, MATCH($J$2, 참고!$B$5:$B$12, 0), MATCH(U$2, 참고!$C$4:$J$4, 0))</f>
        <v>0</v>
      </c>
    </row>
    <row r="94" spans="1:21">
      <c r="A94" t="s">
        <v>219</v>
      </c>
      <c r="B94" s="9">
        <v>3600</v>
      </c>
      <c r="C94">
        <f t="shared" si="1"/>
        <v>17995</v>
      </c>
      <c r="O94">
        <f>INDEX(참고!$C$5:$J$12, MATCH("생명", 참고!$B$5:$B$12, 0), MATCH("HP", 참고!$C$4:$J$4, 0))*J94
+INDEX(참고!$C$5:$J$12, MATCH("힘", 참고!$B$5:$B$12, 0), MATCH("HP", 참고!$C$4:$J$4, 0))*K94
+INDEX(참고!$C$5:$J$12, MATCH("근력", 참고!$B$5:$B$12, 0), MATCH("HP", 참고!$C$4:$J$4, 0))*L94
+INDEX(참고!$C$5:$J$12, MATCH("숙련도", 참고!$B$5:$B$12, 0), MATCH("HP", 참고!$C$4:$J$4, 0))*M94
+INDEX(참고!$C$5:$J$12, MATCH("행운", 참고!$B$5:$B$12, 0), MATCH("HP", 참고!$C$4:$J$4, 0))*N94</f>
        <v>0</v>
      </c>
      <c r="P94">
        <f>INDEX(참고!$C$5:$J$12, MATCH($J$2, 참고!$B$5:$B$12, 0), MATCH(P$2, 참고!$C$4:$J$4, 0))</f>
        <v>3</v>
      </c>
      <c r="Q94">
        <f>INDEX(참고!$C$5:$J$12, MATCH($J$2, 참고!$B$5:$B$12, 0), MATCH(Q$2, 참고!$C$4:$J$4, 0))</f>
        <v>1</v>
      </c>
      <c r="R94">
        <f>INDEX(참고!$C$5:$J$12, MATCH($J$2, 참고!$B$5:$B$12, 0), MATCH(R$2, 참고!$C$4:$J$4, 0))</f>
        <v>0</v>
      </c>
      <c r="S94">
        <f>INDEX(참고!$C$5:$J$12, MATCH($J$2, 참고!$B$5:$B$12, 0), MATCH(S$2, 참고!$C$4:$J$4, 0))</f>
        <v>0</v>
      </c>
      <c r="T94">
        <f>INDEX(참고!$C$5:$J$12, MATCH($J$2, 참고!$B$5:$B$12, 0), MATCH(T$2, 참고!$C$4:$J$4, 0))</f>
        <v>0</v>
      </c>
      <c r="U94">
        <f>INDEX(참고!$C$5:$J$12, MATCH($J$2, 참고!$B$5:$B$12, 0), MATCH(U$2, 참고!$C$4:$J$4, 0))</f>
        <v>0</v>
      </c>
    </row>
    <row r="95" spans="1:21">
      <c r="A95" t="s">
        <v>220</v>
      </c>
      <c r="B95" s="9">
        <v>3800</v>
      </c>
      <c r="C95">
        <f t="shared" si="1"/>
        <v>18995</v>
      </c>
      <c r="O95">
        <f>INDEX(참고!$C$5:$J$12, MATCH("생명", 참고!$B$5:$B$12, 0), MATCH("HP", 참고!$C$4:$J$4, 0))*J95
+INDEX(참고!$C$5:$J$12, MATCH("힘", 참고!$B$5:$B$12, 0), MATCH("HP", 참고!$C$4:$J$4, 0))*K95
+INDEX(참고!$C$5:$J$12, MATCH("근력", 참고!$B$5:$B$12, 0), MATCH("HP", 참고!$C$4:$J$4, 0))*L95
+INDEX(참고!$C$5:$J$12, MATCH("숙련도", 참고!$B$5:$B$12, 0), MATCH("HP", 참고!$C$4:$J$4, 0))*M95
+INDEX(참고!$C$5:$J$12, MATCH("행운", 참고!$B$5:$B$12, 0), MATCH("HP", 참고!$C$4:$J$4, 0))*N95</f>
        <v>0</v>
      </c>
      <c r="P95">
        <f>INDEX(참고!$C$5:$J$12, MATCH($J$2, 참고!$B$5:$B$12, 0), MATCH(P$2, 참고!$C$4:$J$4, 0))</f>
        <v>3</v>
      </c>
      <c r="Q95">
        <f>INDEX(참고!$C$5:$J$12, MATCH($J$2, 참고!$B$5:$B$12, 0), MATCH(Q$2, 참고!$C$4:$J$4, 0))</f>
        <v>1</v>
      </c>
      <c r="R95">
        <f>INDEX(참고!$C$5:$J$12, MATCH($J$2, 참고!$B$5:$B$12, 0), MATCH(R$2, 참고!$C$4:$J$4, 0))</f>
        <v>0</v>
      </c>
      <c r="S95">
        <f>INDEX(참고!$C$5:$J$12, MATCH($J$2, 참고!$B$5:$B$12, 0), MATCH(S$2, 참고!$C$4:$J$4, 0))</f>
        <v>0</v>
      </c>
      <c r="T95">
        <f>INDEX(참고!$C$5:$J$12, MATCH($J$2, 참고!$B$5:$B$12, 0), MATCH(T$2, 참고!$C$4:$J$4, 0))</f>
        <v>0</v>
      </c>
      <c r="U95">
        <f>INDEX(참고!$C$5:$J$12, MATCH($J$2, 참고!$B$5:$B$12, 0), MATCH(U$2, 참고!$C$4:$J$4, 0))</f>
        <v>0</v>
      </c>
    </row>
    <row r="96" spans="1:21">
      <c r="A96" t="s">
        <v>221</v>
      </c>
      <c r="B96" s="9">
        <v>4000</v>
      </c>
      <c r="C96">
        <f t="shared" si="1"/>
        <v>19995</v>
      </c>
      <c r="O96">
        <f>INDEX(참고!$C$5:$J$12, MATCH("생명", 참고!$B$5:$B$12, 0), MATCH("HP", 참고!$C$4:$J$4, 0))*J96
+INDEX(참고!$C$5:$J$12, MATCH("힘", 참고!$B$5:$B$12, 0), MATCH("HP", 참고!$C$4:$J$4, 0))*K96
+INDEX(참고!$C$5:$J$12, MATCH("근력", 참고!$B$5:$B$12, 0), MATCH("HP", 참고!$C$4:$J$4, 0))*L96
+INDEX(참고!$C$5:$J$12, MATCH("숙련도", 참고!$B$5:$B$12, 0), MATCH("HP", 참고!$C$4:$J$4, 0))*M96
+INDEX(참고!$C$5:$J$12, MATCH("행운", 참고!$B$5:$B$12, 0), MATCH("HP", 참고!$C$4:$J$4, 0))*N96</f>
        <v>0</v>
      </c>
      <c r="P96">
        <f>INDEX(참고!$C$5:$J$12, MATCH($J$2, 참고!$B$5:$B$12, 0), MATCH(P$2, 참고!$C$4:$J$4, 0))</f>
        <v>3</v>
      </c>
      <c r="Q96">
        <f>INDEX(참고!$C$5:$J$12, MATCH($J$2, 참고!$B$5:$B$12, 0), MATCH(Q$2, 참고!$C$4:$J$4, 0))</f>
        <v>1</v>
      </c>
      <c r="R96">
        <f>INDEX(참고!$C$5:$J$12, MATCH($J$2, 참고!$B$5:$B$12, 0), MATCH(R$2, 참고!$C$4:$J$4, 0))</f>
        <v>0</v>
      </c>
      <c r="S96">
        <f>INDEX(참고!$C$5:$J$12, MATCH($J$2, 참고!$B$5:$B$12, 0), MATCH(S$2, 참고!$C$4:$J$4, 0))</f>
        <v>0</v>
      </c>
      <c r="T96">
        <f>INDEX(참고!$C$5:$J$12, MATCH($J$2, 참고!$B$5:$B$12, 0), MATCH(T$2, 참고!$C$4:$J$4, 0))</f>
        <v>0</v>
      </c>
      <c r="U96">
        <f>INDEX(참고!$C$5:$J$12, MATCH($J$2, 참고!$B$5:$B$12, 0), MATCH(U$2, 참고!$C$4:$J$4, 0))</f>
        <v>0</v>
      </c>
    </row>
    <row r="97" spans="1:21">
      <c r="A97" t="s">
        <v>222</v>
      </c>
      <c r="B97" s="9">
        <v>4000</v>
      </c>
      <c r="C97">
        <f t="shared" si="1"/>
        <v>19995</v>
      </c>
      <c r="O97">
        <f>INDEX(참고!$C$5:$J$12, MATCH("생명", 참고!$B$5:$B$12, 0), MATCH("HP", 참고!$C$4:$J$4, 0))*J97
+INDEX(참고!$C$5:$J$12, MATCH("힘", 참고!$B$5:$B$12, 0), MATCH("HP", 참고!$C$4:$J$4, 0))*K97
+INDEX(참고!$C$5:$J$12, MATCH("근력", 참고!$B$5:$B$12, 0), MATCH("HP", 참고!$C$4:$J$4, 0))*L97
+INDEX(참고!$C$5:$J$12, MATCH("숙련도", 참고!$B$5:$B$12, 0), MATCH("HP", 참고!$C$4:$J$4, 0))*M97
+INDEX(참고!$C$5:$J$12, MATCH("행운", 참고!$B$5:$B$12, 0), MATCH("HP", 참고!$C$4:$J$4, 0))*N97</f>
        <v>0</v>
      </c>
      <c r="P97">
        <f>INDEX(참고!$C$5:$J$12, MATCH($J$2, 참고!$B$5:$B$12, 0), MATCH(P$2, 참고!$C$4:$J$4, 0))</f>
        <v>3</v>
      </c>
      <c r="Q97">
        <f>INDEX(참고!$C$5:$J$12, MATCH($J$2, 참고!$B$5:$B$12, 0), MATCH(Q$2, 참고!$C$4:$J$4, 0))</f>
        <v>1</v>
      </c>
      <c r="R97">
        <f>INDEX(참고!$C$5:$J$12, MATCH($J$2, 참고!$B$5:$B$12, 0), MATCH(R$2, 참고!$C$4:$J$4, 0))</f>
        <v>0</v>
      </c>
      <c r="S97">
        <f>INDEX(참고!$C$5:$J$12, MATCH($J$2, 참고!$B$5:$B$12, 0), MATCH(S$2, 참고!$C$4:$J$4, 0))</f>
        <v>0</v>
      </c>
      <c r="T97">
        <f>INDEX(참고!$C$5:$J$12, MATCH($J$2, 참고!$B$5:$B$12, 0), MATCH(T$2, 참고!$C$4:$J$4, 0))</f>
        <v>0</v>
      </c>
      <c r="U97">
        <f>INDEX(참고!$C$5:$J$12, MATCH($J$2, 참고!$B$5:$B$12, 0), MATCH(U$2, 참고!$C$4:$J$4, 0))</f>
        <v>0</v>
      </c>
    </row>
    <row r="98" spans="1:21">
      <c r="A98" t="s">
        <v>223</v>
      </c>
      <c r="B98" s="9">
        <v>4250</v>
      </c>
      <c r="C98">
        <f t="shared" si="1"/>
        <v>21245</v>
      </c>
      <c r="O98">
        <f>INDEX(참고!$C$5:$J$12, MATCH("생명", 참고!$B$5:$B$12, 0), MATCH("HP", 참고!$C$4:$J$4, 0))*J98
+INDEX(참고!$C$5:$J$12, MATCH("힘", 참고!$B$5:$B$12, 0), MATCH("HP", 참고!$C$4:$J$4, 0))*K98
+INDEX(참고!$C$5:$J$12, MATCH("근력", 참고!$B$5:$B$12, 0), MATCH("HP", 참고!$C$4:$J$4, 0))*L98
+INDEX(참고!$C$5:$J$12, MATCH("숙련도", 참고!$B$5:$B$12, 0), MATCH("HP", 참고!$C$4:$J$4, 0))*M98
+INDEX(참고!$C$5:$J$12, MATCH("행운", 참고!$B$5:$B$12, 0), MATCH("HP", 참고!$C$4:$J$4, 0))*N98</f>
        <v>0</v>
      </c>
      <c r="P98">
        <f>INDEX(참고!$C$5:$J$12, MATCH($J$2, 참고!$B$5:$B$12, 0), MATCH(P$2, 참고!$C$4:$J$4, 0))</f>
        <v>3</v>
      </c>
      <c r="Q98">
        <f>INDEX(참고!$C$5:$J$12, MATCH($J$2, 참고!$B$5:$B$12, 0), MATCH(Q$2, 참고!$C$4:$J$4, 0))</f>
        <v>1</v>
      </c>
      <c r="R98">
        <f>INDEX(참고!$C$5:$J$12, MATCH($J$2, 참고!$B$5:$B$12, 0), MATCH(R$2, 참고!$C$4:$J$4, 0))</f>
        <v>0</v>
      </c>
      <c r="S98">
        <f>INDEX(참고!$C$5:$J$12, MATCH($J$2, 참고!$B$5:$B$12, 0), MATCH(S$2, 참고!$C$4:$J$4, 0))</f>
        <v>0</v>
      </c>
      <c r="T98">
        <f>INDEX(참고!$C$5:$J$12, MATCH($J$2, 참고!$B$5:$B$12, 0), MATCH(T$2, 참고!$C$4:$J$4, 0))</f>
        <v>0</v>
      </c>
      <c r="U98">
        <f>INDEX(참고!$C$5:$J$12, MATCH($J$2, 참고!$B$5:$B$12, 0), MATCH(U$2, 참고!$C$4:$J$4, 0))</f>
        <v>0</v>
      </c>
    </row>
    <row r="99" spans="1:21">
      <c r="A99" t="s">
        <v>224</v>
      </c>
      <c r="B99" s="9">
        <v>4500</v>
      </c>
      <c r="C99">
        <f t="shared" si="1"/>
        <v>22495</v>
      </c>
      <c r="O99">
        <f>INDEX(참고!$C$5:$J$12, MATCH("생명", 참고!$B$5:$B$12, 0), MATCH("HP", 참고!$C$4:$J$4, 0))*J99
+INDEX(참고!$C$5:$J$12, MATCH("힘", 참고!$B$5:$B$12, 0), MATCH("HP", 참고!$C$4:$J$4, 0))*K99
+INDEX(참고!$C$5:$J$12, MATCH("근력", 참고!$B$5:$B$12, 0), MATCH("HP", 참고!$C$4:$J$4, 0))*L99
+INDEX(참고!$C$5:$J$12, MATCH("숙련도", 참고!$B$5:$B$12, 0), MATCH("HP", 참고!$C$4:$J$4, 0))*M99
+INDEX(참고!$C$5:$J$12, MATCH("행운", 참고!$B$5:$B$12, 0), MATCH("HP", 참고!$C$4:$J$4, 0))*N99</f>
        <v>0</v>
      </c>
      <c r="P99">
        <f>INDEX(참고!$C$5:$J$12, MATCH($J$2, 참고!$B$5:$B$12, 0), MATCH(P$2, 참고!$C$4:$J$4, 0))</f>
        <v>3</v>
      </c>
      <c r="Q99">
        <f>INDEX(참고!$C$5:$J$12, MATCH($J$2, 참고!$B$5:$B$12, 0), MATCH(Q$2, 참고!$C$4:$J$4, 0))</f>
        <v>1</v>
      </c>
      <c r="R99">
        <f>INDEX(참고!$C$5:$J$12, MATCH($J$2, 참고!$B$5:$B$12, 0), MATCH(R$2, 참고!$C$4:$J$4, 0))</f>
        <v>0</v>
      </c>
      <c r="S99">
        <f>INDEX(참고!$C$5:$J$12, MATCH($J$2, 참고!$B$5:$B$12, 0), MATCH(S$2, 참고!$C$4:$J$4, 0))</f>
        <v>0</v>
      </c>
      <c r="T99">
        <f>INDEX(참고!$C$5:$J$12, MATCH($J$2, 참고!$B$5:$B$12, 0), MATCH(T$2, 참고!$C$4:$J$4, 0))</f>
        <v>0</v>
      </c>
      <c r="U99">
        <f>INDEX(참고!$C$5:$J$12, MATCH($J$2, 참고!$B$5:$B$12, 0), MATCH(U$2, 참고!$C$4:$J$4, 0))</f>
        <v>0</v>
      </c>
    </row>
    <row r="100" spans="1:21">
      <c r="A100" t="s">
        <v>225</v>
      </c>
      <c r="B100" s="9">
        <v>4750</v>
      </c>
      <c r="C100">
        <f t="shared" si="1"/>
        <v>23745</v>
      </c>
      <c r="O100">
        <f>INDEX(참고!$C$5:$J$12, MATCH("생명", 참고!$B$5:$B$12, 0), MATCH("HP", 참고!$C$4:$J$4, 0))*J100
+INDEX(참고!$C$5:$J$12, MATCH("힘", 참고!$B$5:$B$12, 0), MATCH("HP", 참고!$C$4:$J$4, 0))*K100
+INDEX(참고!$C$5:$J$12, MATCH("근력", 참고!$B$5:$B$12, 0), MATCH("HP", 참고!$C$4:$J$4, 0))*L100
+INDEX(참고!$C$5:$J$12, MATCH("숙련도", 참고!$B$5:$B$12, 0), MATCH("HP", 참고!$C$4:$J$4, 0))*M100
+INDEX(참고!$C$5:$J$12, MATCH("행운", 참고!$B$5:$B$12, 0), MATCH("HP", 참고!$C$4:$J$4, 0))*N100</f>
        <v>0</v>
      </c>
      <c r="P100">
        <f>INDEX(참고!$C$5:$J$12, MATCH($J$2, 참고!$B$5:$B$12, 0), MATCH(P$2, 참고!$C$4:$J$4, 0))</f>
        <v>3</v>
      </c>
      <c r="Q100">
        <f>INDEX(참고!$C$5:$J$12, MATCH($J$2, 참고!$B$5:$B$12, 0), MATCH(Q$2, 참고!$C$4:$J$4, 0))</f>
        <v>1</v>
      </c>
      <c r="R100">
        <f>INDEX(참고!$C$5:$J$12, MATCH($J$2, 참고!$B$5:$B$12, 0), MATCH(R$2, 참고!$C$4:$J$4, 0))</f>
        <v>0</v>
      </c>
      <c r="S100">
        <f>INDEX(참고!$C$5:$J$12, MATCH($J$2, 참고!$B$5:$B$12, 0), MATCH(S$2, 참고!$C$4:$J$4, 0))</f>
        <v>0</v>
      </c>
      <c r="T100">
        <f>INDEX(참고!$C$5:$J$12, MATCH($J$2, 참고!$B$5:$B$12, 0), MATCH(T$2, 참고!$C$4:$J$4, 0))</f>
        <v>0</v>
      </c>
      <c r="U100">
        <f>INDEX(참고!$C$5:$J$12, MATCH($J$2, 참고!$B$5:$B$12, 0), MATCH(U$2, 참고!$C$4:$J$4, 0))</f>
        <v>0</v>
      </c>
    </row>
    <row r="101" spans="1:21">
      <c r="A101" t="s">
        <v>226</v>
      </c>
      <c r="B101" s="9">
        <v>5000</v>
      </c>
      <c r="C101">
        <f t="shared" si="1"/>
        <v>24995</v>
      </c>
      <c r="O101">
        <f>INDEX(참고!$C$5:$J$12, MATCH("생명", 참고!$B$5:$B$12, 0), MATCH("HP", 참고!$C$4:$J$4, 0))*J101
+INDEX(참고!$C$5:$J$12, MATCH("힘", 참고!$B$5:$B$12, 0), MATCH("HP", 참고!$C$4:$J$4, 0))*K101
+INDEX(참고!$C$5:$J$12, MATCH("근력", 참고!$B$5:$B$12, 0), MATCH("HP", 참고!$C$4:$J$4, 0))*L101
+INDEX(참고!$C$5:$J$12, MATCH("숙련도", 참고!$B$5:$B$12, 0), MATCH("HP", 참고!$C$4:$J$4, 0))*M101
+INDEX(참고!$C$5:$J$12, MATCH("행운", 참고!$B$5:$B$12, 0), MATCH("HP", 참고!$C$4:$J$4, 0))*N101</f>
        <v>0</v>
      </c>
      <c r="P101">
        <f>INDEX(참고!$C$5:$J$12, MATCH($J$2, 참고!$B$5:$B$12, 0), MATCH(P$2, 참고!$C$4:$J$4, 0))</f>
        <v>3</v>
      </c>
      <c r="Q101">
        <f>INDEX(참고!$C$5:$J$12, MATCH($J$2, 참고!$B$5:$B$12, 0), MATCH(Q$2, 참고!$C$4:$J$4, 0))</f>
        <v>1</v>
      </c>
      <c r="R101">
        <f>INDEX(참고!$C$5:$J$12, MATCH($J$2, 참고!$B$5:$B$12, 0), MATCH(R$2, 참고!$C$4:$J$4, 0))</f>
        <v>0</v>
      </c>
      <c r="S101">
        <f>INDEX(참고!$C$5:$J$12, MATCH($J$2, 참고!$B$5:$B$12, 0), MATCH(S$2, 참고!$C$4:$J$4, 0))</f>
        <v>0</v>
      </c>
      <c r="T101">
        <f>INDEX(참고!$C$5:$J$12, MATCH($J$2, 참고!$B$5:$B$12, 0), MATCH(T$2, 참고!$C$4:$J$4, 0))</f>
        <v>0</v>
      </c>
      <c r="U101">
        <f>INDEX(참고!$C$5:$J$12, MATCH($J$2, 참고!$B$5:$B$12, 0), MATCH(U$2, 참고!$C$4:$J$4, 0))</f>
        <v>0</v>
      </c>
    </row>
    <row r="102" spans="1:21">
      <c r="A102" t="s">
        <v>227</v>
      </c>
      <c r="B102" s="9">
        <v>5250</v>
      </c>
      <c r="C102">
        <f t="shared" si="1"/>
        <v>26245</v>
      </c>
      <c r="O102">
        <f>INDEX(참고!$C$5:$J$12, MATCH("생명", 참고!$B$5:$B$12, 0), MATCH("HP", 참고!$C$4:$J$4, 0))*J102
+INDEX(참고!$C$5:$J$12, MATCH("힘", 참고!$B$5:$B$12, 0), MATCH("HP", 참고!$C$4:$J$4, 0))*K102
+INDEX(참고!$C$5:$J$12, MATCH("근력", 참고!$B$5:$B$12, 0), MATCH("HP", 참고!$C$4:$J$4, 0))*L102
+INDEX(참고!$C$5:$J$12, MATCH("숙련도", 참고!$B$5:$B$12, 0), MATCH("HP", 참고!$C$4:$J$4, 0))*M102
+INDEX(참고!$C$5:$J$12, MATCH("행운", 참고!$B$5:$B$12, 0), MATCH("HP", 참고!$C$4:$J$4, 0))*N102</f>
        <v>0</v>
      </c>
      <c r="P102">
        <f>INDEX(참고!$C$5:$J$12, MATCH($J$2, 참고!$B$5:$B$12, 0), MATCH(P$2, 참고!$C$4:$J$4, 0))</f>
        <v>3</v>
      </c>
      <c r="Q102">
        <f>INDEX(참고!$C$5:$J$12, MATCH($J$2, 참고!$B$5:$B$12, 0), MATCH(Q$2, 참고!$C$4:$J$4, 0))</f>
        <v>1</v>
      </c>
      <c r="R102">
        <f>INDEX(참고!$C$5:$J$12, MATCH($J$2, 참고!$B$5:$B$12, 0), MATCH(R$2, 참고!$C$4:$J$4, 0))</f>
        <v>0</v>
      </c>
      <c r="S102">
        <f>INDEX(참고!$C$5:$J$12, MATCH($J$2, 참고!$B$5:$B$12, 0), MATCH(S$2, 참고!$C$4:$J$4, 0))</f>
        <v>0</v>
      </c>
      <c r="T102">
        <f>INDEX(참고!$C$5:$J$12, MATCH($J$2, 참고!$B$5:$B$12, 0), MATCH(T$2, 참고!$C$4:$J$4, 0))</f>
        <v>0</v>
      </c>
      <c r="U102">
        <f>INDEX(참고!$C$5:$J$12, MATCH($J$2, 참고!$B$5:$B$12, 0), MATCH(U$2, 참고!$C$4:$J$4, 0))</f>
        <v>0</v>
      </c>
    </row>
    <row r="103" spans="1:21">
      <c r="A103" t="s">
        <v>228</v>
      </c>
      <c r="B103" s="9">
        <v>5500</v>
      </c>
      <c r="C103">
        <f t="shared" si="1"/>
        <v>27495</v>
      </c>
      <c r="O103">
        <f>INDEX(참고!$C$5:$J$12, MATCH("생명", 참고!$B$5:$B$12, 0), MATCH("HP", 참고!$C$4:$J$4, 0))*J103
+INDEX(참고!$C$5:$J$12, MATCH("힘", 참고!$B$5:$B$12, 0), MATCH("HP", 참고!$C$4:$J$4, 0))*K103
+INDEX(참고!$C$5:$J$12, MATCH("근력", 참고!$B$5:$B$12, 0), MATCH("HP", 참고!$C$4:$J$4, 0))*L103
+INDEX(참고!$C$5:$J$12, MATCH("숙련도", 참고!$B$5:$B$12, 0), MATCH("HP", 참고!$C$4:$J$4, 0))*M103
+INDEX(참고!$C$5:$J$12, MATCH("행운", 참고!$B$5:$B$12, 0), MATCH("HP", 참고!$C$4:$J$4, 0))*N103</f>
        <v>0</v>
      </c>
      <c r="P103">
        <f>INDEX(참고!$C$5:$J$12, MATCH($J$2, 참고!$B$5:$B$12, 0), MATCH(P$2, 참고!$C$4:$J$4, 0))</f>
        <v>3</v>
      </c>
      <c r="Q103">
        <f>INDEX(참고!$C$5:$J$12, MATCH($J$2, 참고!$B$5:$B$12, 0), MATCH(Q$2, 참고!$C$4:$J$4, 0))</f>
        <v>1</v>
      </c>
      <c r="R103">
        <f>INDEX(참고!$C$5:$J$12, MATCH($J$2, 참고!$B$5:$B$12, 0), MATCH(R$2, 참고!$C$4:$J$4, 0))</f>
        <v>0</v>
      </c>
      <c r="S103">
        <f>INDEX(참고!$C$5:$J$12, MATCH($J$2, 참고!$B$5:$B$12, 0), MATCH(S$2, 참고!$C$4:$J$4, 0))</f>
        <v>0</v>
      </c>
      <c r="T103">
        <f>INDEX(참고!$C$5:$J$12, MATCH($J$2, 참고!$B$5:$B$12, 0), MATCH(T$2, 참고!$C$4:$J$4, 0))</f>
        <v>0</v>
      </c>
      <c r="U103">
        <f>INDEX(참고!$C$5:$J$12, MATCH($J$2, 참고!$B$5:$B$12, 0), MATCH(U$2, 참고!$C$4:$J$4, 0))</f>
        <v>0</v>
      </c>
    </row>
    <row r="104" spans="1:21">
      <c r="A104" t="s">
        <v>229</v>
      </c>
      <c r="B104" s="9">
        <v>5750</v>
      </c>
      <c r="C104">
        <f t="shared" si="1"/>
        <v>28745</v>
      </c>
      <c r="O104">
        <f>INDEX(참고!$C$5:$J$12, MATCH("생명", 참고!$B$5:$B$12, 0), MATCH("HP", 참고!$C$4:$J$4, 0))*J104
+INDEX(참고!$C$5:$J$12, MATCH("힘", 참고!$B$5:$B$12, 0), MATCH("HP", 참고!$C$4:$J$4, 0))*K104
+INDEX(참고!$C$5:$J$12, MATCH("근력", 참고!$B$5:$B$12, 0), MATCH("HP", 참고!$C$4:$J$4, 0))*L104
+INDEX(참고!$C$5:$J$12, MATCH("숙련도", 참고!$B$5:$B$12, 0), MATCH("HP", 참고!$C$4:$J$4, 0))*M104
+INDEX(참고!$C$5:$J$12, MATCH("행운", 참고!$B$5:$B$12, 0), MATCH("HP", 참고!$C$4:$J$4, 0))*N104</f>
        <v>0</v>
      </c>
      <c r="P104">
        <f>INDEX(참고!$C$5:$J$12, MATCH($J$2, 참고!$B$5:$B$12, 0), MATCH(P$2, 참고!$C$4:$J$4, 0))</f>
        <v>3</v>
      </c>
      <c r="Q104">
        <f>INDEX(참고!$C$5:$J$12, MATCH($J$2, 참고!$B$5:$B$12, 0), MATCH(Q$2, 참고!$C$4:$J$4, 0))</f>
        <v>1</v>
      </c>
      <c r="R104">
        <f>INDEX(참고!$C$5:$J$12, MATCH($J$2, 참고!$B$5:$B$12, 0), MATCH(R$2, 참고!$C$4:$J$4, 0))</f>
        <v>0</v>
      </c>
      <c r="S104">
        <f>INDEX(참고!$C$5:$J$12, MATCH($J$2, 참고!$B$5:$B$12, 0), MATCH(S$2, 참고!$C$4:$J$4, 0))</f>
        <v>0</v>
      </c>
      <c r="T104">
        <f>INDEX(참고!$C$5:$J$12, MATCH($J$2, 참고!$B$5:$B$12, 0), MATCH(T$2, 참고!$C$4:$J$4, 0))</f>
        <v>0</v>
      </c>
      <c r="U104">
        <f>INDEX(참고!$C$5:$J$12, MATCH($J$2, 참고!$B$5:$B$12, 0), MATCH(U$2, 참고!$C$4:$J$4, 0))</f>
        <v>0</v>
      </c>
    </row>
    <row r="105" spans="1:21">
      <c r="A105" t="s">
        <v>230</v>
      </c>
      <c r="B105" s="9">
        <v>6000</v>
      </c>
      <c r="C105">
        <f t="shared" si="1"/>
        <v>29995</v>
      </c>
      <c r="O105">
        <f>INDEX(참고!$C$5:$J$12, MATCH("생명", 참고!$B$5:$B$12, 0), MATCH("HP", 참고!$C$4:$J$4, 0))*J105
+INDEX(참고!$C$5:$J$12, MATCH("힘", 참고!$B$5:$B$12, 0), MATCH("HP", 참고!$C$4:$J$4, 0))*K105
+INDEX(참고!$C$5:$J$12, MATCH("근력", 참고!$B$5:$B$12, 0), MATCH("HP", 참고!$C$4:$J$4, 0))*L105
+INDEX(참고!$C$5:$J$12, MATCH("숙련도", 참고!$B$5:$B$12, 0), MATCH("HP", 참고!$C$4:$J$4, 0))*M105
+INDEX(참고!$C$5:$J$12, MATCH("행운", 참고!$B$5:$B$12, 0), MATCH("HP", 참고!$C$4:$J$4, 0))*N105</f>
        <v>0</v>
      </c>
      <c r="P105">
        <f>INDEX(참고!$C$5:$J$12, MATCH($J$2, 참고!$B$5:$B$12, 0), MATCH(P$2, 참고!$C$4:$J$4, 0))</f>
        <v>3</v>
      </c>
      <c r="Q105">
        <f>INDEX(참고!$C$5:$J$12, MATCH($J$2, 참고!$B$5:$B$12, 0), MATCH(Q$2, 참고!$C$4:$J$4, 0))</f>
        <v>1</v>
      </c>
      <c r="R105">
        <f>INDEX(참고!$C$5:$J$12, MATCH($J$2, 참고!$B$5:$B$12, 0), MATCH(R$2, 참고!$C$4:$J$4, 0))</f>
        <v>0</v>
      </c>
      <c r="S105">
        <f>INDEX(참고!$C$5:$J$12, MATCH($J$2, 참고!$B$5:$B$12, 0), MATCH(S$2, 참고!$C$4:$J$4, 0))</f>
        <v>0</v>
      </c>
      <c r="T105">
        <f>INDEX(참고!$C$5:$J$12, MATCH($J$2, 참고!$B$5:$B$12, 0), MATCH(T$2, 참고!$C$4:$J$4, 0))</f>
        <v>0</v>
      </c>
      <c r="U105">
        <f>INDEX(참고!$C$5:$J$12, MATCH($J$2, 참고!$B$5:$B$12, 0), MATCH(U$2, 참고!$C$4:$J$4, 0))</f>
        <v>0</v>
      </c>
    </row>
    <row r="106" spans="1:21">
      <c r="A106" t="s">
        <v>231</v>
      </c>
      <c r="B106" s="9">
        <v>6250</v>
      </c>
      <c r="C106">
        <f t="shared" si="1"/>
        <v>31245</v>
      </c>
      <c r="O106">
        <f>INDEX(참고!$C$5:$J$12, MATCH("생명", 참고!$B$5:$B$12, 0), MATCH("HP", 참고!$C$4:$J$4, 0))*J106
+INDEX(참고!$C$5:$J$12, MATCH("힘", 참고!$B$5:$B$12, 0), MATCH("HP", 참고!$C$4:$J$4, 0))*K106
+INDEX(참고!$C$5:$J$12, MATCH("근력", 참고!$B$5:$B$12, 0), MATCH("HP", 참고!$C$4:$J$4, 0))*L106
+INDEX(참고!$C$5:$J$12, MATCH("숙련도", 참고!$B$5:$B$12, 0), MATCH("HP", 참고!$C$4:$J$4, 0))*M106
+INDEX(참고!$C$5:$J$12, MATCH("행운", 참고!$B$5:$B$12, 0), MATCH("HP", 참고!$C$4:$J$4, 0))*N106</f>
        <v>0</v>
      </c>
      <c r="P106">
        <f>INDEX(참고!$C$5:$J$12, MATCH($J$2, 참고!$B$5:$B$12, 0), MATCH(P$2, 참고!$C$4:$J$4, 0))</f>
        <v>3</v>
      </c>
      <c r="Q106">
        <f>INDEX(참고!$C$5:$J$12, MATCH($J$2, 참고!$B$5:$B$12, 0), MATCH(Q$2, 참고!$C$4:$J$4, 0))</f>
        <v>1</v>
      </c>
      <c r="R106">
        <f>INDEX(참고!$C$5:$J$12, MATCH($J$2, 참고!$B$5:$B$12, 0), MATCH(R$2, 참고!$C$4:$J$4, 0))</f>
        <v>0</v>
      </c>
      <c r="S106">
        <f>INDEX(참고!$C$5:$J$12, MATCH($J$2, 참고!$B$5:$B$12, 0), MATCH(S$2, 참고!$C$4:$J$4, 0))</f>
        <v>0</v>
      </c>
      <c r="T106">
        <f>INDEX(참고!$C$5:$J$12, MATCH($J$2, 참고!$B$5:$B$12, 0), MATCH(T$2, 참고!$C$4:$J$4, 0))</f>
        <v>0</v>
      </c>
      <c r="U106">
        <f>INDEX(참고!$C$5:$J$12, MATCH($J$2, 참고!$B$5:$B$12, 0), MATCH(U$2, 참고!$C$4:$J$4, 0))</f>
        <v>0</v>
      </c>
    </row>
    <row r="107" spans="1:21">
      <c r="A107" t="s">
        <v>232</v>
      </c>
      <c r="B107" s="9">
        <v>6500</v>
      </c>
      <c r="C107">
        <f t="shared" si="1"/>
        <v>32495</v>
      </c>
      <c r="O107">
        <f>INDEX(참고!$C$5:$J$12, MATCH("생명", 참고!$B$5:$B$12, 0), MATCH("HP", 참고!$C$4:$J$4, 0))*J107
+INDEX(참고!$C$5:$J$12, MATCH("힘", 참고!$B$5:$B$12, 0), MATCH("HP", 참고!$C$4:$J$4, 0))*K107
+INDEX(참고!$C$5:$J$12, MATCH("근력", 참고!$B$5:$B$12, 0), MATCH("HP", 참고!$C$4:$J$4, 0))*L107
+INDEX(참고!$C$5:$J$12, MATCH("숙련도", 참고!$B$5:$B$12, 0), MATCH("HP", 참고!$C$4:$J$4, 0))*M107
+INDEX(참고!$C$5:$J$12, MATCH("행운", 참고!$B$5:$B$12, 0), MATCH("HP", 참고!$C$4:$J$4, 0))*N107</f>
        <v>0</v>
      </c>
      <c r="P107">
        <f>INDEX(참고!$C$5:$J$12, MATCH($J$2, 참고!$B$5:$B$12, 0), MATCH(P$2, 참고!$C$4:$J$4, 0))</f>
        <v>3</v>
      </c>
      <c r="Q107">
        <f>INDEX(참고!$C$5:$J$12, MATCH($J$2, 참고!$B$5:$B$12, 0), MATCH(Q$2, 참고!$C$4:$J$4, 0))</f>
        <v>1</v>
      </c>
      <c r="R107">
        <f>INDEX(참고!$C$5:$J$12, MATCH($J$2, 참고!$B$5:$B$12, 0), MATCH(R$2, 참고!$C$4:$J$4, 0))</f>
        <v>0</v>
      </c>
      <c r="S107">
        <f>INDEX(참고!$C$5:$J$12, MATCH($J$2, 참고!$B$5:$B$12, 0), MATCH(S$2, 참고!$C$4:$J$4, 0))</f>
        <v>0</v>
      </c>
      <c r="T107">
        <f>INDEX(참고!$C$5:$J$12, MATCH($J$2, 참고!$B$5:$B$12, 0), MATCH(T$2, 참고!$C$4:$J$4, 0))</f>
        <v>0</v>
      </c>
      <c r="U107">
        <f>INDEX(참고!$C$5:$J$12, MATCH($J$2, 참고!$B$5:$B$12, 0), MATCH(U$2, 참고!$C$4:$J$4, 0))</f>
        <v>0</v>
      </c>
    </row>
    <row r="108" spans="1:21">
      <c r="A108" t="s">
        <v>233</v>
      </c>
      <c r="B108" s="9">
        <v>6750</v>
      </c>
      <c r="C108">
        <f t="shared" si="1"/>
        <v>33745</v>
      </c>
      <c r="O108">
        <f>INDEX(참고!$C$5:$J$12, MATCH("생명", 참고!$B$5:$B$12, 0), MATCH("HP", 참고!$C$4:$J$4, 0))*J108
+INDEX(참고!$C$5:$J$12, MATCH("힘", 참고!$B$5:$B$12, 0), MATCH("HP", 참고!$C$4:$J$4, 0))*K108
+INDEX(참고!$C$5:$J$12, MATCH("근력", 참고!$B$5:$B$12, 0), MATCH("HP", 참고!$C$4:$J$4, 0))*L108
+INDEX(참고!$C$5:$J$12, MATCH("숙련도", 참고!$B$5:$B$12, 0), MATCH("HP", 참고!$C$4:$J$4, 0))*M108
+INDEX(참고!$C$5:$J$12, MATCH("행운", 참고!$B$5:$B$12, 0), MATCH("HP", 참고!$C$4:$J$4, 0))*N108</f>
        <v>0</v>
      </c>
      <c r="P108">
        <f>INDEX(참고!$C$5:$J$12, MATCH($J$2, 참고!$B$5:$B$12, 0), MATCH(P$2, 참고!$C$4:$J$4, 0))</f>
        <v>3</v>
      </c>
      <c r="Q108">
        <f>INDEX(참고!$C$5:$J$12, MATCH($J$2, 참고!$B$5:$B$12, 0), MATCH(Q$2, 참고!$C$4:$J$4, 0))</f>
        <v>1</v>
      </c>
      <c r="R108">
        <f>INDEX(참고!$C$5:$J$12, MATCH($J$2, 참고!$B$5:$B$12, 0), MATCH(R$2, 참고!$C$4:$J$4, 0))</f>
        <v>0</v>
      </c>
      <c r="S108">
        <f>INDEX(참고!$C$5:$J$12, MATCH($J$2, 참고!$B$5:$B$12, 0), MATCH(S$2, 참고!$C$4:$J$4, 0))</f>
        <v>0</v>
      </c>
      <c r="T108">
        <f>INDEX(참고!$C$5:$J$12, MATCH($J$2, 참고!$B$5:$B$12, 0), MATCH(T$2, 참고!$C$4:$J$4, 0))</f>
        <v>0</v>
      </c>
      <c r="U108">
        <f>INDEX(참고!$C$5:$J$12, MATCH($J$2, 참고!$B$5:$B$12, 0), MATCH(U$2, 참고!$C$4:$J$4, 0))</f>
        <v>0</v>
      </c>
    </row>
    <row r="109" spans="1:21">
      <c r="A109" t="s">
        <v>234</v>
      </c>
      <c r="B109" s="9">
        <v>7000</v>
      </c>
      <c r="C109">
        <f t="shared" si="1"/>
        <v>34995</v>
      </c>
      <c r="O109">
        <f>INDEX(참고!$C$5:$J$12, MATCH("생명", 참고!$B$5:$B$12, 0), MATCH("HP", 참고!$C$4:$J$4, 0))*J109
+INDEX(참고!$C$5:$J$12, MATCH("힘", 참고!$B$5:$B$12, 0), MATCH("HP", 참고!$C$4:$J$4, 0))*K109
+INDEX(참고!$C$5:$J$12, MATCH("근력", 참고!$B$5:$B$12, 0), MATCH("HP", 참고!$C$4:$J$4, 0))*L109
+INDEX(참고!$C$5:$J$12, MATCH("숙련도", 참고!$B$5:$B$12, 0), MATCH("HP", 참고!$C$4:$J$4, 0))*M109
+INDEX(참고!$C$5:$J$12, MATCH("행운", 참고!$B$5:$B$12, 0), MATCH("HP", 참고!$C$4:$J$4, 0))*N109</f>
        <v>0</v>
      </c>
      <c r="P109">
        <f>INDEX(참고!$C$5:$J$12, MATCH($J$2, 참고!$B$5:$B$12, 0), MATCH(P$2, 참고!$C$4:$J$4, 0))</f>
        <v>3</v>
      </c>
      <c r="Q109">
        <f>INDEX(참고!$C$5:$J$12, MATCH($J$2, 참고!$B$5:$B$12, 0), MATCH(Q$2, 참고!$C$4:$J$4, 0))</f>
        <v>1</v>
      </c>
      <c r="R109">
        <f>INDEX(참고!$C$5:$J$12, MATCH($J$2, 참고!$B$5:$B$12, 0), MATCH(R$2, 참고!$C$4:$J$4, 0))</f>
        <v>0</v>
      </c>
      <c r="S109">
        <f>INDEX(참고!$C$5:$J$12, MATCH($J$2, 참고!$B$5:$B$12, 0), MATCH(S$2, 참고!$C$4:$J$4, 0))</f>
        <v>0</v>
      </c>
      <c r="T109">
        <f>INDEX(참고!$C$5:$J$12, MATCH($J$2, 참고!$B$5:$B$12, 0), MATCH(T$2, 참고!$C$4:$J$4, 0))</f>
        <v>0</v>
      </c>
      <c r="U109">
        <f>INDEX(참고!$C$5:$J$12, MATCH($J$2, 참고!$B$5:$B$12, 0), MATCH(U$2, 참고!$C$4:$J$4, 0))</f>
        <v>0</v>
      </c>
    </row>
    <row r="110" spans="1:21">
      <c r="A110" t="s">
        <v>235</v>
      </c>
      <c r="B110" s="9">
        <v>7500</v>
      </c>
      <c r="C110">
        <f t="shared" si="1"/>
        <v>37495</v>
      </c>
      <c r="O110">
        <f>INDEX(참고!$C$5:$J$12, MATCH("생명", 참고!$B$5:$B$12, 0), MATCH("HP", 참고!$C$4:$J$4, 0))*J110
+INDEX(참고!$C$5:$J$12, MATCH("힘", 참고!$B$5:$B$12, 0), MATCH("HP", 참고!$C$4:$J$4, 0))*K110
+INDEX(참고!$C$5:$J$12, MATCH("근력", 참고!$B$5:$B$12, 0), MATCH("HP", 참고!$C$4:$J$4, 0))*L110
+INDEX(참고!$C$5:$J$12, MATCH("숙련도", 참고!$B$5:$B$12, 0), MATCH("HP", 참고!$C$4:$J$4, 0))*M110
+INDEX(참고!$C$5:$J$12, MATCH("행운", 참고!$B$5:$B$12, 0), MATCH("HP", 참고!$C$4:$J$4, 0))*N110</f>
        <v>0</v>
      </c>
      <c r="P110">
        <f>INDEX(참고!$C$5:$J$12, MATCH($J$2, 참고!$B$5:$B$12, 0), MATCH(P$2, 참고!$C$4:$J$4, 0))</f>
        <v>3</v>
      </c>
      <c r="Q110">
        <f>INDEX(참고!$C$5:$J$12, MATCH($J$2, 참고!$B$5:$B$12, 0), MATCH(Q$2, 참고!$C$4:$J$4, 0))</f>
        <v>1</v>
      </c>
      <c r="R110">
        <f>INDEX(참고!$C$5:$J$12, MATCH($J$2, 참고!$B$5:$B$12, 0), MATCH(R$2, 참고!$C$4:$J$4, 0))</f>
        <v>0</v>
      </c>
      <c r="S110">
        <f>INDEX(참고!$C$5:$J$12, MATCH($J$2, 참고!$B$5:$B$12, 0), MATCH(S$2, 참고!$C$4:$J$4, 0))</f>
        <v>0</v>
      </c>
      <c r="T110">
        <f>INDEX(참고!$C$5:$J$12, MATCH($J$2, 참고!$B$5:$B$12, 0), MATCH(T$2, 참고!$C$4:$J$4, 0))</f>
        <v>0</v>
      </c>
      <c r="U110">
        <f>INDEX(참고!$C$5:$J$12, MATCH($J$2, 참고!$B$5:$B$12, 0), MATCH(U$2, 참고!$C$4:$J$4, 0))</f>
        <v>0</v>
      </c>
    </row>
    <row r="111" spans="1:21">
      <c r="A111" t="s">
        <v>236</v>
      </c>
      <c r="B111" s="9">
        <v>7300</v>
      </c>
      <c r="C111">
        <f t="shared" si="1"/>
        <v>36495</v>
      </c>
      <c r="O111">
        <f>INDEX(참고!$C$5:$J$12, MATCH("생명", 참고!$B$5:$B$12, 0), MATCH("HP", 참고!$C$4:$J$4, 0))*J111
+INDEX(참고!$C$5:$J$12, MATCH("힘", 참고!$B$5:$B$12, 0), MATCH("HP", 참고!$C$4:$J$4, 0))*K111
+INDEX(참고!$C$5:$J$12, MATCH("근력", 참고!$B$5:$B$12, 0), MATCH("HP", 참고!$C$4:$J$4, 0))*L111
+INDEX(참고!$C$5:$J$12, MATCH("숙련도", 참고!$B$5:$B$12, 0), MATCH("HP", 참고!$C$4:$J$4, 0))*M111
+INDEX(참고!$C$5:$J$12, MATCH("행운", 참고!$B$5:$B$12, 0), MATCH("HP", 참고!$C$4:$J$4, 0))*N111</f>
        <v>0</v>
      </c>
      <c r="P111">
        <f>INDEX(참고!$C$5:$J$12, MATCH($J$2, 참고!$B$5:$B$12, 0), MATCH(P$2, 참고!$C$4:$J$4, 0))</f>
        <v>3</v>
      </c>
      <c r="Q111">
        <f>INDEX(참고!$C$5:$J$12, MATCH($J$2, 참고!$B$5:$B$12, 0), MATCH(Q$2, 참고!$C$4:$J$4, 0))</f>
        <v>1</v>
      </c>
      <c r="R111">
        <f>INDEX(참고!$C$5:$J$12, MATCH($J$2, 참고!$B$5:$B$12, 0), MATCH(R$2, 참고!$C$4:$J$4, 0))</f>
        <v>0</v>
      </c>
      <c r="S111">
        <f>INDEX(참고!$C$5:$J$12, MATCH($J$2, 참고!$B$5:$B$12, 0), MATCH(S$2, 참고!$C$4:$J$4, 0))</f>
        <v>0</v>
      </c>
      <c r="T111">
        <f>INDEX(참고!$C$5:$J$12, MATCH($J$2, 참고!$B$5:$B$12, 0), MATCH(T$2, 참고!$C$4:$J$4, 0))</f>
        <v>0</v>
      </c>
      <c r="U111">
        <f>INDEX(참고!$C$5:$J$12, MATCH($J$2, 참고!$B$5:$B$12, 0), MATCH(U$2, 참고!$C$4:$J$4, 0))</f>
        <v>0</v>
      </c>
    </row>
    <row r="112" spans="1:21">
      <c r="A112" t="s">
        <v>237</v>
      </c>
      <c r="B112" s="9">
        <v>7600</v>
      </c>
      <c r="C112">
        <f t="shared" si="1"/>
        <v>37995</v>
      </c>
      <c r="O112">
        <f>INDEX(참고!$C$5:$J$12, MATCH("생명", 참고!$B$5:$B$12, 0), MATCH("HP", 참고!$C$4:$J$4, 0))*J112
+INDEX(참고!$C$5:$J$12, MATCH("힘", 참고!$B$5:$B$12, 0), MATCH("HP", 참고!$C$4:$J$4, 0))*K112
+INDEX(참고!$C$5:$J$12, MATCH("근력", 참고!$B$5:$B$12, 0), MATCH("HP", 참고!$C$4:$J$4, 0))*L112
+INDEX(참고!$C$5:$J$12, MATCH("숙련도", 참고!$B$5:$B$12, 0), MATCH("HP", 참고!$C$4:$J$4, 0))*M112
+INDEX(참고!$C$5:$J$12, MATCH("행운", 참고!$B$5:$B$12, 0), MATCH("HP", 참고!$C$4:$J$4, 0))*N112</f>
        <v>0</v>
      </c>
      <c r="P112">
        <f>INDEX(참고!$C$5:$J$12, MATCH($J$2, 참고!$B$5:$B$12, 0), MATCH(P$2, 참고!$C$4:$J$4, 0))</f>
        <v>3</v>
      </c>
      <c r="Q112">
        <f>INDEX(참고!$C$5:$J$12, MATCH($J$2, 참고!$B$5:$B$12, 0), MATCH(Q$2, 참고!$C$4:$J$4, 0))</f>
        <v>1</v>
      </c>
      <c r="R112">
        <f>INDEX(참고!$C$5:$J$12, MATCH($J$2, 참고!$B$5:$B$12, 0), MATCH(R$2, 참고!$C$4:$J$4, 0))</f>
        <v>0</v>
      </c>
      <c r="S112">
        <f>INDEX(참고!$C$5:$J$12, MATCH($J$2, 참고!$B$5:$B$12, 0), MATCH(S$2, 참고!$C$4:$J$4, 0))</f>
        <v>0</v>
      </c>
      <c r="T112">
        <f>INDEX(참고!$C$5:$J$12, MATCH($J$2, 참고!$B$5:$B$12, 0), MATCH(T$2, 참고!$C$4:$J$4, 0))</f>
        <v>0</v>
      </c>
      <c r="U112">
        <f>INDEX(참고!$C$5:$J$12, MATCH($J$2, 참고!$B$5:$B$12, 0), MATCH(U$2, 참고!$C$4:$J$4, 0))</f>
        <v>0</v>
      </c>
    </row>
    <row r="113" spans="1:21">
      <c r="A113" t="s">
        <v>238</v>
      </c>
      <c r="B113" s="9">
        <v>7900</v>
      </c>
      <c r="C113">
        <f t="shared" si="1"/>
        <v>39495</v>
      </c>
      <c r="O113">
        <f>INDEX(참고!$C$5:$J$12, MATCH("생명", 참고!$B$5:$B$12, 0), MATCH("HP", 참고!$C$4:$J$4, 0))*J113
+INDEX(참고!$C$5:$J$12, MATCH("힘", 참고!$B$5:$B$12, 0), MATCH("HP", 참고!$C$4:$J$4, 0))*K113
+INDEX(참고!$C$5:$J$12, MATCH("근력", 참고!$B$5:$B$12, 0), MATCH("HP", 참고!$C$4:$J$4, 0))*L113
+INDEX(참고!$C$5:$J$12, MATCH("숙련도", 참고!$B$5:$B$12, 0), MATCH("HP", 참고!$C$4:$J$4, 0))*M113
+INDEX(참고!$C$5:$J$12, MATCH("행운", 참고!$B$5:$B$12, 0), MATCH("HP", 참고!$C$4:$J$4, 0))*N113</f>
        <v>0</v>
      </c>
      <c r="P113">
        <f>INDEX(참고!$C$5:$J$12, MATCH($J$2, 참고!$B$5:$B$12, 0), MATCH(P$2, 참고!$C$4:$J$4, 0))</f>
        <v>3</v>
      </c>
      <c r="Q113">
        <f>INDEX(참고!$C$5:$J$12, MATCH($J$2, 참고!$B$5:$B$12, 0), MATCH(Q$2, 참고!$C$4:$J$4, 0))</f>
        <v>1</v>
      </c>
      <c r="R113">
        <f>INDEX(참고!$C$5:$J$12, MATCH($J$2, 참고!$B$5:$B$12, 0), MATCH(R$2, 참고!$C$4:$J$4, 0))</f>
        <v>0</v>
      </c>
      <c r="S113">
        <f>INDEX(참고!$C$5:$J$12, MATCH($J$2, 참고!$B$5:$B$12, 0), MATCH(S$2, 참고!$C$4:$J$4, 0))</f>
        <v>0</v>
      </c>
      <c r="T113">
        <f>INDEX(참고!$C$5:$J$12, MATCH($J$2, 참고!$B$5:$B$12, 0), MATCH(T$2, 참고!$C$4:$J$4, 0))</f>
        <v>0</v>
      </c>
      <c r="U113">
        <f>INDEX(참고!$C$5:$J$12, MATCH($J$2, 참고!$B$5:$B$12, 0), MATCH(U$2, 참고!$C$4:$J$4, 0))</f>
        <v>0</v>
      </c>
    </row>
    <row r="114" spans="1:21">
      <c r="A114" t="s">
        <v>239</v>
      </c>
      <c r="B114" s="9">
        <v>8200</v>
      </c>
      <c r="C114">
        <f t="shared" si="1"/>
        <v>40995</v>
      </c>
      <c r="O114">
        <f>INDEX(참고!$C$5:$J$12, MATCH("생명", 참고!$B$5:$B$12, 0), MATCH("HP", 참고!$C$4:$J$4, 0))*J114
+INDEX(참고!$C$5:$J$12, MATCH("힘", 참고!$B$5:$B$12, 0), MATCH("HP", 참고!$C$4:$J$4, 0))*K114
+INDEX(참고!$C$5:$J$12, MATCH("근력", 참고!$B$5:$B$12, 0), MATCH("HP", 참고!$C$4:$J$4, 0))*L114
+INDEX(참고!$C$5:$J$12, MATCH("숙련도", 참고!$B$5:$B$12, 0), MATCH("HP", 참고!$C$4:$J$4, 0))*M114
+INDEX(참고!$C$5:$J$12, MATCH("행운", 참고!$B$5:$B$12, 0), MATCH("HP", 참고!$C$4:$J$4, 0))*N114</f>
        <v>0</v>
      </c>
      <c r="P114">
        <f>INDEX(참고!$C$5:$J$12, MATCH($J$2, 참고!$B$5:$B$12, 0), MATCH(P$2, 참고!$C$4:$J$4, 0))</f>
        <v>3</v>
      </c>
      <c r="Q114">
        <f>INDEX(참고!$C$5:$J$12, MATCH($J$2, 참고!$B$5:$B$12, 0), MATCH(Q$2, 참고!$C$4:$J$4, 0))</f>
        <v>1</v>
      </c>
      <c r="R114">
        <f>INDEX(참고!$C$5:$J$12, MATCH($J$2, 참고!$B$5:$B$12, 0), MATCH(R$2, 참고!$C$4:$J$4, 0))</f>
        <v>0</v>
      </c>
      <c r="S114">
        <f>INDEX(참고!$C$5:$J$12, MATCH($J$2, 참고!$B$5:$B$12, 0), MATCH(S$2, 참고!$C$4:$J$4, 0))</f>
        <v>0</v>
      </c>
      <c r="T114">
        <f>INDEX(참고!$C$5:$J$12, MATCH($J$2, 참고!$B$5:$B$12, 0), MATCH(T$2, 참고!$C$4:$J$4, 0))</f>
        <v>0</v>
      </c>
      <c r="U114">
        <f>INDEX(참고!$C$5:$J$12, MATCH($J$2, 참고!$B$5:$B$12, 0), MATCH(U$2, 참고!$C$4:$J$4, 0))</f>
        <v>0</v>
      </c>
    </row>
    <row r="115" spans="1:21">
      <c r="A115" t="s">
        <v>240</v>
      </c>
      <c r="B115" s="9">
        <v>8600</v>
      </c>
      <c r="C115">
        <f t="shared" si="1"/>
        <v>42995</v>
      </c>
      <c r="O115">
        <f>INDEX(참고!$C$5:$J$12, MATCH("생명", 참고!$B$5:$B$12, 0), MATCH("HP", 참고!$C$4:$J$4, 0))*J115
+INDEX(참고!$C$5:$J$12, MATCH("힘", 참고!$B$5:$B$12, 0), MATCH("HP", 참고!$C$4:$J$4, 0))*K115
+INDEX(참고!$C$5:$J$12, MATCH("근력", 참고!$B$5:$B$12, 0), MATCH("HP", 참고!$C$4:$J$4, 0))*L115
+INDEX(참고!$C$5:$J$12, MATCH("숙련도", 참고!$B$5:$B$12, 0), MATCH("HP", 참고!$C$4:$J$4, 0))*M115
+INDEX(참고!$C$5:$J$12, MATCH("행운", 참고!$B$5:$B$12, 0), MATCH("HP", 참고!$C$4:$J$4, 0))*N115</f>
        <v>0</v>
      </c>
      <c r="P115">
        <f>INDEX(참고!$C$5:$J$12, MATCH($J$2, 참고!$B$5:$B$12, 0), MATCH(P$2, 참고!$C$4:$J$4, 0))</f>
        <v>3</v>
      </c>
      <c r="Q115">
        <f>INDEX(참고!$C$5:$J$12, MATCH($J$2, 참고!$B$5:$B$12, 0), MATCH(Q$2, 참고!$C$4:$J$4, 0))</f>
        <v>1</v>
      </c>
      <c r="R115">
        <f>INDEX(참고!$C$5:$J$12, MATCH($J$2, 참고!$B$5:$B$12, 0), MATCH(R$2, 참고!$C$4:$J$4, 0))</f>
        <v>0</v>
      </c>
      <c r="S115">
        <f>INDEX(참고!$C$5:$J$12, MATCH($J$2, 참고!$B$5:$B$12, 0), MATCH(S$2, 참고!$C$4:$J$4, 0))</f>
        <v>0</v>
      </c>
      <c r="T115">
        <f>INDEX(참고!$C$5:$J$12, MATCH($J$2, 참고!$B$5:$B$12, 0), MATCH(T$2, 참고!$C$4:$J$4, 0))</f>
        <v>0</v>
      </c>
      <c r="U115">
        <f>INDEX(참고!$C$5:$J$12, MATCH($J$2, 참고!$B$5:$B$12, 0), MATCH(U$2, 참고!$C$4:$J$4, 0))</f>
        <v>0</v>
      </c>
    </row>
    <row r="116" spans="1:21">
      <c r="A116" t="s">
        <v>241</v>
      </c>
      <c r="B116" s="9">
        <v>9000</v>
      </c>
      <c r="C116">
        <f t="shared" si="1"/>
        <v>44995</v>
      </c>
      <c r="O116">
        <f>INDEX(참고!$C$5:$J$12, MATCH("생명", 참고!$B$5:$B$12, 0), MATCH("HP", 참고!$C$4:$J$4, 0))*J116
+INDEX(참고!$C$5:$J$12, MATCH("힘", 참고!$B$5:$B$12, 0), MATCH("HP", 참고!$C$4:$J$4, 0))*K116
+INDEX(참고!$C$5:$J$12, MATCH("근력", 참고!$B$5:$B$12, 0), MATCH("HP", 참고!$C$4:$J$4, 0))*L116
+INDEX(참고!$C$5:$J$12, MATCH("숙련도", 참고!$B$5:$B$12, 0), MATCH("HP", 참고!$C$4:$J$4, 0))*M116
+INDEX(참고!$C$5:$J$12, MATCH("행운", 참고!$B$5:$B$12, 0), MATCH("HP", 참고!$C$4:$J$4, 0))*N116</f>
        <v>0</v>
      </c>
      <c r="P116">
        <f>INDEX(참고!$C$5:$J$12, MATCH($J$2, 참고!$B$5:$B$12, 0), MATCH(P$2, 참고!$C$4:$J$4, 0))</f>
        <v>3</v>
      </c>
      <c r="Q116">
        <f>INDEX(참고!$C$5:$J$12, MATCH($J$2, 참고!$B$5:$B$12, 0), MATCH(Q$2, 참고!$C$4:$J$4, 0))</f>
        <v>1</v>
      </c>
      <c r="R116">
        <f>INDEX(참고!$C$5:$J$12, MATCH($J$2, 참고!$B$5:$B$12, 0), MATCH(R$2, 참고!$C$4:$J$4, 0))</f>
        <v>0</v>
      </c>
      <c r="S116">
        <f>INDEX(참고!$C$5:$J$12, MATCH($J$2, 참고!$B$5:$B$12, 0), MATCH(S$2, 참고!$C$4:$J$4, 0))</f>
        <v>0</v>
      </c>
      <c r="T116">
        <f>INDEX(참고!$C$5:$J$12, MATCH($J$2, 참고!$B$5:$B$12, 0), MATCH(T$2, 참고!$C$4:$J$4, 0))</f>
        <v>0</v>
      </c>
      <c r="U116">
        <f>INDEX(참고!$C$5:$J$12, MATCH($J$2, 참고!$B$5:$B$12, 0), MATCH(U$2, 참고!$C$4:$J$4, 0))</f>
        <v>0</v>
      </c>
    </row>
    <row r="117" spans="1:21">
      <c r="A117" t="s">
        <v>242</v>
      </c>
      <c r="B117" s="9">
        <v>9400</v>
      </c>
      <c r="C117">
        <f t="shared" si="1"/>
        <v>46995</v>
      </c>
      <c r="O117">
        <f>INDEX(참고!$C$5:$J$12, MATCH("생명", 참고!$B$5:$B$12, 0), MATCH("HP", 참고!$C$4:$J$4, 0))*J117
+INDEX(참고!$C$5:$J$12, MATCH("힘", 참고!$B$5:$B$12, 0), MATCH("HP", 참고!$C$4:$J$4, 0))*K117
+INDEX(참고!$C$5:$J$12, MATCH("근력", 참고!$B$5:$B$12, 0), MATCH("HP", 참고!$C$4:$J$4, 0))*L117
+INDEX(참고!$C$5:$J$12, MATCH("숙련도", 참고!$B$5:$B$12, 0), MATCH("HP", 참고!$C$4:$J$4, 0))*M117
+INDEX(참고!$C$5:$J$12, MATCH("행운", 참고!$B$5:$B$12, 0), MATCH("HP", 참고!$C$4:$J$4, 0))*N117</f>
        <v>0</v>
      </c>
      <c r="P117">
        <f>INDEX(참고!$C$5:$J$12, MATCH($J$2, 참고!$B$5:$B$12, 0), MATCH(P$2, 참고!$C$4:$J$4, 0))</f>
        <v>3</v>
      </c>
      <c r="Q117">
        <f>INDEX(참고!$C$5:$J$12, MATCH($J$2, 참고!$B$5:$B$12, 0), MATCH(Q$2, 참고!$C$4:$J$4, 0))</f>
        <v>1</v>
      </c>
      <c r="R117">
        <f>INDEX(참고!$C$5:$J$12, MATCH($J$2, 참고!$B$5:$B$12, 0), MATCH(R$2, 참고!$C$4:$J$4, 0))</f>
        <v>0</v>
      </c>
      <c r="S117">
        <f>INDEX(참고!$C$5:$J$12, MATCH($J$2, 참고!$B$5:$B$12, 0), MATCH(S$2, 참고!$C$4:$J$4, 0))</f>
        <v>0</v>
      </c>
      <c r="T117">
        <f>INDEX(참고!$C$5:$J$12, MATCH($J$2, 참고!$B$5:$B$12, 0), MATCH(T$2, 참고!$C$4:$J$4, 0))</f>
        <v>0</v>
      </c>
      <c r="U117">
        <f>INDEX(참고!$C$5:$J$12, MATCH($J$2, 참고!$B$5:$B$12, 0), MATCH(U$2, 참고!$C$4:$J$4, 0))</f>
        <v>0</v>
      </c>
    </row>
    <row r="118" spans="1:21">
      <c r="A118" t="s">
        <v>243</v>
      </c>
      <c r="B118" s="9">
        <v>9800</v>
      </c>
      <c r="C118">
        <f t="shared" si="1"/>
        <v>48995</v>
      </c>
      <c r="O118">
        <f>INDEX(참고!$C$5:$J$12, MATCH("생명", 참고!$B$5:$B$12, 0), MATCH("HP", 참고!$C$4:$J$4, 0))*J118
+INDEX(참고!$C$5:$J$12, MATCH("힘", 참고!$B$5:$B$12, 0), MATCH("HP", 참고!$C$4:$J$4, 0))*K118
+INDEX(참고!$C$5:$J$12, MATCH("근력", 참고!$B$5:$B$12, 0), MATCH("HP", 참고!$C$4:$J$4, 0))*L118
+INDEX(참고!$C$5:$J$12, MATCH("숙련도", 참고!$B$5:$B$12, 0), MATCH("HP", 참고!$C$4:$J$4, 0))*M118
+INDEX(참고!$C$5:$J$12, MATCH("행운", 참고!$B$5:$B$12, 0), MATCH("HP", 참고!$C$4:$J$4, 0))*N118</f>
        <v>0</v>
      </c>
      <c r="P118">
        <f>INDEX(참고!$C$5:$J$12, MATCH($J$2, 참고!$B$5:$B$12, 0), MATCH(P$2, 참고!$C$4:$J$4, 0))</f>
        <v>3</v>
      </c>
      <c r="Q118">
        <f>INDEX(참고!$C$5:$J$12, MATCH($J$2, 참고!$B$5:$B$12, 0), MATCH(Q$2, 참고!$C$4:$J$4, 0))</f>
        <v>1</v>
      </c>
      <c r="R118">
        <f>INDEX(참고!$C$5:$J$12, MATCH($J$2, 참고!$B$5:$B$12, 0), MATCH(R$2, 참고!$C$4:$J$4, 0))</f>
        <v>0</v>
      </c>
      <c r="S118">
        <f>INDEX(참고!$C$5:$J$12, MATCH($J$2, 참고!$B$5:$B$12, 0), MATCH(S$2, 참고!$C$4:$J$4, 0))</f>
        <v>0</v>
      </c>
      <c r="T118">
        <f>INDEX(참고!$C$5:$J$12, MATCH($J$2, 참고!$B$5:$B$12, 0), MATCH(T$2, 참고!$C$4:$J$4, 0))</f>
        <v>0</v>
      </c>
      <c r="U118">
        <f>INDEX(참고!$C$5:$J$12, MATCH($J$2, 참고!$B$5:$B$12, 0), MATCH(U$2, 참고!$C$4:$J$4, 0))</f>
        <v>0</v>
      </c>
    </row>
    <row r="119" spans="1:21">
      <c r="A119" t="s">
        <v>244</v>
      </c>
      <c r="B119" s="9">
        <v>10000</v>
      </c>
      <c r="C119">
        <f t="shared" si="1"/>
        <v>49995</v>
      </c>
      <c r="O119">
        <f>INDEX(참고!$C$5:$J$12, MATCH("생명", 참고!$B$5:$B$12, 0), MATCH("HP", 참고!$C$4:$J$4, 0))*J119
+INDEX(참고!$C$5:$J$12, MATCH("힘", 참고!$B$5:$B$12, 0), MATCH("HP", 참고!$C$4:$J$4, 0))*K119
+INDEX(참고!$C$5:$J$12, MATCH("근력", 참고!$B$5:$B$12, 0), MATCH("HP", 참고!$C$4:$J$4, 0))*L119
+INDEX(참고!$C$5:$J$12, MATCH("숙련도", 참고!$B$5:$B$12, 0), MATCH("HP", 참고!$C$4:$J$4, 0))*M119
+INDEX(참고!$C$5:$J$12, MATCH("행운", 참고!$B$5:$B$12, 0), MATCH("HP", 참고!$C$4:$J$4, 0))*N119</f>
        <v>0</v>
      </c>
      <c r="P119">
        <f>INDEX(참고!$C$5:$J$12, MATCH($J$2, 참고!$B$5:$B$12, 0), MATCH(P$2, 참고!$C$4:$J$4, 0))</f>
        <v>3</v>
      </c>
      <c r="Q119">
        <f>INDEX(참고!$C$5:$J$12, MATCH($J$2, 참고!$B$5:$B$12, 0), MATCH(Q$2, 참고!$C$4:$J$4, 0))</f>
        <v>1</v>
      </c>
      <c r="R119">
        <f>INDEX(참고!$C$5:$J$12, MATCH($J$2, 참고!$B$5:$B$12, 0), MATCH(R$2, 참고!$C$4:$J$4, 0))</f>
        <v>0</v>
      </c>
      <c r="S119">
        <f>INDEX(참고!$C$5:$J$12, MATCH($J$2, 참고!$B$5:$B$12, 0), MATCH(S$2, 참고!$C$4:$J$4, 0))</f>
        <v>0</v>
      </c>
      <c r="T119">
        <f>INDEX(참고!$C$5:$J$12, MATCH($J$2, 참고!$B$5:$B$12, 0), MATCH(T$2, 참고!$C$4:$J$4, 0))</f>
        <v>0</v>
      </c>
      <c r="U119">
        <f>INDEX(참고!$C$5:$J$12, MATCH($J$2, 참고!$B$5:$B$12, 0), MATCH(U$2, 참고!$C$4:$J$4, 0))</f>
        <v>0</v>
      </c>
    </row>
    <row r="120" spans="1:21">
      <c r="A120" t="s">
        <v>245</v>
      </c>
      <c r="B120" s="9">
        <v>10000</v>
      </c>
      <c r="C120">
        <f t="shared" si="1"/>
        <v>49995</v>
      </c>
      <c r="O120">
        <f>INDEX(참고!$C$5:$J$12, MATCH("생명", 참고!$B$5:$B$12, 0), MATCH("HP", 참고!$C$4:$J$4, 0))*J120
+INDEX(참고!$C$5:$J$12, MATCH("힘", 참고!$B$5:$B$12, 0), MATCH("HP", 참고!$C$4:$J$4, 0))*K120
+INDEX(참고!$C$5:$J$12, MATCH("근력", 참고!$B$5:$B$12, 0), MATCH("HP", 참고!$C$4:$J$4, 0))*L120
+INDEX(참고!$C$5:$J$12, MATCH("숙련도", 참고!$B$5:$B$12, 0), MATCH("HP", 참고!$C$4:$J$4, 0))*M120
+INDEX(참고!$C$5:$J$12, MATCH("행운", 참고!$B$5:$B$12, 0), MATCH("HP", 참고!$C$4:$J$4, 0))*N120</f>
        <v>0</v>
      </c>
      <c r="P120">
        <f>INDEX(참고!$C$5:$J$12, MATCH($J$2, 참고!$B$5:$B$12, 0), MATCH(P$2, 참고!$C$4:$J$4, 0))</f>
        <v>3</v>
      </c>
      <c r="Q120">
        <f>INDEX(참고!$C$5:$J$12, MATCH($J$2, 참고!$B$5:$B$12, 0), MATCH(Q$2, 참고!$C$4:$J$4, 0))</f>
        <v>1</v>
      </c>
      <c r="R120">
        <f>INDEX(참고!$C$5:$J$12, MATCH($J$2, 참고!$B$5:$B$12, 0), MATCH(R$2, 참고!$C$4:$J$4, 0))</f>
        <v>0</v>
      </c>
      <c r="S120">
        <f>INDEX(참고!$C$5:$J$12, MATCH($J$2, 참고!$B$5:$B$12, 0), MATCH(S$2, 참고!$C$4:$J$4, 0))</f>
        <v>0</v>
      </c>
      <c r="T120">
        <f>INDEX(참고!$C$5:$J$12, MATCH($J$2, 참고!$B$5:$B$12, 0), MATCH(T$2, 참고!$C$4:$J$4, 0))</f>
        <v>0</v>
      </c>
      <c r="U120">
        <f>INDEX(참고!$C$5:$J$12, MATCH($J$2, 참고!$B$5:$B$12, 0), MATCH(U$2, 참고!$C$4:$J$4, 0))</f>
        <v>0</v>
      </c>
    </row>
    <row r="121" spans="1:21">
      <c r="A121" t="s">
        <v>246</v>
      </c>
      <c r="B121" s="9">
        <v>10500</v>
      </c>
      <c r="C121">
        <f t="shared" si="1"/>
        <v>52495</v>
      </c>
      <c r="O121">
        <f>INDEX(참고!$C$5:$J$12, MATCH("생명", 참고!$B$5:$B$12, 0), MATCH("HP", 참고!$C$4:$J$4, 0))*J121
+INDEX(참고!$C$5:$J$12, MATCH("힘", 참고!$B$5:$B$12, 0), MATCH("HP", 참고!$C$4:$J$4, 0))*K121
+INDEX(참고!$C$5:$J$12, MATCH("근력", 참고!$B$5:$B$12, 0), MATCH("HP", 참고!$C$4:$J$4, 0))*L121
+INDEX(참고!$C$5:$J$12, MATCH("숙련도", 참고!$B$5:$B$12, 0), MATCH("HP", 참고!$C$4:$J$4, 0))*M121
+INDEX(참고!$C$5:$J$12, MATCH("행운", 참고!$B$5:$B$12, 0), MATCH("HP", 참고!$C$4:$J$4, 0))*N121</f>
        <v>0</v>
      </c>
      <c r="P121">
        <f>INDEX(참고!$C$5:$J$12, MATCH($J$2, 참고!$B$5:$B$12, 0), MATCH(P$2, 참고!$C$4:$J$4, 0))</f>
        <v>3</v>
      </c>
      <c r="Q121">
        <f>INDEX(참고!$C$5:$J$12, MATCH($J$2, 참고!$B$5:$B$12, 0), MATCH(Q$2, 참고!$C$4:$J$4, 0))</f>
        <v>1</v>
      </c>
      <c r="R121">
        <f>INDEX(참고!$C$5:$J$12, MATCH($J$2, 참고!$B$5:$B$12, 0), MATCH(R$2, 참고!$C$4:$J$4, 0))</f>
        <v>0</v>
      </c>
      <c r="S121">
        <f>INDEX(참고!$C$5:$J$12, MATCH($J$2, 참고!$B$5:$B$12, 0), MATCH(S$2, 참고!$C$4:$J$4, 0))</f>
        <v>0</v>
      </c>
      <c r="T121">
        <f>INDEX(참고!$C$5:$J$12, MATCH($J$2, 참고!$B$5:$B$12, 0), MATCH(T$2, 참고!$C$4:$J$4, 0))</f>
        <v>0</v>
      </c>
      <c r="U121">
        <f>INDEX(참고!$C$5:$J$12, MATCH($J$2, 참고!$B$5:$B$12, 0), MATCH(U$2, 참고!$C$4:$J$4, 0))</f>
        <v>0</v>
      </c>
    </row>
    <row r="122" spans="1:21">
      <c r="A122" t="s">
        <v>247</v>
      </c>
      <c r="B122" s="9">
        <v>11000</v>
      </c>
      <c r="C122">
        <f t="shared" si="1"/>
        <v>54995</v>
      </c>
      <c r="O122">
        <f>INDEX(참고!$C$5:$J$12, MATCH("생명", 참고!$B$5:$B$12, 0), MATCH("HP", 참고!$C$4:$J$4, 0))*J122
+INDEX(참고!$C$5:$J$12, MATCH("힘", 참고!$B$5:$B$12, 0), MATCH("HP", 참고!$C$4:$J$4, 0))*K122
+INDEX(참고!$C$5:$J$12, MATCH("근력", 참고!$B$5:$B$12, 0), MATCH("HP", 참고!$C$4:$J$4, 0))*L122
+INDEX(참고!$C$5:$J$12, MATCH("숙련도", 참고!$B$5:$B$12, 0), MATCH("HP", 참고!$C$4:$J$4, 0))*M122
+INDEX(참고!$C$5:$J$12, MATCH("행운", 참고!$B$5:$B$12, 0), MATCH("HP", 참고!$C$4:$J$4, 0))*N122</f>
        <v>0</v>
      </c>
      <c r="P122">
        <f>INDEX(참고!$C$5:$J$12, MATCH($J$2, 참고!$B$5:$B$12, 0), MATCH(P$2, 참고!$C$4:$J$4, 0))</f>
        <v>3</v>
      </c>
      <c r="Q122">
        <f>INDEX(참고!$C$5:$J$12, MATCH($J$2, 참고!$B$5:$B$12, 0), MATCH(Q$2, 참고!$C$4:$J$4, 0))</f>
        <v>1</v>
      </c>
      <c r="R122">
        <f>INDEX(참고!$C$5:$J$12, MATCH($J$2, 참고!$B$5:$B$12, 0), MATCH(R$2, 참고!$C$4:$J$4, 0))</f>
        <v>0</v>
      </c>
      <c r="S122">
        <f>INDEX(참고!$C$5:$J$12, MATCH($J$2, 참고!$B$5:$B$12, 0), MATCH(S$2, 참고!$C$4:$J$4, 0))</f>
        <v>0</v>
      </c>
      <c r="T122">
        <f>INDEX(참고!$C$5:$J$12, MATCH($J$2, 참고!$B$5:$B$12, 0), MATCH(T$2, 참고!$C$4:$J$4, 0))</f>
        <v>0</v>
      </c>
      <c r="U122">
        <f>INDEX(참고!$C$5:$J$12, MATCH($J$2, 참고!$B$5:$B$12, 0), MATCH(U$2, 참고!$C$4:$J$4, 0))</f>
        <v>0</v>
      </c>
    </row>
    <row r="123" spans="1:21">
      <c r="A123" t="s">
        <v>248</v>
      </c>
      <c r="B123" s="9">
        <v>11500</v>
      </c>
      <c r="C123">
        <f t="shared" si="1"/>
        <v>57495</v>
      </c>
      <c r="O123">
        <f>INDEX(참고!$C$5:$J$12, MATCH("생명", 참고!$B$5:$B$12, 0), MATCH("HP", 참고!$C$4:$J$4, 0))*J123
+INDEX(참고!$C$5:$J$12, MATCH("힘", 참고!$B$5:$B$12, 0), MATCH("HP", 참고!$C$4:$J$4, 0))*K123
+INDEX(참고!$C$5:$J$12, MATCH("근력", 참고!$B$5:$B$12, 0), MATCH("HP", 참고!$C$4:$J$4, 0))*L123
+INDEX(참고!$C$5:$J$12, MATCH("숙련도", 참고!$B$5:$B$12, 0), MATCH("HP", 참고!$C$4:$J$4, 0))*M123
+INDEX(참고!$C$5:$J$12, MATCH("행운", 참고!$B$5:$B$12, 0), MATCH("HP", 참고!$C$4:$J$4, 0))*N123</f>
        <v>0</v>
      </c>
      <c r="P123">
        <f>INDEX(참고!$C$5:$J$12, MATCH($J$2, 참고!$B$5:$B$12, 0), MATCH(P$2, 참고!$C$4:$J$4, 0))</f>
        <v>3</v>
      </c>
      <c r="Q123">
        <f>INDEX(참고!$C$5:$J$12, MATCH($J$2, 참고!$B$5:$B$12, 0), MATCH(Q$2, 참고!$C$4:$J$4, 0))</f>
        <v>1</v>
      </c>
      <c r="R123">
        <f>INDEX(참고!$C$5:$J$12, MATCH($J$2, 참고!$B$5:$B$12, 0), MATCH(R$2, 참고!$C$4:$J$4, 0))</f>
        <v>0</v>
      </c>
      <c r="S123">
        <f>INDEX(참고!$C$5:$J$12, MATCH($J$2, 참고!$B$5:$B$12, 0), MATCH(S$2, 참고!$C$4:$J$4, 0))</f>
        <v>0</v>
      </c>
      <c r="T123">
        <f>INDEX(참고!$C$5:$J$12, MATCH($J$2, 참고!$B$5:$B$12, 0), MATCH(T$2, 참고!$C$4:$J$4, 0))</f>
        <v>0</v>
      </c>
      <c r="U123">
        <f>INDEX(참고!$C$5:$J$12, MATCH($J$2, 참고!$B$5:$B$12, 0), MATCH(U$2, 참고!$C$4:$J$4, 0))</f>
        <v>0</v>
      </c>
    </row>
    <row r="124" spans="1:21">
      <c r="A124" t="s">
        <v>249</v>
      </c>
      <c r="B124" s="9">
        <v>12000</v>
      </c>
      <c r="C124">
        <f t="shared" si="1"/>
        <v>59995</v>
      </c>
      <c r="O124">
        <f>INDEX(참고!$C$5:$J$12, MATCH("생명", 참고!$B$5:$B$12, 0), MATCH("HP", 참고!$C$4:$J$4, 0))*J124
+INDEX(참고!$C$5:$J$12, MATCH("힘", 참고!$B$5:$B$12, 0), MATCH("HP", 참고!$C$4:$J$4, 0))*K124
+INDEX(참고!$C$5:$J$12, MATCH("근력", 참고!$B$5:$B$12, 0), MATCH("HP", 참고!$C$4:$J$4, 0))*L124
+INDEX(참고!$C$5:$J$12, MATCH("숙련도", 참고!$B$5:$B$12, 0), MATCH("HP", 참고!$C$4:$J$4, 0))*M124
+INDEX(참고!$C$5:$J$12, MATCH("행운", 참고!$B$5:$B$12, 0), MATCH("HP", 참고!$C$4:$J$4, 0))*N124</f>
        <v>0</v>
      </c>
      <c r="P124">
        <f>INDEX(참고!$C$5:$J$12, MATCH($J$2, 참고!$B$5:$B$12, 0), MATCH(P$2, 참고!$C$4:$J$4, 0))</f>
        <v>3</v>
      </c>
      <c r="Q124">
        <f>INDEX(참고!$C$5:$J$12, MATCH($J$2, 참고!$B$5:$B$12, 0), MATCH(Q$2, 참고!$C$4:$J$4, 0))</f>
        <v>1</v>
      </c>
      <c r="R124">
        <f>INDEX(참고!$C$5:$J$12, MATCH($J$2, 참고!$B$5:$B$12, 0), MATCH(R$2, 참고!$C$4:$J$4, 0))</f>
        <v>0</v>
      </c>
      <c r="S124">
        <f>INDEX(참고!$C$5:$J$12, MATCH($J$2, 참고!$B$5:$B$12, 0), MATCH(S$2, 참고!$C$4:$J$4, 0))</f>
        <v>0</v>
      </c>
      <c r="T124">
        <f>INDEX(참고!$C$5:$J$12, MATCH($J$2, 참고!$B$5:$B$12, 0), MATCH(T$2, 참고!$C$4:$J$4, 0))</f>
        <v>0</v>
      </c>
      <c r="U124">
        <f>INDEX(참고!$C$5:$J$12, MATCH($J$2, 참고!$B$5:$B$12, 0), MATCH(U$2, 참고!$C$4:$J$4, 0))</f>
        <v>0</v>
      </c>
    </row>
    <row r="125" spans="1:21">
      <c r="A125" t="s">
        <v>250</v>
      </c>
      <c r="B125" s="9">
        <v>12500</v>
      </c>
      <c r="C125">
        <f t="shared" si="1"/>
        <v>62495</v>
      </c>
      <c r="O125">
        <f>INDEX(참고!$C$5:$J$12, MATCH("생명", 참고!$B$5:$B$12, 0), MATCH("HP", 참고!$C$4:$J$4, 0))*J125
+INDEX(참고!$C$5:$J$12, MATCH("힘", 참고!$B$5:$B$12, 0), MATCH("HP", 참고!$C$4:$J$4, 0))*K125
+INDEX(참고!$C$5:$J$12, MATCH("근력", 참고!$B$5:$B$12, 0), MATCH("HP", 참고!$C$4:$J$4, 0))*L125
+INDEX(참고!$C$5:$J$12, MATCH("숙련도", 참고!$B$5:$B$12, 0), MATCH("HP", 참고!$C$4:$J$4, 0))*M125
+INDEX(참고!$C$5:$J$12, MATCH("행운", 참고!$B$5:$B$12, 0), MATCH("HP", 참고!$C$4:$J$4, 0))*N125</f>
        <v>0</v>
      </c>
      <c r="P125">
        <f>INDEX(참고!$C$5:$J$12, MATCH($J$2, 참고!$B$5:$B$12, 0), MATCH(P$2, 참고!$C$4:$J$4, 0))</f>
        <v>3</v>
      </c>
      <c r="Q125">
        <f>INDEX(참고!$C$5:$J$12, MATCH($J$2, 참고!$B$5:$B$12, 0), MATCH(Q$2, 참고!$C$4:$J$4, 0))</f>
        <v>1</v>
      </c>
      <c r="R125">
        <f>INDEX(참고!$C$5:$J$12, MATCH($J$2, 참고!$B$5:$B$12, 0), MATCH(R$2, 참고!$C$4:$J$4, 0))</f>
        <v>0</v>
      </c>
      <c r="S125">
        <f>INDEX(참고!$C$5:$J$12, MATCH($J$2, 참고!$B$5:$B$12, 0), MATCH(S$2, 참고!$C$4:$J$4, 0))</f>
        <v>0</v>
      </c>
      <c r="T125">
        <f>INDEX(참고!$C$5:$J$12, MATCH($J$2, 참고!$B$5:$B$12, 0), MATCH(T$2, 참고!$C$4:$J$4, 0))</f>
        <v>0</v>
      </c>
      <c r="U125">
        <f>INDEX(참고!$C$5:$J$12, MATCH($J$2, 참고!$B$5:$B$12, 0), MATCH(U$2, 참고!$C$4:$J$4, 0))</f>
        <v>0</v>
      </c>
    </row>
    <row r="126" spans="1:21">
      <c r="A126" t="s">
        <v>251</v>
      </c>
      <c r="B126" s="9">
        <v>13000</v>
      </c>
      <c r="C126">
        <f t="shared" si="1"/>
        <v>64995</v>
      </c>
      <c r="O126">
        <f>INDEX(참고!$C$5:$J$12, MATCH("생명", 참고!$B$5:$B$12, 0), MATCH("HP", 참고!$C$4:$J$4, 0))*J126
+INDEX(참고!$C$5:$J$12, MATCH("힘", 참고!$B$5:$B$12, 0), MATCH("HP", 참고!$C$4:$J$4, 0))*K126
+INDEX(참고!$C$5:$J$12, MATCH("근력", 참고!$B$5:$B$12, 0), MATCH("HP", 참고!$C$4:$J$4, 0))*L126
+INDEX(참고!$C$5:$J$12, MATCH("숙련도", 참고!$B$5:$B$12, 0), MATCH("HP", 참고!$C$4:$J$4, 0))*M126
+INDEX(참고!$C$5:$J$12, MATCH("행운", 참고!$B$5:$B$12, 0), MATCH("HP", 참고!$C$4:$J$4, 0))*N126</f>
        <v>0</v>
      </c>
      <c r="P126">
        <f>INDEX(참고!$C$5:$J$12, MATCH($J$2, 참고!$B$5:$B$12, 0), MATCH(P$2, 참고!$C$4:$J$4, 0))</f>
        <v>3</v>
      </c>
      <c r="Q126">
        <f>INDEX(참고!$C$5:$J$12, MATCH($J$2, 참고!$B$5:$B$12, 0), MATCH(Q$2, 참고!$C$4:$J$4, 0))</f>
        <v>1</v>
      </c>
      <c r="R126">
        <f>INDEX(참고!$C$5:$J$12, MATCH($J$2, 참고!$B$5:$B$12, 0), MATCH(R$2, 참고!$C$4:$J$4, 0))</f>
        <v>0</v>
      </c>
      <c r="S126">
        <f>INDEX(참고!$C$5:$J$12, MATCH($J$2, 참고!$B$5:$B$12, 0), MATCH(S$2, 참고!$C$4:$J$4, 0))</f>
        <v>0</v>
      </c>
      <c r="T126">
        <f>INDEX(참고!$C$5:$J$12, MATCH($J$2, 참고!$B$5:$B$12, 0), MATCH(T$2, 참고!$C$4:$J$4, 0))</f>
        <v>0</v>
      </c>
      <c r="U126">
        <f>INDEX(참고!$C$5:$J$12, MATCH($J$2, 참고!$B$5:$B$12, 0), MATCH(U$2, 참고!$C$4:$J$4, 0))</f>
        <v>0</v>
      </c>
    </row>
    <row r="127" spans="1:21">
      <c r="A127" t="s">
        <v>252</v>
      </c>
      <c r="B127" s="9">
        <v>13500</v>
      </c>
      <c r="C127">
        <f t="shared" si="1"/>
        <v>67495</v>
      </c>
      <c r="O127">
        <f>INDEX(참고!$C$5:$J$12, MATCH("생명", 참고!$B$5:$B$12, 0), MATCH("HP", 참고!$C$4:$J$4, 0))*J127
+INDEX(참고!$C$5:$J$12, MATCH("힘", 참고!$B$5:$B$12, 0), MATCH("HP", 참고!$C$4:$J$4, 0))*K127
+INDEX(참고!$C$5:$J$12, MATCH("근력", 참고!$B$5:$B$12, 0), MATCH("HP", 참고!$C$4:$J$4, 0))*L127
+INDEX(참고!$C$5:$J$12, MATCH("숙련도", 참고!$B$5:$B$12, 0), MATCH("HP", 참고!$C$4:$J$4, 0))*M127
+INDEX(참고!$C$5:$J$12, MATCH("행운", 참고!$B$5:$B$12, 0), MATCH("HP", 참고!$C$4:$J$4, 0))*N127</f>
        <v>0</v>
      </c>
      <c r="P127">
        <f>INDEX(참고!$C$5:$J$12, MATCH($J$2, 참고!$B$5:$B$12, 0), MATCH(P$2, 참고!$C$4:$J$4, 0))</f>
        <v>3</v>
      </c>
      <c r="Q127">
        <f>INDEX(참고!$C$5:$J$12, MATCH($J$2, 참고!$B$5:$B$12, 0), MATCH(Q$2, 참고!$C$4:$J$4, 0))</f>
        <v>1</v>
      </c>
      <c r="R127">
        <f>INDEX(참고!$C$5:$J$12, MATCH($J$2, 참고!$B$5:$B$12, 0), MATCH(R$2, 참고!$C$4:$J$4, 0))</f>
        <v>0</v>
      </c>
      <c r="S127">
        <f>INDEX(참고!$C$5:$J$12, MATCH($J$2, 참고!$B$5:$B$12, 0), MATCH(S$2, 참고!$C$4:$J$4, 0))</f>
        <v>0</v>
      </c>
      <c r="T127">
        <f>INDEX(참고!$C$5:$J$12, MATCH($J$2, 참고!$B$5:$B$12, 0), MATCH(T$2, 참고!$C$4:$J$4, 0))</f>
        <v>0</v>
      </c>
      <c r="U127">
        <f>INDEX(참고!$C$5:$J$12, MATCH($J$2, 참고!$B$5:$B$12, 0), MATCH(U$2, 참고!$C$4:$J$4, 0))</f>
        <v>0</v>
      </c>
    </row>
    <row r="128" spans="1:21">
      <c r="A128" t="s">
        <v>253</v>
      </c>
      <c r="B128" s="9">
        <v>14000</v>
      </c>
      <c r="C128">
        <f t="shared" si="1"/>
        <v>69995</v>
      </c>
      <c r="O128">
        <f>INDEX(참고!$C$5:$J$12, MATCH("생명", 참고!$B$5:$B$12, 0), MATCH("HP", 참고!$C$4:$J$4, 0))*J128
+INDEX(참고!$C$5:$J$12, MATCH("힘", 참고!$B$5:$B$12, 0), MATCH("HP", 참고!$C$4:$J$4, 0))*K128
+INDEX(참고!$C$5:$J$12, MATCH("근력", 참고!$B$5:$B$12, 0), MATCH("HP", 참고!$C$4:$J$4, 0))*L128
+INDEX(참고!$C$5:$J$12, MATCH("숙련도", 참고!$B$5:$B$12, 0), MATCH("HP", 참고!$C$4:$J$4, 0))*M128
+INDEX(참고!$C$5:$J$12, MATCH("행운", 참고!$B$5:$B$12, 0), MATCH("HP", 참고!$C$4:$J$4, 0))*N128</f>
        <v>0</v>
      </c>
      <c r="P128">
        <f>INDEX(참고!$C$5:$J$12, MATCH($J$2, 참고!$B$5:$B$12, 0), MATCH(P$2, 참고!$C$4:$J$4, 0))</f>
        <v>3</v>
      </c>
      <c r="Q128">
        <f>INDEX(참고!$C$5:$J$12, MATCH($J$2, 참고!$B$5:$B$12, 0), MATCH(Q$2, 참고!$C$4:$J$4, 0))</f>
        <v>1</v>
      </c>
      <c r="R128">
        <f>INDEX(참고!$C$5:$J$12, MATCH($J$2, 참고!$B$5:$B$12, 0), MATCH(R$2, 참고!$C$4:$J$4, 0))</f>
        <v>0</v>
      </c>
      <c r="S128">
        <f>INDEX(참고!$C$5:$J$12, MATCH($J$2, 참고!$B$5:$B$12, 0), MATCH(S$2, 참고!$C$4:$J$4, 0))</f>
        <v>0</v>
      </c>
      <c r="T128">
        <f>INDEX(참고!$C$5:$J$12, MATCH($J$2, 참고!$B$5:$B$12, 0), MATCH(T$2, 참고!$C$4:$J$4, 0))</f>
        <v>0</v>
      </c>
      <c r="U128">
        <f>INDEX(참고!$C$5:$J$12, MATCH($J$2, 참고!$B$5:$B$12, 0), MATCH(U$2, 참고!$C$4:$J$4, 0))</f>
        <v>0</v>
      </c>
    </row>
    <row r="129" spans="1:21">
      <c r="A129" t="s">
        <v>254</v>
      </c>
      <c r="B129" s="9">
        <v>14500</v>
      </c>
      <c r="C129">
        <f t="shared" si="1"/>
        <v>72495</v>
      </c>
      <c r="O129">
        <f>INDEX(참고!$C$5:$J$12, MATCH("생명", 참고!$B$5:$B$12, 0), MATCH("HP", 참고!$C$4:$J$4, 0))*J129
+INDEX(참고!$C$5:$J$12, MATCH("힘", 참고!$B$5:$B$12, 0), MATCH("HP", 참고!$C$4:$J$4, 0))*K129
+INDEX(참고!$C$5:$J$12, MATCH("근력", 참고!$B$5:$B$12, 0), MATCH("HP", 참고!$C$4:$J$4, 0))*L129
+INDEX(참고!$C$5:$J$12, MATCH("숙련도", 참고!$B$5:$B$12, 0), MATCH("HP", 참고!$C$4:$J$4, 0))*M129
+INDEX(참고!$C$5:$J$12, MATCH("행운", 참고!$B$5:$B$12, 0), MATCH("HP", 참고!$C$4:$J$4, 0))*N129</f>
        <v>0</v>
      </c>
      <c r="P129">
        <f>INDEX(참고!$C$5:$J$12, MATCH($J$2, 참고!$B$5:$B$12, 0), MATCH(P$2, 참고!$C$4:$J$4, 0))</f>
        <v>3</v>
      </c>
      <c r="Q129">
        <f>INDEX(참고!$C$5:$J$12, MATCH($J$2, 참고!$B$5:$B$12, 0), MATCH(Q$2, 참고!$C$4:$J$4, 0))</f>
        <v>1</v>
      </c>
      <c r="R129">
        <f>INDEX(참고!$C$5:$J$12, MATCH($J$2, 참고!$B$5:$B$12, 0), MATCH(R$2, 참고!$C$4:$J$4, 0))</f>
        <v>0</v>
      </c>
      <c r="S129">
        <f>INDEX(참고!$C$5:$J$12, MATCH($J$2, 참고!$B$5:$B$12, 0), MATCH(S$2, 참고!$C$4:$J$4, 0))</f>
        <v>0</v>
      </c>
      <c r="T129">
        <f>INDEX(참고!$C$5:$J$12, MATCH($J$2, 참고!$B$5:$B$12, 0), MATCH(T$2, 참고!$C$4:$J$4, 0))</f>
        <v>0</v>
      </c>
      <c r="U129">
        <f>INDEX(참고!$C$5:$J$12, MATCH($J$2, 참고!$B$5:$B$12, 0), MATCH(U$2, 참고!$C$4:$J$4, 0))</f>
        <v>0</v>
      </c>
    </row>
    <row r="130" spans="1:21">
      <c r="A130" t="s">
        <v>255</v>
      </c>
      <c r="B130" s="9">
        <v>15000</v>
      </c>
      <c r="C130">
        <f t="shared" si="1"/>
        <v>74995</v>
      </c>
      <c r="O130">
        <f>INDEX(참고!$C$5:$J$12, MATCH("생명", 참고!$B$5:$B$12, 0), MATCH("HP", 참고!$C$4:$J$4, 0))*J130
+INDEX(참고!$C$5:$J$12, MATCH("힘", 참고!$B$5:$B$12, 0), MATCH("HP", 참고!$C$4:$J$4, 0))*K130
+INDEX(참고!$C$5:$J$12, MATCH("근력", 참고!$B$5:$B$12, 0), MATCH("HP", 참고!$C$4:$J$4, 0))*L130
+INDEX(참고!$C$5:$J$12, MATCH("숙련도", 참고!$B$5:$B$12, 0), MATCH("HP", 참고!$C$4:$J$4, 0))*M130
+INDEX(참고!$C$5:$J$12, MATCH("행운", 참고!$B$5:$B$12, 0), MATCH("HP", 참고!$C$4:$J$4, 0))*N130</f>
        <v>0</v>
      </c>
      <c r="P130">
        <f>INDEX(참고!$C$5:$J$12, MATCH($J$2, 참고!$B$5:$B$12, 0), MATCH(P$2, 참고!$C$4:$J$4, 0))</f>
        <v>3</v>
      </c>
      <c r="Q130">
        <f>INDEX(참고!$C$5:$J$12, MATCH($J$2, 참고!$B$5:$B$12, 0), MATCH(Q$2, 참고!$C$4:$J$4, 0))</f>
        <v>1</v>
      </c>
      <c r="R130">
        <f>INDEX(참고!$C$5:$J$12, MATCH($J$2, 참고!$B$5:$B$12, 0), MATCH(R$2, 참고!$C$4:$J$4, 0))</f>
        <v>0</v>
      </c>
      <c r="S130">
        <f>INDEX(참고!$C$5:$J$12, MATCH($J$2, 참고!$B$5:$B$12, 0), MATCH(S$2, 참고!$C$4:$J$4, 0))</f>
        <v>0</v>
      </c>
      <c r="T130">
        <f>INDEX(참고!$C$5:$J$12, MATCH($J$2, 참고!$B$5:$B$12, 0), MATCH(T$2, 참고!$C$4:$J$4, 0))</f>
        <v>0</v>
      </c>
      <c r="U130">
        <f>INDEX(참고!$C$5:$J$12, MATCH($J$2, 참고!$B$5:$B$12, 0), MATCH(U$2, 참고!$C$4:$J$4, 0))</f>
        <v>0</v>
      </c>
    </row>
    <row r="131" spans="1:21">
      <c r="A131" t="s">
        <v>256</v>
      </c>
      <c r="B131" s="9">
        <v>15500</v>
      </c>
      <c r="C131">
        <f t="shared" si="1"/>
        <v>77495</v>
      </c>
      <c r="O131">
        <f>INDEX(참고!$C$5:$J$12, MATCH("생명", 참고!$B$5:$B$12, 0), MATCH("HP", 참고!$C$4:$J$4, 0))*J131
+INDEX(참고!$C$5:$J$12, MATCH("힘", 참고!$B$5:$B$12, 0), MATCH("HP", 참고!$C$4:$J$4, 0))*K131
+INDEX(참고!$C$5:$J$12, MATCH("근력", 참고!$B$5:$B$12, 0), MATCH("HP", 참고!$C$4:$J$4, 0))*L131
+INDEX(참고!$C$5:$J$12, MATCH("숙련도", 참고!$B$5:$B$12, 0), MATCH("HP", 참고!$C$4:$J$4, 0))*M131
+INDEX(참고!$C$5:$J$12, MATCH("행운", 참고!$B$5:$B$12, 0), MATCH("HP", 참고!$C$4:$J$4, 0))*N131</f>
        <v>0</v>
      </c>
      <c r="P131">
        <f>INDEX(참고!$C$5:$J$12, MATCH($J$2, 참고!$B$5:$B$12, 0), MATCH(P$2, 참고!$C$4:$J$4, 0))</f>
        <v>3</v>
      </c>
      <c r="Q131">
        <f>INDEX(참고!$C$5:$J$12, MATCH($J$2, 참고!$B$5:$B$12, 0), MATCH(Q$2, 참고!$C$4:$J$4, 0))</f>
        <v>1</v>
      </c>
      <c r="R131">
        <f>INDEX(참고!$C$5:$J$12, MATCH($J$2, 참고!$B$5:$B$12, 0), MATCH(R$2, 참고!$C$4:$J$4, 0))</f>
        <v>0</v>
      </c>
      <c r="S131">
        <f>INDEX(참고!$C$5:$J$12, MATCH($J$2, 참고!$B$5:$B$12, 0), MATCH(S$2, 참고!$C$4:$J$4, 0))</f>
        <v>0</v>
      </c>
      <c r="T131">
        <f>INDEX(참고!$C$5:$J$12, MATCH($J$2, 참고!$B$5:$B$12, 0), MATCH(T$2, 참고!$C$4:$J$4, 0))</f>
        <v>0</v>
      </c>
      <c r="U131">
        <f>INDEX(참고!$C$5:$J$12, MATCH($J$2, 참고!$B$5:$B$12, 0), MATCH(U$2, 참고!$C$4:$J$4, 0))</f>
        <v>0</v>
      </c>
    </row>
    <row r="132" spans="1:21">
      <c r="A132" t="s">
        <v>257</v>
      </c>
      <c r="B132" s="9">
        <v>16000</v>
      </c>
      <c r="C132">
        <f t="shared" ref="C132:C195" si="2">(B132-1)*$B$1</f>
        <v>79995</v>
      </c>
      <c r="O132">
        <f>INDEX(참고!$C$5:$J$12, MATCH("생명", 참고!$B$5:$B$12, 0), MATCH("HP", 참고!$C$4:$J$4, 0))*J132
+INDEX(참고!$C$5:$J$12, MATCH("힘", 참고!$B$5:$B$12, 0), MATCH("HP", 참고!$C$4:$J$4, 0))*K132
+INDEX(참고!$C$5:$J$12, MATCH("근력", 참고!$B$5:$B$12, 0), MATCH("HP", 참고!$C$4:$J$4, 0))*L132
+INDEX(참고!$C$5:$J$12, MATCH("숙련도", 참고!$B$5:$B$12, 0), MATCH("HP", 참고!$C$4:$J$4, 0))*M132
+INDEX(참고!$C$5:$J$12, MATCH("행운", 참고!$B$5:$B$12, 0), MATCH("HP", 참고!$C$4:$J$4, 0))*N132</f>
        <v>0</v>
      </c>
      <c r="P132">
        <f>INDEX(참고!$C$5:$J$12, MATCH($J$2, 참고!$B$5:$B$12, 0), MATCH(P$2, 참고!$C$4:$J$4, 0))</f>
        <v>3</v>
      </c>
      <c r="Q132">
        <f>INDEX(참고!$C$5:$J$12, MATCH($J$2, 참고!$B$5:$B$12, 0), MATCH(Q$2, 참고!$C$4:$J$4, 0))</f>
        <v>1</v>
      </c>
      <c r="R132">
        <f>INDEX(참고!$C$5:$J$12, MATCH($J$2, 참고!$B$5:$B$12, 0), MATCH(R$2, 참고!$C$4:$J$4, 0))</f>
        <v>0</v>
      </c>
      <c r="S132">
        <f>INDEX(참고!$C$5:$J$12, MATCH($J$2, 참고!$B$5:$B$12, 0), MATCH(S$2, 참고!$C$4:$J$4, 0))</f>
        <v>0</v>
      </c>
      <c r="T132">
        <f>INDEX(참고!$C$5:$J$12, MATCH($J$2, 참고!$B$5:$B$12, 0), MATCH(T$2, 참고!$C$4:$J$4, 0))</f>
        <v>0</v>
      </c>
      <c r="U132">
        <f>INDEX(참고!$C$5:$J$12, MATCH($J$2, 참고!$B$5:$B$12, 0), MATCH(U$2, 참고!$C$4:$J$4, 0))</f>
        <v>0</v>
      </c>
    </row>
    <row r="133" spans="1:21">
      <c r="A133" t="s">
        <v>258</v>
      </c>
      <c r="B133" s="9">
        <v>16500</v>
      </c>
      <c r="C133">
        <f t="shared" si="2"/>
        <v>82495</v>
      </c>
      <c r="O133">
        <f>INDEX(참고!$C$5:$J$12, MATCH("생명", 참고!$B$5:$B$12, 0), MATCH("HP", 참고!$C$4:$J$4, 0))*J133
+INDEX(참고!$C$5:$J$12, MATCH("힘", 참고!$B$5:$B$12, 0), MATCH("HP", 참고!$C$4:$J$4, 0))*K133
+INDEX(참고!$C$5:$J$12, MATCH("근력", 참고!$B$5:$B$12, 0), MATCH("HP", 참고!$C$4:$J$4, 0))*L133
+INDEX(참고!$C$5:$J$12, MATCH("숙련도", 참고!$B$5:$B$12, 0), MATCH("HP", 참고!$C$4:$J$4, 0))*M133
+INDEX(참고!$C$5:$J$12, MATCH("행운", 참고!$B$5:$B$12, 0), MATCH("HP", 참고!$C$4:$J$4, 0))*N133</f>
        <v>0</v>
      </c>
      <c r="P133">
        <f>INDEX(참고!$C$5:$J$12, MATCH($J$2, 참고!$B$5:$B$12, 0), MATCH(P$2, 참고!$C$4:$J$4, 0))</f>
        <v>3</v>
      </c>
      <c r="Q133">
        <f>INDEX(참고!$C$5:$J$12, MATCH($J$2, 참고!$B$5:$B$12, 0), MATCH(Q$2, 참고!$C$4:$J$4, 0))</f>
        <v>1</v>
      </c>
      <c r="R133">
        <f>INDEX(참고!$C$5:$J$12, MATCH($J$2, 참고!$B$5:$B$12, 0), MATCH(R$2, 참고!$C$4:$J$4, 0))</f>
        <v>0</v>
      </c>
      <c r="S133">
        <f>INDEX(참고!$C$5:$J$12, MATCH($J$2, 참고!$B$5:$B$12, 0), MATCH(S$2, 참고!$C$4:$J$4, 0))</f>
        <v>0</v>
      </c>
      <c r="T133">
        <f>INDEX(참고!$C$5:$J$12, MATCH($J$2, 참고!$B$5:$B$12, 0), MATCH(T$2, 참고!$C$4:$J$4, 0))</f>
        <v>0</v>
      </c>
      <c r="U133">
        <f>INDEX(참고!$C$5:$J$12, MATCH($J$2, 참고!$B$5:$B$12, 0), MATCH(U$2, 참고!$C$4:$J$4, 0))</f>
        <v>0</v>
      </c>
    </row>
    <row r="134" spans="1:21">
      <c r="A134" t="s">
        <v>259</v>
      </c>
      <c r="B134" s="9">
        <v>40000</v>
      </c>
      <c r="C134">
        <f t="shared" si="2"/>
        <v>199995</v>
      </c>
      <c r="O134">
        <f>INDEX(참고!$C$5:$J$12, MATCH("생명", 참고!$B$5:$B$12, 0), MATCH("HP", 참고!$C$4:$J$4, 0))*J134
+INDEX(참고!$C$5:$J$12, MATCH("힘", 참고!$B$5:$B$12, 0), MATCH("HP", 참고!$C$4:$J$4, 0))*K134
+INDEX(참고!$C$5:$J$12, MATCH("근력", 참고!$B$5:$B$12, 0), MATCH("HP", 참고!$C$4:$J$4, 0))*L134
+INDEX(참고!$C$5:$J$12, MATCH("숙련도", 참고!$B$5:$B$12, 0), MATCH("HP", 참고!$C$4:$J$4, 0))*M134
+INDEX(참고!$C$5:$J$12, MATCH("행운", 참고!$B$5:$B$12, 0), MATCH("HP", 참고!$C$4:$J$4, 0))*N134</f>
        <v>0</v>
      </c>
      <c r="P134">
        <f>INDEX(참고!$C$5:$J$12, MATCH($J$2, 참고!$B$5:$B$12, 0), MATCH(P$2, 참고!$C$4:$J$4, 0))</f>
        <v>3</v>
      </c>
      <c r="Q134">
        <f>INDEX(참고!$C$5:$J$12, MATCH($J$2, 참고!$B$5:$B$12, 0), MATCH(Q$2, 참고!$C$4:$J$4, 0))</f>
        <v>1</v>
      </c>
      <c r="R134">
        <f>INDEX(참고!$C$5:$J$12, MATCH($J$2, 참고!$B$5:$B$12, 0), MATCH(R$2, 참고!$C$4:$J$4, 0))</f>
        <v>0</v>
      </c>
      <c r="S134">
        <f>INDEX(참고!$C$5:$J$12, MATCH($J$2, 참고!$B$5:$B$12, 0), MATCH(S$2, 참고!$C$4:$J$4, 0))</f>
        <v>0</v>
      </c>
      <c r="T134">
        <f>INDEX(참고!$C$5:$J$12, MATCH($J$2, 참고!$B$5:$B$12, 0), MATCH(T$2, 참고!$C$4:$J$4, 0))</f>
        <v>0</v>
      </c>
      <c r="U134">
        <f>INDEX(참고!$C$5:$J$12, MATCH($J$2, 참고!$B$5:$B$12, 0), MATCH(U$2, 참고!$C$4:$J$4, 0))</f>
        <v>0</v>
      </c>
    </row>
    <row r="135" spans="1:21">
      <c r="A135" t="s">
        <v>260</v>
      </c>
      <c r="B135" s="9">
        <v>850000</v>
      </c>
      <c r="C135">
        <f t="shared" si="2"/>
        <v>4249995</v>
      </c>
      <c r="O135">
        <f>INDEX(참고!$C$5:$J$12, MATCH("생명", 참고!$B$5:$B$12, 0), MATCH("HP", 참고!$C$4:$J$4, 0))*J135
+INDEX(참고!$C$5:$J$12, MATCH("힘", 참고!$B$5:$B$12, 0), MATCH("HP", 참고!$C$4:$J$4, 0))*K135
+INDEX(참고!$C$5:$J$12, MATCH("근력", 참고!$B$5:$B$12, 0), MATCH("HP", 참고!$C$4:$J$4, 0))*L135
+INDEX(참고!$C$5:$J$12, MATCH("숙련도", 참고!$B$5:$B$12, 0), MATCH("HP", 참고!$C$4:$J$4, 0))*M135
+INDEX(참고!$C$5:$J$12, MATCH("행운", 참고!$B$5:$B$12, 0), MATCH("HP", 참고!$C$4:$J$4, 0))*N135</f>
        <v>0</v>
      </c>
      <c r="P135">
        <f>INDEX(참고!$C$5:$J$12, MATCH($J$2, 참고!$B$5:$B$12, 0), MATCH(P$2, 참고!$C$4:$J$4, 0))</f>
        <v>3</v>
      </c>
      <c r="Q135">
        <f>INDEX(참고!$C$5:$J$12, MATCH($J$2, 참고!$B$5:$B$12, 0), MATCH(Q$2, 참고!$C$4:$J$4, 0))</f>
        <v>1</v>
      </c>
      <c r="R135">
        <f>INDEX(참고!$C$5:$J$12, MATCH($J$2, 참고!$B$5:$B$12, 0), MATCH(R$2, 참고!$C$4:$J$4, 0))</f>
        <v>0</v>
      </c>
      <c r="S135">
        <f>INDEX(참고!$C$5:$J$12, MATCH($J$2, 참고!$B$5:$B$12, 0), MATCH(S$2, 참고!$C$4:$J$4, 0))</f>
        <v>0</v>
      </c>
      <c r="T135">
        <f>INDEX(참고!$C$5:$J$12, MATCH($J$2, 참고!$B$5:$B$12, 0), MATCH(T$2, 참고!$C$4:$J$4, 0))</f>
        <v>0</v>
      </c>
      <c r="U135">
        <f>INDEX(참고!$C$5:$J$12, MATCH($J$2, 참고!$B$5:$B$12, 0), MATCH(U$2, 참고!$C$4:$J$4, 0))</f>
        <v>0</v>
      </c>
    </row>
    <row r="136" spans="1:21">
      <c r="A136" t="s">
        <v>261</v>
      </c>
      <c r="B136" s="9">
        <v>17000</v>
      </c>
      <c r="C136">
        <f t="shared" si="2"/>
        <v>84995</v>
      </c>
      <c r="O136">
        <f>INDEX(참고!$C$5:$J$12, MATCH("생명", 참고!$B$5:$B$12, 0), MATCH("HP", 참고!$C$4:$J$4, 0))*J136
+INDEX(참고!$C$5:$J$12, MATCH("힘", 참고!$B$5:$B$12, 0), MATCH("HP", 참고!$C$4:$J$4, 0))*K136
+INDEX(참고!$C$5:$J$12, MATCH("근력", 참고!$B$5:$B$12, 0), MATCH("HP", 참고!$C$4:$J$4, 0))*L136
+INDEX(참고!$C$5:$J$12, MATCH("숙련도", 참고!$B$5:$B$12, 0), MATCH("HP", 참고!$C$4:$J$4, 0))*M136
+INDEX(참고!$C$5:$J$12, MATCH("행운", 참고!$B$5:$B$12, 0), MATCH("HP", 참고!$C$4:$J$4, 0))*N136</f>
        <v>0</v>
      </c>
      <c r="P136">
        <f>INDEX(참고!$C$5:$J$12, MATCH($J$2, 참고!$B$5:$B$12, 0), MATCH(P$2, 참고!$C$4:$J$4, 0))</f>
        <v>3</v>
      </c>
      <c r="Q136">
        <f>INDEX(참고!$C$5:$J$12, MATCH($J$2, 참고!$B$5:$B$12, 0), MATCH(Q$2, 참고!$C$4:$J$4, 0))</f>
        <v>1</v>
      </c>
      <c r="R136">
        <f>INDEX(참고!$C$5:$J$12, MATCH($J$2, 참고!$B$5:$B$12, 0), MATCH(R$2, 참고!$C$4:$J$4, 0))</f>
        <v>0</v>
      </c>
      <c r="S136">
        <f>INDEX(참고!$C$5:$J$12, MATCH($J$2, 참고!$B$5:$B$12, 0), MATCH(S$2, 참고!$C$4:$J$4, 0))</f>
        <v>0</v>
      </c>
      <c r="T136">
        <f>INDEX(참고!$C$5:$J$12, MATCH($J$2, 참고!$B$5:$B$12, 0), MATCH(T$2, 참고!$C$4:$J$4, 0))</f>
        <v>0</v>
      </c>
      <c r="U136">
        <f>INDEX(참고!$C$5:$J$12, MATCH($J$2, 참고!$B$5:$B$12, 0), MATCH(U$2, 참고!$C$4:$J$4, 0))</f>
        <v>0</v>
      </c>
    </row>
    <row r="137" spans="1:21">
      <c r="A137" t="s">
        <v>262</v>
      </c>
      <c r="B137" s="9">
        <v>18000</v>
      </c>
      <c r="C137">
        <f t="shared" si="2"/>
        <v>89995</v>
      </c>
      <c r="O137">
        <f>INDEX(참고!$C$5:$J$12, MATCH("생명", 참고!$B$5:$B$12, 0), MATCH("HP", 참고!$C$4:$J$4, 0))*J137
+INDEX(참고!$C$5:$J$12, MATCH("힘", 참고!$B$5:$B$12, 0), MATCH("HP", 참고!$C$4:$J$4, 0))*K137
+INDEX(참고!$C$5:$J$12, MATCH("근력", 참고!$B$5:$B$12, 0), MATCH("HP", 참고!$C$4:$J$4, 0))*L137
+INDEX(참고!$C$5:$J$12, MATCH("숙련도", 참고!$B$5:$B$12, 0), MATCH("HP", 참고!$C$4:$J$4, 0))*M137
+INDEX(참고!$C$5:$J$12, MATCH("행운", 참고!$B$5:$B$12, 0), MATCH("HP", 참고!$C$4:$J$4, 0))*N137</f>
        <v>0</v>
      </c>
      <c r="P137">
        <f>INDEX(참고!$C$5:$J$12, MATCH($J$2, 참고!$B$5:$B$12, 0), MATCH(P$2, 참고!$C$4:$J$4, 0))</f>
        <v>3</v>
      </c>
      <c r="Q137">
        <f>INDEX(참고!$C$5:$J$12, MATCH($J$2, 참고!$B$5:$B$12, 0), MATCH(Q$2, 참고!$C$4:$J$4, 0))</f>
        <v>1</v>
      </c>
      <c r="R137">
        <f>INDEX(참고!$C$5:$J$12, MATCH($J$2, 참고!$B$5:$B$12, 0), MATCH(R$2, 참고!$C$4:$J$4, 0))</f>
        <v>0</v>
      </c>
      <c r="S137">
        <f>INDEX(참고!$C$5:$J$12, MATCH($J$2, 참고!$B$5:$B$12, 0), MATCH(S$2, 참고!$C$4:$J$4, 0))</f>
        <v>0</v>
      </c>
      <c r="T137">
        <f>INDEX(참고!$C$5:$J$12, MATCH($J$2, 참고!$B$5:$B$12, 0), MATCH(T$2, 참고!$C$4:$J$4, 0))</f>
        <v>0</v>
      </c>
      <c r="U137">
        <f>INDEX(참고!$C$5:$J$12, MATCH($J$2, 참고!$B$5:$B$12, 0), MATCH(U$2, 참고!$C$4:$J$4, 0))</f>
        <v>0</v>
      </c>
    </row>
    <row r="138" spans="1:21">
      <c r="A138" t="s">
        <v>263</v>
      </c>
      <c r="B138" s="9">
        <v>18500</v>
      </c>
      <c r="C138">
        <f t="shared" si="2"/>
        <v>92495</v>
      </c>
      <c r="O138">
        <f>INDEX(참고!$C$5:$J$12, MATCH("생명", 참고!$B$5:$B$12, 0), MATCH("HP", 참고!$C$4:$J$4, 0))*J138
+INDEX(참고!$C$5:$J$12, MATCH("힘", 참고!$B$5:$B$12, 0), MATCH("HP", 참고!$C$4:$J$4, 0))*K138
+INDEX(참고!$C$5:$J$12, MATCH("근력", 참고!$B$5:$B$12, 0), MATCH("HP", 참고!$C$4:$J$4, 0))*L138
+INDEX(참고!$C$5:$J$12, MATCH("숙련도", 참고!$B$5:$B$12, 0), MATCH("HP", 참고!$C$4:$J$4, 0))*M138
+INDEX(참고!$C$5:$J$12, MATCH("행운", 참고!$B$5:$B$12, 0), MATCH("HP", 참고!$C$4:$J$4, 0))*N138</f>
        <v>0</v>
      </c>
      <c r="P138">
        <f>INDEX(참고!$C$5:$J$12, MATCH($J$2, 참고!$B$5:$B$12, 0), MATCH(P$2, 참고!$C$4:$J$4, 0))</f>
        <v>3</v>
      </c>
      <c r="Q138">
        <f>INDEX(참고!$C$5:$J$12, MATCH($J$2, 참고!$B$5:$B$12, 0), MATCH(Q$2, 참고!$C$4:$J$4, 0))</f>
        <v>1</v>
      </c>
      <c r="R138">
        <f>INDEX(참고!$C$5:$J$12, MATCH($J$2, 참고!$B$5:$B$12, 0), MATCH(R$2, 참고!$C$4:$J$4, 0))</f>
        <v>0</v>
      </c>
      <c r="S138">
        <f>INDEX(참고!$C$5:$J$12, MATCH($J$2, 참고!$B$5:$B$12, 0), MATCH(S$2, 참고!$C$4:$J$4, 0))</f>
        <v>0</v>
      </c>
      <c r="T138">
        <f>INDEX(참고!$C$5:$J$12, MATCH($J$2, 참고!$B$5:$B$12, 0), MATCH(T$2, 참고!$C$4:$J$4, 0))</f>
        <v>0</v>
      </c>
      <c r="U138">
        <f>INDEX(참고!$C$5:$J$12, MATCH($J$2, 참고!$B$5:$B$12, 0), MATCH(U$2, 참고!$C$4:$J$4, 0))</f>
        <v>0</v>
      </c>
    </row>
    <row r="139" spans="1:21">
      <c r="A139" t="s">
        <v>264</v>
      </c>
      <c r="B139" s="9">
        <v>19000</v>
      </c>
      <c r="C139">
        <f t="shared" si="2"/>
        <v>94995</v>
      </c>
      <c r="O139">
        <f>INDEX(참고!$C$5:$J$12, MATCH("생명", 참고!$B$5:$B$12, 0), MATCH("HP", 참고!$C$4:$J$4, 0))*J139
+INDEX(참고!$C$5:$J$12, MATCH("힘", 참고!$B$5:$B$12, 0), MATCH("HP", 참고!$C$4:$J$4, 0))*K139
+INDEX(참고!$C$5:$J$12, MATCH("근력", 참고!$B$5:$B$12, 0), MATCH("HP", 참고!$C$4:$J$4, 0))*L139
+INDEX(참고!$C$5:$J$12, MATCH("숙련도", 참고!$B$5:$B$12, 0), MATCH("HP", 참고!$C$4:$J$4, 0))*M139
+INDEX(참고!$C$5:$J$12, MATCH("행운", 참고!$B$5:$B$12, 0), MATCH("HP", 참고!$C$4:$J$4, 0))*N139</f>
        <v>0</v>
      </c>
      <c r="P139">
        <f>INDEX(참고!$C$5:$J$12, MATCH($J$2, 참고!$B$5:$B$12, 0), MATCH(P$2, 참고!$C$4:$J$4, 0))</f>
        <v>3</v>
      </c>
      <c r="Q139">
        <f>INDEX(참고!$C$5:$J$12, MATCH($J$2, 참고!$B$5:$B$12, 0), MATCH(Q$2, 참고!$C$4:$J$4, 0))</f>
        <v>1</v>
      </c>
      <c r="R139">
        <f>INDEX(참고!$C$5:$J$12, MATCH($J$2, 참고!$B$5:$B$12, 0), MATCH(R$2, 참고!$C$4:$J$4, 0))</f>
        <v>0</v>
      </c>
      <c r="S139">
        <f>INDEX(참고!$C$5:$J$12, MATCH($J$2, 참고!$B$5:$B$12, 0), MATCH(S$2, 참고!$C$4:$J$4, 0))</f>
        <v>0</v>
      </c>
      <c r="T139">
        <f>INDEX(참고!$C$5:$J$12, MATCH($J$2, 참고!$B$5:$B$12, 0), MATCH(T$2, 참고!$C$4:$J$4, 0))</f>
        <v>0</v>
      </c>
      <c r="U139">
        <f>INDEX(참고!$C$5:$J$12, MATCH($J$2, 참고!$B$5:$B$12, 0), MATCH(U$2, 참고!$C$4:$J$4, 0))</f>
        <v>0</v>
      </c>
    </row>
    <row r="140" spans="1:21">
      <c r="A140" t="s">
        <v>265</v>
      </c>
      <c r="B140" s="9">
        <v>19500</v>
      </c>
      <c r="C140">
        <f t="shared" si="2"/>
        <v>97495</v>
      </c>
      <c r="O140">
        <f>INDEX(참고!$C$5:$J$12, MATCH("생명", 참고!$B$5:$B$12, 0), MATCH("HP", 참고!$C$4:$J$4, 0))*J140
+INDEX(참고!$C$5:$J$12, MATCH("힘", 참고!$B$5:$B$12, 0), MATCH("HP", 참고!$C$4:$J$4, 0))*K140
+INDEX(참고!$C$5:$J$12, MATCH("근력", 참고!$B$5:$B$12, 0), MATCH("HP", 참고!$C$4:$J$4, 0))*L140
+INDEX(참고!$C$5:$J$12, MATCH("숙련도", 참고!$B$5:$B$12, 0), MATCH("HP", 참고!$C$4:$J$4, 0))*M140
+INDEX(참고!$C$5:$J$12, MATCH("행운", 참고!$B$5:$B$12, 0), MATCH("HP", 참고!$C$4:$J$4, 0))*N140</f>
        <v>0</v>
      </c>
      <c r="P140">
        <f>INDEX(참고!$C$5:$J$12, MATCH($J$2, 참고!$B$5:$B$12, 0), MATCH(P$2, 참고!$C$4:$J$4, 0))</f>
        <v>3</v>
      </c>
      <c r="Q140">
        <f>INDEX(참고!$C$5:$J$12, MATCH($J$2, 참고!$B$5:$B$12, 0), MATCH(Q$2, 참고!$C$4:$J$4, 0))</f>
        <v>1</v>
      </c>
      <c r="R140">
        <f>INDEX(참고!$C$5:$J$12, MATCH($J$2, 참고!$B$5:$B$12, 0), MATCH(R$2, 참고!$C$4:$J$4, 0))</f>
        <v>0</v>
      </c>
      <c r="S140">
        <f>INDEX(참고!$C$5:$J$12, MATCH($J$2, 참고!$B$5:$B$12, 0), MATCH(S$2, 참고!$C$4:$J$4, 0))</f>
        <v>0</v>
      </c>
      <c r="T140">
        <f>INDEX(참고!$C$5:$J$12, MATCH($J$2, 참고!$B$5:$B$12, 0), MATCH(T$2, 참고!$C$4:$J$4, 0))</f>
        <v>0</v>
      </c>
      <c r="U140">
        <f>INDEX(참고!$C$5:$J$12, MATCH($J$2, 참고!$B$5:$B$12, 0), MATCH(U$2, 참고!$C$4:$J$4, 0))</f>
        <v>0</v>
      </c>
    </row>
    <row r="141" spans="1:21">
      <c r="A141" t="s">
        <v>266</v>
      </c>
      <c r="B141" s="9">
        <v>21000</v>
      </c>
      <c r="C141">
        <f t="shared" si="2"/>
        <v>104995</v>
      </c>
      <c r="O141">
        <f>INDEX(참고!$C$5:$J$12, MATCH("생명", 참고!$B$5:$B$12, 0), MATCH("HP", 참고!$C$4:$J$4, 0))*J141
+INDEX(참고!$C$5:$J$12, MATCH("힘", 참고!$B$5:$B$12, 0), MATCH("HP", 참고!$C$4:$J$4, 0))*K141
+INDEX(참고!$C$5:$J$12, MATCH("근력", 참고!$B$5:$B$12, 0), MATCH("HP", 참고!$C$4:$J$4, 0))*L141
+INDEX(참고!$C$5:$J$12, MATCH("숙련도", 참고!$B$5:$B$12, 0), MATCH("HP", 참고!$C$4:$J$4, 0))*M141
+INDEX(참고!$C$5:$J$12, MATCH("행운", 참고!$B$5:$B$12, 0), MATCH("HP", 참고!$C$4:$J$4, 0))*N141</f>
        <v>0</v>
      </c>
      <c r="P141">
        <f>INDEX(참고!$C$5:$J$12, MATCH($J$2, 참고!$B$5:$B$12, 0), MATCH(P$2, 참고!$C$4:$J$4, 0))</f>
        <v>3</v>
      </c>
      <c r="Q141">
        <f>INDEX(참고!$C$5:$J$12, MATCH($J$2, 참고!$B$5:$B$12, 0), MATCH(Q$2, 참고!$C$4:$J$4, 0))</f>
        <v>1</v>
      </c>
      <c r="R141">
        <f>INDEX(참고!$C$5:$J$12, MATCH($J$2, 참고!$B$5:$B$12, 0), MATCH(R$2, 참고!$C$4:$J$4, 0))</f>
        <v>0</v>
      </c>
      <c r="S141">
        <f>INDEX(참고!$C$5:$J$12, MATCH($J$2, 참고!$B$5:$B$12, 0), MATCH(S$2, 참고!$C$4:$J$4, 0))</f>
        <v>0</v>
      </c>
      <c r="T141">
        <f>INDEX(참고!$C$5:$J$12, MATCH($J$2, 참고!$B$5:$B$12, 0), MATCH(T$2, 참고!$C$4:$J$4, 0))</f>
        <v>0</v>
      </c>
      <c r="U141">
        <f>INDEX(참고!$C$5:$J$12, MATCH($J$2, 참고!$B$5:$B$12, 0), MATCH(U$2, 참고!$C$4:$J$4, 0))</f>
        <v>0</v>
      </c>
    </row>
    <row r="142" spans="1:21">
      <c r="A142" t="s">
        <v>267</v>
      </c>
      <c r="B142" s="9">
        <v>20000</v>
      </c>
      <c r="C142">
        <f t="shared" si="2"/>
        <v>99995</v>
      </c>
      <c r="O142">
        <f>INDEX(참고!$C$5:$J$12, MATCH("생명", 참고!$B$5:$B$12, 0), MATCH("HP", 참고!$C$4:$J$4, 0))*J142
+INDEX(참고!$C$5:$J$12, MATCH("힘", 참고!$B$5:$B$12, 0), MATCH("HP", 참고!$C$4:$J$4, 0))*K142
+INDEX(참고!$C$5:$J$12, MATCH("근력", 참고!$B$5:$B$12, 0), MATCH("HP", 참고!$C$4:$J$4, 0))*L142
+INDEX(참고!$C$5:$J$12, MATCH("숙련도", 참고!$B$5:$B$12, 0), MATCH("HP", 참고!$C$4:$J$4, 0))*M142
+INDEX(참고!$C$5:$J$12, MATCH("행운", 참고!$B$5:$B$12, 0), MATCH("HP", 참고!$C$4:$J$4, 0))*N142</f>
        <v>0</v>
      </c>
      <c r="P142">
        <f>INDEX(참고!$C$5:$J$12, MATCH($J$2, 참고!$B$5:$B$12, 0), MATCH(P$2, 참고!$C$4:$J$4, 0))</f>
        <v>3</v>
      </c>
      <c r="Q142">
        <f>INDEX(참고!$C$5:$J$12, MATCH($J$2, 참고!$B$5:$B$12, 0), MATCH(Q$2, 참고!$C$4:$J$4, 0))</f>
        <v>1</v>
      </c>
      <c r="R142">
        <f>INDEX(참고!$C$5:$J$12, MATCH($J$2, 참고!$B$5:$B$12, 0), MATCH(R$2, 참고!$C$4:$J$4, 0))</f>
        <v>0</v>
      </c>
      <c r="S142">
        <f>INDEX(참고!$C$5:$J$12, MATCH($J$2, 참고!$B$5:$B$12, 0), MATCH(S$2, 참고!$C$4:$J$4, 0))</f>
        <v>0</v>
      </c>
      <c r="T142">
        <f>INDEX(참고!$C$5:$J$12, MATCH($J$2, 참고!$B$5:$B$12, 0), MATCH(T$2, 참고!$C$4:$J$4, 0))</f>
        <v>0</v>
      </c>
      <c r="U142">
        <f>INDEX(참고!$C$5:$J$12, MATCH($J$2, 참고!$B$5:$B$12, 0), MATCH(U$2, 참고!$C$4:$J$4, 0))</f>
        <v>0</v>
      </c>
    </row>
    <row r="143" spans="1:21">
      <c r="A143" t="s">
        <v>268</v>
      </c>
      <c r="B143" s="9">
        <v>21000</v>
      </c>
      <c r="C143">
        <f t="shared" si="2"/>
        <v>104995</v>
      </c>
      <c r="O143">
        <f>INDEX(참고!$C$5:$J$12, MATCH("생명", 참고!$B$5:$B$12, 0), MATCH("HP", 참고!$C$4:$J$4, 0))*J143
+INDEX(참고!$C$5:$J$12, MATCH("힘", 참고!$B$5:$B$12, 0), MATCH("HP", 참고!$C$4:$J$4, 0))*K143
+INDEX(참고!$C$5:$J$12, MATCH("근력", 참고!$B$5:$B$12, 0), MATCH("HP", 참고!$C$4:$J$4, 0))*L143
+INDEX(참고!$C$5:$J$12, MATCH("숙련도", 참고!$B$5:$B$12, 0), MATCH("HP", 참고!$C$4:$J$4, 0))*M143
+INDEX(참고!$C$5:$J$12, MATCH("행운", 참고!$B$5:$B$12, 0), MATCH("HP", 참고!$C$4:$J$4, 0))*N143</f>
        <v>0</v>
      </c>
      <c r="P143">
        <f>INDEX(참고!$C$5:$J$12, MATCH($J$2, 참고!$B$5:$B$12, 0), MATCH(P$2, 참고!$C$4:$J$4, 0))</f>
        <v>3</v>
      </c>
      <c r="Q143">
        <f>INDEX(참고!$C$5:$J$12, MATCH($J$2, 참고!$B$5:$B$12, 0), MATCH(Q$2, 참고!$C$4:$J$4, 0))</f>
        <v>1</v>
      </c>
      <c r="R143">
        <f>INDEX(참고!$C$5:$J$12, MATCH($J$2, 참고!$B$5:$B$12, 0), MATCH(R$2, 참고!$C$4:$J$4, 0))</f>
        <v>0</v>
      </c>
      <c r="S143">
        <f>INDEX(참고!$C$5:$J$12, MATCH($J$2, 참고!$B$5:$B$12, 0), MATCH(S$2, 참고!$C$4:$J$4, 0))</f>
        <v>0</v>
      </c>
      <c r="T143">
        <f>INDEX(참고!$C$5:$J$12, MATCH($J$2, 참고!$B$5:$B$12, 0), MATCH(T$2, 참고!$C$4:$J$4, 0))</f>
        <v>0</v>
      </c>
      <c r="U143">
        <f>INDEX(참고!$C$5:$J$12, MATCH($J$2, 참고!$B$5:$B$12, 0), MATCH(U$2, 참고!$C$4:$J$4, 0))</f>
        <v>0</v>
      </c>
    </row>
    <row r="144" spans="1:21">
      <c r="A144" t="s">
        <v>269</v>
      </c>
      <c r="B144" s="9">
        <v>22000</v>
      </c>
      <c r="C144">
        <f t="shared" si="2"/>
        <v>109995</v>
      </c>
      <c r="O144">
        <f>INDEX(참고!$C$5:$J$12, MATCH("생명", 참고!$B$5:$B$12, 0), MATCH("HP", 참고!$C$4:$J$4, 0))*J144
+INDEX(참고!$C$5:$J$12, MATCH("힘", 참고!$B$5:$B$12, 0), MATCH("HP", 참고!$C$4:$J$4, 0))*K144
+INDEX(참고!$C$5:$J$12, MATCH("근력", 참고!$B$5:$B$12, 0), MATCH("HP", 참고!$C$4:$J$4, 0))*L144
+INDEX(참고!$C$5:$J$12, MATCH("숙련도", 참고!$B$5:$B$12, 0), MATCH("HP", 참고!$C$4:$J$4, 0))*M144
+INDEX(참고!$C$5:$J$12, MATCH("행운", 참고!$B$5:$B$12, 0), MATCH("HP", 참고!$C$4:$J$4, 0))*N144</f>
        <v>0</v>
      </c>
      <c r="P144">
        <f>INDEX(참고!$C$5:$J$12, MATCH($J$2, 참고!$B$5:$B$12, 0), MATCH(P$2, 참고!$C$4:$J$4, 0))</f>
        <v>3</v>
      </c>
      <c r="Q144">
        <f>INDEX(참고!$C$5:$J$12, MATCH($J$2, 참고!$B$5:$B$12, 0), MATCH(Q$2, 참고!$C$4:$J$4, 0))</f>
        <v>1</v>
      </c>
      <c r="R144">
        <f>INDEX(참고!$C$5:$J$12, MATCH($J$2, 참고!$B$5:$B$12, 0), MATCH(R$2, 참고!$C$4:$J$4, 0))</f>
        <v>0</v>
      </c>
      <c r="S144">
        <f>INDEX(참고!$C$5:$J$12, MATCH($J$2, 참고!$B$5:$B$12, 0), MATCH(S$2, 참고!$C$4:$J$4, 0))</f>
        <v>0</v>
      </c>
      <c r="T144">
        <f>INDEX(참고!$C$5:$J$12, MATCH($J$2, 참고!$B$5:$B$12, 0), MATCH(T$2, 참고!$C$4:$J$4, 0))</f>
        <v>0</v>
      </c>
      <c r="U144">
        <f>INDEX(참고!$C$5:$J$12, MATCH($J$2, 참고!$B$5:$B$12, 0), MATCH(U$2, 참고!$C$4:$J$4, 0))</f>
        <v>0</v>
      </c>
    </row>
    <row r="145" spans="1:21">
      <c r="A145" t="s">
        <v>270</v>
      </c>
      <c r="B145" s="9">
        <v>23000</v>
      </c>
      <c r="C145">
        <f t="shared" si="2"/>
        <v>114995</v>
      </c>
      <c r="O145">
        <f>INDEX(참고!$C$5:$J$12, MATCH("생명", 참고!$B$5:$B$12, 0), MATCH("HP", 참고!$C$4:$J$4, 0))*J145
+INDEX(참고!$C$5:$J$12, MATCH("힘", 참고!$B$5:$B$12, 0), MATCH("HP", 참고!$C$4:$J$4, 0))*K145
+INDEX(참고!$C$5:$J$12, MATCH("근력", 참고!$B$5:$B$12, 0), MATCH("HP", 참고!$C$4:$J$4, 0))*L145
+INDEX(참고!$C$5:$J$12, MATCH("숙련도", 참고!$B$5:$B$12, 0), MATCH("HP", 참고!$C$4:$J$4, 0))*M145
+INDEX(참고!$C$5:$J$12, MATCH("행운", 참고!$B$5:$B$12, 0), MATCH("HP", 참고!$C$4:$J$4, 0))*N145</f>
        <v>0</v>
      </c>
      <c r="P145">
        <f>INDEX(참고!$C$5:$J$12, MATCH($J$2, 참고!$B$5:$B$12, 0), MATCH(P$2, 참고!$C$4:$J$4, 0))</f>
        <v>3</v>
      </c>
      <c r="Q145">
        <f>INDEX(참고!$C$5:$J$12, MATCH($J$2, 참고!$B$5:$B$12, 0), MATCH(Q$2, 참고!$C$4:$J$4, 0))</f>
        <v>1</v>
      </c>
      <c r="R145">
        <f>INDEX(참고!$C$5:$J$12, MATCH($J$2, 참고!$B$5:$B$12, 0), MATCH(R$2, 참고!$C$4:$J$4, 0))</f>
        <v>0</v>
      </c>
      <c r="S145">
        <f>INDEX(참고!$C$5:$J$12, MATCH($J$2, 참고!$B$5:$B$12, 0), MATCH(S$2, 참고!$C$4:$J$4, 0))</f>
        <v>0</v>
      </c>
      <c r="T145">
        <f>INDEX(참고!$C$5:$J$12, MATCH($J$2, 참고!$B$5:$B$12, 0), MATCH(T$2, 참고!$C$4:$J$4, 0))</f>
        <v>0</v>
      </c>
      <c r="U145">
        <f>INDEX(참고!$C$5:$J$12, MATCH($J$2, 참고!$B$5:$B$12, 0), MATCH(U$2, 참고!$C$4:$J$4, 0))</f>
        <v>0</v>
      </c>
    </row>
    <row r="146" spans="1:21">
      <c r="A146" t="s">
        <v>271</v>
      </c>
      <c r="B146" s="9">
        <v>24000</v>
      </c>
      <c r="C146">
        <f t="shared" si="2"/>
        <v>119995</v>
      </c>
      <c r="O146">
        <f>INDEX(참고!$C$5:$J$12, MATCH("생명", 참고!$B$5:$B$12, 0), MATCH("HP", 참고!$C$4:$J$4, 0))*J146
+INDEX(참고!$C$5:$J$12, MATCH("힘", 참고!$B$5:$B$12, 0), MATCH("HP", 참고!$C$4:$J$4, 0))*K146
+INDEX(참고!$C$5:$J$12, MATCH("근력", 참고!$B$5:$B$12, 0), MATCH("HP", 참고!$C$4:$J$4, 0))*L146
+INDEX(참고!$C$5:$J$12, MATCH("숙련도", 참고!$B$5:$B$12, 0), MATCH("HP", 참고!$C$4:$J$4, 0))*M146
+INDEX(참고!$C$5:$J$12, MATCH("행운", 참고!$B$5:$B$12, 0), MATCH("HP", 참고!$C$4:$J$4, 0))*N146</f>
        <v>0</v>
      </c>
      <c r="P146">
        <f>INDEX(참고!$C$5:$J$12, MATCH($J$2, 참고!$B$5:$B$12, 0), MATCH(P$2, 참고!$C$4:$J$4, 0))</f>
        <v>3</v>
      </c>
      <c r="Q146">
        <f>INDEX(참고!$C$5:$J$12, MATCH($J$2, 참고!$B$5:$B$12, 0), MATCH(Q$2, 참고!$C$4:$J$4, 0))</f>
        <v>1</v>
      </c>
      <c r="R146">
        <f>INDEX(참고!$C$5:$J$12, MATCH($J$2, 참고!$B$5:$B$12, 0), MATCH(R$2, 참고!$C$4:$J$4, 0))</f>
        <v>0</v>
      </c>
      <c r="S146">
        <f>INDEX(참고!$C$5:$J$12, MATCH($J$2, 참고!$B$5:$B$12, 0), MATCH(S$2, 참고!$C$4:$J$4, 0))</f>
        <v>0</v>
      </c>
      <c r="T146">
        <f>INDEX(참고!$C$5:$J$12, MATCH($J$2, 참고!$B$5:$B$12, 0), MATCH(T$2, 참고!$C$4:$J$4, 0))</f>
        <v>0</v>
      </c>
      <c r="U146">
        <f>INDEX(참고!$C$5:$J$12, MATCH($J$2, 참고!$B$5:$B$12, 0), MATCH(U$2, 참고!$C$4:$J$4, 0))</f>
        <v>0</v>
      </c>
    </row>
    <row r="147" spans="1:21">
      <c r="A147" t="s">
        <v>272</v>
      </c>
      <c r="B147" s="9">
        <v>25000</v>
      </c>
      <c r="C147">
        <f t="shared" si="2"/>
        <v>124995</v>
      </c>
      <c r="O147">
        <f>INDEX(참고!$C$5:$J$12, MATCH("생명", 참고!$B$5:$B$12, 0), MATCH("HP", 참고!$C$4:$J$4, 0))*J147
+INDEX(참고!$C$5:$J$12, MATCH("힘", 참고!$B$5:$B$12, 0), MATCH("HP", 참고!$C$4:$J$4, 0))*K147
+INDEX(참고!$C$5:$J$12, MATCH("근력", 참고!$B$5:$B$12, 0), MATCH("HP", 참고!$C$4:$J$4, 0))*L147
+INDEX(참고!$C$5:$J$12, MATCH("숙련도", 참고!$B$5:$B$12, 0), MATCH("HP", 참고!$C$4:$J$4, 0))*M147
+INDEX(참고!$C$5:$J$12, MATCH("행운", 참고!$B$5:$B$12, 0), MATCH("HP", 참고!$C$4:$J$4, 0))*N147</f>
        <v>0</v>
      </c>
      <c r="P147">
        <f>INDEX(참고!$C$5:$J$12, MATCH($J$2, 참고!$B$5:$B$12, 0), MATCH(P$2, 참고!$C$4:$J$4, 0))</f>
        <v>3</v>
      </c>
      <c r="Q147">
        <f>INDEX(참고!$C$5:$J$12, MATCH($J$2, 참고!$B$5:$B$12, 0), MATCH(Q$2, 참고!$C$4:$J$4, 0))</f>
        <v>1</v>
      </c>
      <c r="R147">
        <f>INDEX(참고!$C$5:$J$12, MATCH($J$2, 참고!$B$5:$B$12, 0), MATCH(R$2, 참고!$C$4:$J$4, 0))</f>
        <v>0</v>
      </c>
      <c r="S147">
        <f>INDEX(참고!$C$5:$J$12, MATCH($J$2, 참고!$B$5:$B$12, 0), MATCH(S$2, 참고!$C$4:$J$4, 0))</f>
        <v>0</v>
      </c>
      <c r="T147">
        <f>INDEX(참고!$C$5:$J$12, MATCH($J$2, 참고!$B$5:$B$12, 0), MATCH(T$2, 참고!$C$4:$J$4, 0))</f>
        <v>0</v>
      </c>
      <c r="U147">
        <f>INDEX(참고!$C$5:$J$12, MATCH($J$2, 참고!$B$5:$B$12, 0), MATCH(U$2, 참고!$C$4:$J$4, 0))</f>
        <v>0</v>
      </c>
    </row>
    <row r="148" spans="1:21">
      <c r="A148" t="s">
        <v>273</v>
      </c>
      <c r="B148" s="9">
        <v>26000</v>
      </c>
      <c r="C148">
        <f t="shared" si="2"/>
        <v>129995</v>
      </c>
      <c r="O148">
        <f>INDEX(참고!$C$5:$J$12, MATCH("생명", 참고!$B$5:$B$12, 0), MATCH("HP", 참고!$C$4:$J$4, 0))*J148
+INDEX(참고!$C$5:$J$12, MATCH("힘", 참고!$B$5:$B$12, 0), MATCH("HP", 참고!$C$4:$J$4, 0))*K148
+INDEX(참고!$C$5:$J$12, MATCH("근력", 참고!$B$5:$B$12, 0), MATCH("HP", 참고!$C$4:$J$4, 0))*L148
+INDEX(참고!$C$5:$J$12, MATCH("숙련도", 참고!$B$5:$B$12, 0), MATCH("HP", 참고!$C$4:$J$4, 0))*M148
+INDEX(참고!$C$5:$J$12, MATCH("행운", 참고!$B$5:$B$12, 0), MATCH("HP", 참고!$C$4:$J$4, 0))*N148</f>
        <v>0</v>
      </c>
      <c r="P148">
        <f>INDEX(참고!$C$5:$J$12, MATCH($J$2, 참고!$B$5:$B$12, 0), MATCH(P$2, 참고!$C$4:$J$4, 0))</f>
        <v>3</v>
      </c>
      <c r="Q148">
        <f>INDEX(참고!$C$5:$J$12, MATCH($J$2, 참고!$B$5:$B$12, 0), MATCH(Q$2, 참고!$C$4:$J$4, 0))</f>
        <v>1</v>
      </c>
      <c r="R148">
        <f>INDEX(참고!$C$5:$J$12, MATCH($J$2, 참고!$B$5:$B$12, 0), MATCH(R$2, 참고!$C$4:$J$4, 0))</f>
        <v>0</v>
      </c>
      <c r="S148">
        <f>INDEX(참고!$C$5:$J$12, MATCH($J$2, 참고!$B$5:$B$12, 0), MATCH(S$2, 참고!$C$4:$J$4, 0))</f>
        <v>0</v>
      </c>
      <c r="T148">
        <f>INDEX(참고!$C$5:$J$12, MATCH($J$2, 참고!$B$5:$B$12, 0), MATCH(T$2, 참고!$C$4:$J$4, 0))</f>
        <v>0</v>
      </c>
      <c r="U148">
        <f>INDEX(참고!$C$5:$J$12, MATCH($J$2, 참고!$B$5:$B$12, 0), MATCH(U$2, 참고!$C$4:$J$4, 0))</f>
        <v>0</v>
      </c>
    </row>
    <row r="149" spans="1:21">
      <c r="A149" t="s">
        <v>274</v>
      </c>
      <c r="B149" s="9">
        <v>27000</v>
      </c>
      <c r="C149">
        <f t="shared" si="2"/>
        <v>134995</v>
      </c>
      <c r="O149">
        <f>INDEX(참고!$C$5:$J$12, MATCH("생명", 참고!$B$5:$B$12, 0), MATCH("HP", 참고!$C$4:$J$4, 0))*J149
+INDEX(참고!$C$5:$J$12, MATCH("힘", 참고!$B$5:$B$12, 0), MATCH("HP", 참고!$C$4:$J$4, 0))*K149
+INDEX(참고!$C$5:$J$12, MATCH("근력", 참고!$B$5:$B$12, 0), MATCH("HP", 참고!$C$4:$J$4, 0))*L149
+INDEX(참고!$C$5:$J$12, MATCH("숙련도", 참고!$B$5:$B$12, 0), MATCH("HP", 참고!$C$4:$J$4, 0))*M149
+INDEX(참고!$C$5:$J$12, MATCH("행운", 참고!$B$5:$B$12, 0), MATCH("HP", 참고!$C$4:$J$4, 0))*N149</f>
        <v>0</v>
      </c>
      <c r="P149">
        <f>INDEX(참고!$C$5:$J$12, MATCH($J$2, 참고!$B$5:$B$12, 0), MATCH(P$2, 참고!$C$4:$J$4, 0))</f>
        <v>3</v>
      </c>
      <c r="Q149">
        <f>INDEX(참고!$C$5:$J$12, MATCH($J$2, 참고!$B$5:$B$12, 0), MATCH(Q$2, 참고!$C$4:$J$4, 0))</f>
        <v>1</v>
      </c>
      <c r="R149">
        <f>INDEX(참고!$C$5:$J$12, MATCH($J$2, 참고!$B$5:$B$12, 0), MATCH(R$2, 참고!$C$4:$J$4, 0))</f>
        <v>0</v>
      </c>
      <c r="S149">
        <f>INDEX(참고!$C$5:$J$12, MATCH($J$2, 참고!$B$5:$B$12, 0), MATCH(S$2, 참고!$C$4:$J$4, 0))</f>
        <v>0</v>
      </c>
      <c r="T149">
        <f>INDEX(참고!$C$5:$J$12, MATCH($J$2, 참고!$B$5:$B$12, 0), MATCH(T$2, 참고!$C$4:$J$4, 0))</f>
        <v>0</v>
      </c>
      <c r="U149">
        <f>INDEX(참고!$C$5:$J$12, MATCH($J$2, 참고!$B$5:$B$12, 0), MATCH(U$2, 참고!$C$4:$J$4, 0))</f>
        <v>0</v>
      </c>
    </row>
    <row r="150" spans="1:21">
      <c r="A150" t="s">
        <v>275</v>
      </c>
      <c r="B150" s="9">
        <v>28000</v>
      </c>
      <c r="C150">
        <f t="shared" si="2"/>
        <v>139995</v>
      </c>
      <c r="O150">
        <f>INDEX(참고!$C$5:$J$12, MATCH("생명", 참고!$B$5:$B$12, 0), MATCH("HP", 참고!$C$4:$J$4, 0))*J150
+INDEX(참고!$C$5:$J$12, MATCH("힘", 참고!$B$5:$B$12, 0), MATCH("HP", 참고!$C$4:$J$4, 0))*K150
+INDEX(참고!$C$5:$J$12, MATCH("근력", 참고!$B$5:$B$12, 0), MATCH("HP", 참고!$C$4:$J$4, 0))*L150
+INDEX(참고!$C$5:$J$12, MATCH("숙련도", 참고!$B$5:$B$12, 0), MATCH("HP", 참고!$C$4:$J$4, 0))*M150
+INDEX(참고!$C$5:$J$12, MATCH("행운", 참고!$B$5:$B$12, 0), MATCH("HP", 참고!$C$4:$J$4, 0))*N150</f>
        <v>0</v>
      </c>
      <c r="P150">
        <f>INDEX(참고!$C$5:$J$12, MATCH($J$2, 참고!$B$5:$B$12, 0), MATCH(P$2, 참고!$C$4:$J$4, 0))</f>
        <v>3</v>
      </c>
      <c r="Q150">
        <f>INDEX(참고!$C$5:$J$12, MATCH($J$2, 참고!$B$5:$B$12, 0), MATCH(Q$2, 참고!$C$4:$J$4, 0))</f>
        <v>1</v>
      </c>
      <c r="R150">
        <f>INDEX(참고!$C$5:$J$12, MATCH($J$2, 참고!$B$5:$B$12, 0), MATCH(R$2, 참고!$C$4:$J$4, 0))</f>
        <v>0</v>
      </c>
      <c r="S150">
        <f>INDEX(참고!$C$5:$J$12, MATCH($J$2, 참고!$B$5:$B$12, 0), MATCH(S$2, 참고!$C$4:$J$4, 0))</f>
        <v>0</v>
      </c>
      <c r="T150">
        <f>INDEX(참고!$C$5:$J$12, MATCH($J$2, 참고!$B$5:$B$12, 0), MATCH(T$2, 참고!$C$4:$J$4, 0))</f>
        <v>0</v>
      </c>
      <c r="U150">
        <f>INDEX(참고!$C$5:$J$12, MATCH($J$2, 참고!$B$5:$B$12, 0), MATCH(U$2, 참고!$C$4:$J$4, 0))</f>
        <v>0</v>
      </c>
    </row>
    <row r="151" spans="1:21">
      <c r="A151" t="s">
        <v>276</v>
      </c>
      <c r="B151" s="9">
        <v>29000</v>
      </c>
      <c r="C151">
        <f t="shared" si="2"/>
        <v>144995</v>
      </c>
      <c r="O151">
        <f>INDEX(참고!$C$5:$J$12, MATCH("생명", 참고!$B$5:$B$12, 0), MATCH("HP", 참고!$C$4:$J$4, 0))*J151
+INDEX(참고!$C$5:$J$12, MATCH("힘", 참고!$B$5:$B$12, 0), MATCH("HP", 참고!$C$4:$J$4, 0))*K151
+INDEX(참고!$C$5:$J$12, MATCH("근력", 참고!$B$5:$B$12, 0), MATCH("HP", 참고!$C$4:$J$4, 0))*L151
+INDEX(참고!$C$5:$J$12, MATCH("숙련도", 참고!$B$5:$B$12, 0), MATCH("HP", 참고!$C$4:$J$4, 0))*M151
+INDEX(참고!$C$5:$J$12, MATCH("행운", 참고!$B$5:$B$12, 0), MATCH("HP", 참고!$C$4:$J$4, 0))*N151</f>
        <v>0</v>
      </c>
      <c r="P151">
        <f>INDEX(참고!$C$5:$J$12, MATCH($J$2, 참고!$B$5:$B$12, 0), MATCH(P$2, 참고!$C$4:$J$4, 0))</f>
        <v>3</v>
      </c>
      <c r="Q151">
        <f>INDEX(참고!$C$5:$J$12, MATCH($J$2, 참고!$B$5:$B$12, 0), MATCH(Q$2, 참고!$C$4:$J$4, 0))</f>
        <v>1</v>
      </c>
      <c r="R151">
        <f>INDEX(참고!$C$5:$J$12, MATCH($J$2, 참고!$B$5:$B$12, 0), MATCH(R$2, 참고!$C$4:$J$4, 0))</f>
        <v>0</v>
      </c>
      <c r="S151">
        <f>INDEX(참고!$C$5:$J$12, MATCH($J$2, 참고!$B$5:$B$12, 0), MATCH(S$2, 참고!$C$4:$J$4, 0))</f>
        <v>0</v>
      </c>
      <c r="T151">
        <f>INDEX(참고!$C$5:$J$12, MATCH($J$2, 참고!$B$5:$B$12, 0), MATCH(T$2, 참고!$C$4:$J$4, 0))</f>
        <v>0</v>
      </c>
      <c r="U151">
        <f>INDEX(참고!$C$5:$J$12, MATCH($J$2, 참고!$B$5:$B$12, 0), MATCH(U$2, 참고!$C$4:$J$4, 0))</f>
        <v>0</v>
      </c>
    </row>
    <row r="152" spans="1:21">
      <c r="A152" t="s">
        <v>277</v>
      </c>
      <c r="B152" s="9">
        <v>30000</v>
      </c>
      <c r="C152">
        <f t="shared" si="2"/>
        <v>149995</v>
      </c>
      <c r="O152">
        <f>INDEX(참고!$C$5:$J$12, MATCH("생명", 참고!$B$5:$B$12, 0), MATCH("HP", 참고!$C$4:$J$4, 0))*J152
+INDEX(참고!$C$5:$J$12, MATCH("힘", 참고!$B$5:$B$12, 0), MATCH("HP", 참고!$C$4:$J$4, 0))*K152
+INDEX(참고!$C$5:$J$12, MATCH("근력", 참고!$B$5:$B$12, 0), MATCH("HP", 참고!$C$4:$J$4, 0))*L152
+INDEX(참고!$C$5:$J$12, MATCH("숙련도", 참고!$B$5:$B$12, 0), MATCH("HP", 참고!$C$4:$J$4, 0))*M152
+INDEX(참고!$C$5:$J$12, MATCH("행운", 참고!$B$5:$B$12, 0), MATCH("HP", 참고!$C$4:$J$4, 0))*N152</f>
        <v>0</v>
      </c>
      <c r="P152">
        <f>INDEX(참고!$C$5:$J$12, MATCH($J$2, 참고!$B$5:$B$12, 0), MATCH(P$2, 참고!$C$4:$J$4, 0))</f>
        <v>3</v>
      </c>
      <c r="Q152">
        <f>INDEX(참고!$C$5:$J$12, MATCH($J$2, 참고!$B$5:$B$12, 0), MATCH(Q$2, 참고!$C$4:$J$4, 0))</f>
        <v>1</v>
      </c>
      <c r="R152">
        <f>INDEX(참고!$C$5:$J$12, MATCH($J$2, 참고!$B$5:$B$12, 0), MATCH(R$2, 참고!$C$4:$J$4, 0))</f>
        <v>0</v>
      </c>
      <c r="S152">
        <f>INDEX(참고!$C$5:$J$12, MATCH($J$2, 참고!$B$5:$B$12, 0), MATCH(S$2, 참고!$C$4:$J$4, 0))</f>
        <v>0</v>
      </c>
      <c r="T152">
        <f>INDEX(참고!$C$5:$J$12, MATCH($J$2, 참고!$B$5:$B$12, 0), MATCH(T$2, 참고!$C$4:$J$4, 0))</f>
        <v>0</v>
      </c>
      <c r="U152">
        <f>INDEX(참고!$C$5:$J$12, MATCH($J$2, 참고!$B$5:$B$12, 0), MATCH(U$2, 참고!$C$4:$J$4, 0))</f>
        <v>0</v>
      </c>
    </row>
    <row r="153" spans="1:21">
      <c r="A153" t="s">
        <v>278</v>
      </c>
      <c r="B153" s="9">
        <v>31000</v>
      </c>
      <c r="C153">
        <f t="shared" si="2"/>
        <v>154995</v>
      </c>
      <c r="O153">
        <f>INDEX(참고!$C$5:$J$12, MATCH("생명", 참고!$B$5:$B$12, 0), MATCH("HP", 참고!$C$4:$J$4, 0))*J153
+INDEX(참고!$C$5:$J$12, MATCH("힘", 참고!$B$5:$B$12, 0), MATCH("HP", 참고!$C$4:$J$4, 0))*K153
+INDEX(참고!$C$5:$J$12, MATCH("근력", 참고!$B$5:$B$12, 0), MATCH("HP", 참고!$C$4:$J$4, 0))*L153
+INDEX(참고!$C$5:$J$12, MATCH("숙련도", 참고!$B$5:$B$12, 0), MATCH("HP", 참고!$C$4:$J$4, 0))*M153
+INDEX(참고!$C$5:$J$12, MATCH("행운", 참고!$B$5:$B$12, 0), MATCH("HP", 참고!$C$4:$J$4, 0))*N153</f>
        <v>0</v>
      </c>
      <c r="P153">
        <f>INDEX(참고!$C$5:$J$12, MATCH($J$2, 참고!$B$5:$B$12, 0), MATCH(P$2, 참고!$C$4:$J$4, 0))</f>
        <v>3</v>
      </c>
      <c r="Q153">
        <f>INDEX(참고!$C$5:$J$12, MATCH($J$2, 참고!$B$5:$B$12, 0), MATCH(Q$2, 참고!$C$4:$J$4, 0))</f>
        <v>1</v>
      </c>
      <c r="R153">
        <f>INDEX(참고!$C$5:$J$12, MATCH($J$2, 참고!$B$5:$B$12, 0), MATCH(R$2, 참고!$C$4:$J$4, 0))</f>
        <v>0</v>
      </c>
      <c r="S153">
        <f>INDEX(참고!$C$5:$J$12, MATCH($J$2, 참고!$B$5:$B$12, 0), MATCH(S$2, 참고!$C$4:$J$4, 0))</f>
        <v>0</v>
      </c>
      <c r="T153">
        <f>INDEX(참고!$C$5:$J$12, MATCH($J$2, 참고!$B$5:$B$12, 0), MATCH(T$2, 참고!$C$4:$J$4, 0))</f>
        <v>0</v>
      </c>
      <c r="U153">
        <f>INDEX(참고!$C$5:$J$12, MATCH($J$2, 참고!$B$5:$B$12, 0), MATCH(U$2, 참고!$C$4:$J$4, 0))</f>
        <v>0</v>
      </c>
    </row>
    <row r="154" spans="1:21">
      <c r="A154" t="s">
        <v>279</v>
      </c>
      <c r="B154" s="9">
        <v>32000</v>
      </c>
      <c r="C154">
        <f t="shared" si="2"/>
        <v>159995</v>
      </c>
      <c r="O154">
        <f>INDEX(참고!$C$5:$J$12, MATCH("생명", 참고!$B$5:$B$12, 0), MATCH("HP", 참고!$C$4:$J$4, 0))*J154
+INDEX(참고!$C$5:$J$12, MATCH("힘", 참고!$B$5:$B$12, 0), MATCH("HP", 참고!$C$4:$J$4, 0))*K154
+INDEX(참고!$C$5:$J$12, MATCH("근력", 참고!$B$5:$B$12, 0), MATCH("HP", 참고!$C$4:$J$4, 0))*L154
+INDEX(참고!$C$5:$J$12, MATCH("숙련도", 참고!$B$5:$B$12, 0), MATCH("HP", 참고!$C$4:$J$4, 0))*M154
+INDEX(참고!$C$5:$J$12, MATCH("행운", 참고!$B$5:$B$12, 0), MATCH("HP", 참고!$C$4:$J$4, 0))*N154</f>
        <v>0</v>
      </c>
      <c r="P154">
        <f>INDEX(참고!$C$5:$J$12, MATCH($J$2, 참고!$B$5:$B$12, 0), MATCH(P$2, 참고!$C$4:$J$4, 0))</f>
        <v>3</v>
      </c>
      <c r="Q154">
        <f>INDEX(참고!$C$5:$J$12, MATCH($J$2, 참고!$B$5:$B$12, 0), MATCH(Q$2, 참고!$C$4:$J$4, 0))</f>
        <v>1</v>
      </c>
      <c r="R154">
        <f>INDEX(참고!$C$5:$J$12, MATCH($J$2, 참고!$B$5:$B$12, 0), MATCH(R$2, 참고!$C$4:$J$4, 0))</f>
        <v>0</v>
      </c>
      <c r="S154">
        <f>INDEX(참고!$C$5:$J$12, MATCH($J$2, 참고!$B$5:$B$12, 0), MATCH(S$2, 참고!$C$4:$J$4, 0))</f>
        <v>0</v>
      </c>
      <c r="T154">
        <f>INDEX(참고!$C$5:$J$12, MATCH($J$2, 참고!$B$5:$B$12, 0), MATCH(T$2, 참고!$C$4:$J$4, 0))</f>
        <v>0</v>
      </c>
      <c r="U154">
        <f>INDEX(참고!$C$5:$J$12, MATCH($J$2, 참고!$B$5:$B$12, 0), MATCH(U$2, 참고!$C$4:$J$4, 0))</f>
        <v>0</v>
      </c>
    </row>
    <row r="155" spans="1:21">
      <c r="A155" t="s">
        <v>280</v>
      </c>
      <c r="B155" s="9">
        <v>32500</v>
      </c>
      <c r="C155">
        <f t="shared" si="2"/>
        <v>162495</v>
      </c>
      <c r="O155">
        <f>INDEX(참고!$C$5:$J$12, MATCH("생명", 참고!$B$5:$B$12, 0), MATCH("HP", 참고!$C$4:$J$4, 0))*J155
+INDEX(참고!$C$5:$J$12, MATCH("힘", 참고!$B$5:$B$12, 0), MATCH("HP", 참고!$C$4:$J$4, 0))*K155
+INDEX(참고!$C$5:$J$12, MATCH("근력", 참고!$B$5:$B$12, 0), MATCH("HP", 참고!$C$4:$J$4, 0))*L155
+INDEX(참고!$C$5:$J$12, MATCH("숙련도", 참고!$B$5:$B$12, 0), MATCH("HP", 참고!$C$4:$J$4, 0))*M155
+INDEX(참고!$C$5:$J$12, MATCH("행운", 참고!$B$5:$B$12, 0), MATCH("HP", 참고!$C$4:$J$4, 0))*N155</f>
        <v>0</v>
      </c>
      <c r="P155">
        <f>INDEX(참고!$C$5:$J$12, MATCH($J$2, 참고!$B$5:$B$12, 0), MATCH(P$2, 참고!$C$4:$J$4, 0))</f>
        <v>3</v>
      </c>
      <c r="Q155">
        <f>INDEX(참고!$C$5:$J$12, MATCH($J$2, 참고!$B$5:$B$12, 0), MATCH(Q$2, 참고!$C$4:$J$4, 0))</f>
        <v>1</v>
      </c>
      <c r="R155">
        <f>INDEX(참고!$C$5:$J$12, MATCH($J$2, 참고!$B$5:$B$12, 0), MATCH(R$2, 참고!$C$4:$J$4, 0))</f>
        <v>0</v>
      </c>
      <c r="S155">
        <f>INDEX(참고!$C$5:$J$12, MATCH($J$2, 참고!$B$5:$B$12, 0), MATCH(S$2, 참고!$C$4:$J$4, 0))</f>
        <v>0</v>
      </c>
      <c r="T155">
        <f>INDEX(참고!$C$5:$J$12, MATCH($J$2, 참고!$B$5:$B$12, 0), MATCH(T$2, 참고!$C$4:$J$4, 0))</f>
        <v>0</v>
      </c>
      <c r="U155">
        <f>INDEX(참고!$C$5:$J$12, MATCH($J$2, 참고!$B$5:$B$12, 0), MATCH(U$2, 참고!$C$4:$J$4, 0))</f>
        <v>0</v>
      </c>
    </row>
    <row r="156" spans="1:21">
      <c r="A156" t="s">
        <v>281</v>
      </c>
      <c r="B156" s="9">
        <v>33000</v>
      </c>
      <c r="C156">
        <f t="shared" si="2"/>
        <v>164995</v>
      </c>
      <c r="O156">
        <f>INDEX(참고!$C$5:$J$12, MATCH("생명", 참고!$B$5:$B$12, 0), MATCH("HP", 참고!$C$4:$J$4, 0))*J156
+INDEX(참고!$C$5:$J$12, MATCH("힘", 참고!$B$5:$B$12, 0), MATCH("HP", 참고!$C$4:$J$4, 0))*K156
+INDEX(참고!$C$5:$J$12, MATCH("근력", 참고!$B$5:$B$12, 0), MATCH("HP", 참고!$C$4:$J$4, 0))*L156
+INDEX(참고!$C$5:$J$12, MATCH("숙련도", 참고!$B$5:$B$12, 0), MATCH("HP", 참고!$C$4:$J$4, 0))*M156
+INDEX(참고!$C$5:$J$12, MATCH("행운", 참고!$B$5:$B$12, 0), MATCH("HP", 참고!$C$4:$J$4, 0))*N156</f>
        <v>0</v>
      </c>
      <c r="P156">
        <f>INDEX(참고!$C$5:$J$12, MATCH($J$2, 참고!$B$5:$B$12, 0), MATCH(P$2, 참고!$C$4:$J$4, 0))</f>
        <v>3</v>
      </c>
      <c r="Q156">
        <f>INDEX(참고!$C$5:$J$12, MATCH($J$2, 참고!$B$5:$B$12, 0), MATCH(Q$2, 참고!$C$4:$J$4, 0))</f>
        <v>1</v>
      </c>
      <c r="R156">
        <f>INDEX(참고!$C$5:$J$12, MATCH($J$2, 참고!$B$5:$B$12, 0), MATCH(R$2, 참고!$C$4:$J$4, 0))</f>
        <v>0</v>
      </c>
      <c r="S156">
        <f>INDEX(참고!$C$5:$J$12, MATCH($J$2, 참고!$B$5:$B$12, 0), MATCH(S$2, 참고!$C$4:$J$4, 0))</f>
        <v>0</v>
      </c>
      <c r="T156">
        <f>INDEX(참고!$C$5:$J$12, MATCH($J$2, 참고!$B$5:$B$12, 0), MATCH(T$2, 참고!$C$4:$J$4, 0))</f>
        <v>0</v>
      </c>
      <c r="U156">
        <f>INDEX(참고!$C$5:$J$12, MATCH($J$2, 참고!$B$5:$B$12, 0), MATCH(U$2, 참고!$C$4:$J$4, 0))</f>
        <v>0</v>
      </c>
    </row>
    <row r="157" spans="1:21">
      <c r="A157" t="s">
        <v>282</v>
      </c>
      <c r="B157" s="9">
        <v>34000</v>
      </c>
      <c r="C157">
        <f t="shared" si="2"/>
        <v>169995</v>
      </c>
      <c r="O157">
        <f>INDEX(참고!$C$5:$J$12, MATCH("생명", 참고!$B$5:$B$12, 0), MATCH("HP", 참고!$C$4:$J$4, 0))*J157
+INDEX(참고!$C$5:$J$12, MATCH("힘", 참고!$B$5:$B$12, 0), MATCH("HP", 참고!$C$4:$J$4, 0))*K157
+INDEX(참고!$C$5:$J$12, MATCH("근력", 참고!$B$5:$B$12, 0), MATCH("HP", 참고!$C$4:$J$4, 0))*L157
+INDEX(참고!$C$5:$J$12, MATCH("숙련도", 참고!$B$5:$B$12, 0), MATCH("HP", 참고!$C$4:$J$4, 0))*M157
+INDEX(참고!$C$5:$J$12, MATCH("행운", 참고!$B$5:$B$12, 0), MATCH("HP", 참고!$C$4:$J$4, 0))*N157</f>
        <v>0</v>
      </c>
      <c r="P157">
        <f>INDEX(참고!$C$5:$J$12, MATCH($J$2, 참고!$B$5:$B$12, 0), MATCH(P$2, 참고!$C$4:$J$4, 0))</f>
        <v>3</v>
      </c>
      <c r="Q157">
        <f>INDEX(참고!$C$5:$J$12, MATCH($J$2, 참고!$B$5:$B$12, 0), MATCH(Q$2, 참고!$C$4:$J$4, 0))</f>
        <v>1</v>
      </c>
      <c r="R157">
        <f>INDEX(참고!$C$5:$J$12, MATCH($J$2, 참고!$B$5:$B$12, 0), MATCH(R$2, 참고!$C$4:$J$4, 0))</f>
        <v>0</v>
      </c>
      <c r="S157">
        <f>INDEX(참고!$C$5:$J$12, MATCH($J$2, 참고!$B$5:$B$12, 0), MATCH(S$2, 참고!$C$4:$J$4, 0))</f>
        <v>0</v>
      </c>
      <c r="T157">
        <f>INDEX(참고!$C$5:$J$12, MATCH($J$2, 참고!$B$5:$B$12, 0), MATCH(T$2, 참고!$C$4:$J$4, 0))</f>
        <v>0</v>
      </c>
      <c r="U157">
        <f>INDEX(참고!$C$5:$J$12, MATCH($J$2, 참고!$B$5:$B$12, 0), MATCH(U$2, 참고!$C$4:$J$4, 0))</f>
        <v>0</v>
      </c>
    </row>
    <row r="158" spans="1:21">
      <c r="A158" t="s">
        <v>283</v>
      </c>
      <c r="B158" s="9">
        <v>35000</v>
      </c>
      <c r="C158">
        <f t="shared" si="2"/>
        <v>174995</v>
      </c>
      <c r="O158">
        <f>INDEX(참고!$C$5:$J$12, MATCH("생명", 참고!$B$5:$B$12, 0), MATCH("HP", 참고!$C$4:$J$4, 0))*J158
+INDEX(참고!$C$5:$J$12, MATCH("힘", 참고!$B$5:$B$12, 0), MATCH("HP", 참고!$C$4:$J$4, 0))*K158
+INDEX(참고!$C$5:$J$12, MATCH("근력", 참고!$B$5:$B$12, 0), MATCH("HP", 참고!$C$4:$J$4, 0))*L158
+INDEX(참고!$C$5:$J$12, MATCH("숙련도", 참고!$B$5:$B$12, 0), MATCH("HP", 참고!$C$4:$J$4, 0))*M158
+INDEX(참고!$C$5:$J$12, MATCH("행운", 참고!$B$5:$B$12, 0), MATCH("HP", 참고!$C$4:$J$4, 0))*N158</f>
        <v>0</v>
      </c>
      <c r="P158">
        <f>INDEX(참고!$C$5:$J$12, MATCH($J$2, 참고!$B$5:$B$12, 0), MATCH(P$2, 참고!$C$4:$J$4, 0))</f>
        <v>3</v>
      </c>
      <c r="Q158">
        <f>INDEX(참고!$C$5:$J$12, MATCH($J$2, 참고!$B$5:$B$12, 0), MATCH(Q$2, 참고!$C$4:$J$4, 0))</f>
        <v>1</v>
      </c>
      <c r="R158">
        <f>INDEX(참고!$C$5:$J$12, MATCH($J$2, 참고!$B$5:$B$12, 0), MATCH(R$2, 참고!$C$4:$J$4, 0))</f>
        <v>0</v>
      </c>
      <c r="S158">
        <f>INDEX(참고!$C$5:$J$12, MATCH($J$2, 참고!$B$5:$B$12, 0), MATCH(S$2, 참고!$C$4:$J$4, 0))</f>
        <v>0</v>
      </c>
      <c r="T158">
        <f>INDEX(참고!$C$5:$J$12, MATCH($J$2, 참고!$B$5:$B$12, 0), MATCH(T$2, 참고!$C$4:$J$4, 0))</f>
        <v>0</v>
      </c>
      <c r="U158">
        <f>INDEX(참고!$C$5:$J$12, MATCH($J$2, 참고!$B$5:$B$12, 0), MATCH(U$2, 참고!$C$4:$J$4, 0))</f>
        <v>0</v>
      </c>
    </row>
    <row r="159" spans="1:21">
      <c r="A159" t="s">
        <v>284</v>
      </c>
      <c r="B159" s="9">
        <v>36000</v>
      </c>
      <c r="C159">
        <f t="shared" si="2"/>
        <v>179995</v>
      </c>
      <c r="O159">
        <f>INDEX(참고!$C$5:$J$12, MATCH("생명", 참고!$B$5:$B$12, 0), MATCH("HP", 참고!$C$4:$J$4, 0))*J159
+INDEX(참고!$C$5:$J$12, MATCH("힘", 참고!$B$5:$B$12, 0), MATCH("HP", 참고!$C$4:$J$4, 0))*K159
+INDEX(참고!$C$5:$J$12, MATCH("근력", 참고!$B$5:$B$12, 0), MATCH("HP", 참고!$C$4:$J$4, 0))*L159
+INDEX(참고!$C$5:$J$12, MATCH("숙련도", 참고!$B$5:$B$12, 0), MATCH("HP", 참고!$C$4:$J$4, 0))*M159
+INDEX(참고!$C$5:$J$12, MATCH("행운", 참고!$B$5:$B$12, 0), MATCH("HP", 참고!$C$4:$J$4, 0))*N159</f>
        <v>0</v>
      </c>
      <c r="P159">
        <f>INDEX(참고!$C$5:$J$12, MATCH($J$2, 참고!$B$5:$B$12, 0), MATCH(P$2, 참고!$C$4:$J$4, 0))</f>
        <v>3</v>
      </c>
      <c r="Q159">
        <f>INDEX(참고!$C$5:$J$12, MATCH($J$2, 참고!$B$5:$B$12, 0), MATCH(Q$2, 참고!$C$4:$J$4, 0))</f>
        <v>1</v>
      </c>
      <c r="R159">
        <f>INDEX(참고!$C$5:$J$12, MATCH($J$2, 참고!$B$5:$B$12, 0), MATCH(R$2, 참고!$C$4:$J$4, 0))</f>
        <v>0</v>
      </c>
      <c r="S159">
        <f>INDEX(참고!$C$5:$J$12, MATCH($J$2, 참고!$B$5:$B$12, 0), MATCH(S$2, 참고!$C$4:$J$4, 0))</f>
        <v>0</v>
      </c>
      <c r="T159">
        <f>INDEX(참고!$C$5:$J$12, MATCH($J$2, 참고!$B$5:$B$12, 0), MATCH(T$2, 참고!$C$4:$J$4, 0))</f>
        <v>0</v>
      </c>
      <c r="U159">
        <f>INDEX(참고!$C$5:$J$12, MATCH($J$2, 참고!$B$5:$B$12, 0), MATCH(U$2, 참고!$C$4:$J$4, 0))</f>
        <v>0</v>
      </c>
    </row>
    <row r="160" spans="1:21">
      <c r="A160" t="s">
        <v>285</v>
      </c>
      <c r="B160" s="9">
        <v>38000</v>
      </c>
      <c r="C160">
        <f t="shared" si="2"/>
        <v>189995</v>
      </c>
      <c r="O160">
        <f>INDEX(참고!$C$5:$J$12, MATCH("생명", 참고!$B$5:$B$12, 0), MATCH("HP", 참고!$C$4:$J$4, 0))*J160
+INDEX(참고!$C$5:$J$12, MATCH("힘", 참고!$B$5:$B$12, 0), MATCH("HP", 참고!$C$4:$J$4, 0))*K160
+INDEX(참고!$C$5:$J$12, MATCH("근력", 참고!$B$5:$B$12, 0), MATCH("HP", 참고!$C$4:$J$4, 0))*L160
+INDEX(참고!$C$5:$J$12, MATCH("숙련도", 참고!$B$5:$B$12, 0), MATCH("HP", 참고!$C$4:$J$4, 0))*M160
+INDEX(참고!$C$5:$J$12, MATCH("행운", 참고!$B$5:$B$12, 0), MATCH("HP", 참고!$C$4:$J$4, 0))*N160</f>
        <v>0</v>
      </c>
      <c r="P160">
        <f>INDEX(참고!$C$5:$J$12, MATCH($J$2, 참고!$B$5:$B$12, 0), MATCH(P$2, 참고!$C$4:$J$4, 0))</f>
        <v>3</v>
      </c>
      <c r="Q160">
        <f>INDEX(참고!$C$5:$J$12, MATCH($J$2, 참고!$B$5:$B$12, 0), MATCH(Q$2, 참고!$C$4:$J$4, 0))</f>
        <v>1</v>
      </c>
      <c r="R160">
        <f>INDEX(참고!$C$5:$J$12, MATCH($J$2, 참고!$B$5:$B$12, 0), MATCH(R$2, 참고!$C$4:$J$4, 0))</f>
        <v>0</v>
      </c>
      <c r="S160">
        <f>INDEX(참고!$C$5:$J$12, MATCH($J$2, 참고!$B$5:$B$12, 0), MATCH(S$2, 참고!$C$4:$J$4, 0))</f>
        <v>0</v>
      </c>
      <c r="T160">
        <f>INDEX(참고!$C$5:$J$12, MATCH($J$2, 참고!$B$5:$B$12, 0), MATCH(T$2, 참고!$C$4:$J$4, 0))</f>
        <v>0</v>
      </c>
      <c r="U160">
        <f>INDEX(참고!$C$5:$J$12, MATCH($J$2, 참고!$B$5:$B$12, 0), MATCH(U$2, 참고!$C$4:$J$4, 0))</f>
        <v>0</v>
      </c>
    </row>
    <row r="161" spans="1:21">
      <c r="A161" t="s">
        <v>286</v>
      </c>
      <c r="B161" s="9">
        <v>39000</v>
      </c>
      <c r="C161">
        <f t="shared" si="2"/>
        <v>194995</v>
      </c>
      <c r="O161">
        <f>INDEX(참고!$C$5:$J$12, MATCH("생명", 참고!$B$5:$B$12, 0), MATCH("HP", 참고!$C$4:$J$4, 0))*J161
+INDEX(참고!$C$5:$J$12, MATCH("힘", 참고!$B$5:$B$12, 0), MATCH("HP", 참고!$C$4:$J$4, 0))*K161
+INDEX(참고!$C$5:$J$12, MATCH("근력", 참고!$B$5:$B$12, 0), MATCH("HP", 참고!$C$4:$J$4, 0))*L161
+INDEX(참고!$C$5:$J$12, MATCH("숙련도", 참고!$B$5:$B$12, 0), MATCH("HP", 참고!$C$4:$J$4, 0))*M161
+INDEX(참고!$C$5:$J$12, MATCH("행운", 참고!$B$5:$B$12, 0), MATCH("HP", 참고!$C$4:$J$4, 0))*N161</f>
        <v>0</v>
      </c>
      <c r="P161">
        <f>INDEX(참고!$C$5:$J$12, MATCH($J$2, 참고!$B$5:$B$12, 0), MATCH(P$2, 참고!$C$4:$J$4, 0))</f>
        <v>3</v>
      </c>
      <c r="Q161">
        <f>INDEX(참고!$C$5:$J$12, MATCH($J$2, 참고!$B$5:$B$12, 0), MATCH(Q$2, 참고!$C$4:$J$4, 0))</f>
        <v>1</v>
      </c>
      <c r="R161">
        <f>INDEX(참고!$C$5:$J$12, MATCH($J$2, 참고!$B$5:$B$12, 0), MATCH(R$2, 참고!$C$4:$J$4, 0))</f>
        <v>0</v>
      </c>
      <c r="S161">
        <f>INDEX(참고!$C$5:$J$12, MATCH($J$2, 참고!$B$5:$B$12, 0), MATCH(S$2, 참고!$C$4:$J$4, 0))</f>
        <v>0</v>
      </c>
      <c r="T161">
        <f>INDEX(참고!$C$5:$J$12, MATCH($J$2, 참고!$B$5:$B$12, 0), MATCH(T$2, 참고!$C$4:$J$4, 0))</f>
        <v>0</v>
      </c>
      <c r="U161">
        <f>INDEX(참고!$C$5:$J$12, MATCH($J$2, 참고!$B$5:$B$12, 0), MATCH(U$2, 참고!$C$4:$J$4, 0))</f>
        <v>0</v>
      </c>
    </row>
    <row r="162" spans="1:21">
      <c r="A162" t="s">
        <v>287</v>
      </c>
      <c r="B162" s="9">
        <v>40000</v>
      </c>
      <c r="C162">
        <f t="shared" si="2"/>
        <v>199995</v>
      </c>
      <c r="O162">
        <f>INDEX(참고!$C$5:$J$12, MATCH("생명", 참고!$B$5:$B$12, 0), MATCH("HP", 참고!$C$4:$J$4, 0))*J162
+INDEX(참고!$C$5:$J$12, MATCH("힘", 참고!$B$5:$B$12, 0), MATCH("HP", 참고!$C$4:$J$4, 0))*K162
+INDEX(참고!$C$5:$J$12, MATCH("근력", 참고!$B$5:$B$12, 0), MATCH("HP", 참고!$C$4:$J$4, 0))*L162
+INDEX(참고!$C$5:$J$12, MATCH("숙련도", 참고!$B$5:$B$12, 0), MATCH("HP", 참고!$C$4:$J$4, 0))*M162
+INDEX(참고!$C$5:$J$12, MATCH("행운", 참고!$B$5:$B$12, 0), MATCH("HP", 참고!$C$4:$J$4, 0))*N162</f>
        <v>0</v>
      </c>
      <c r="P162">
        <f>INDEX(참고!$C$5:$J$12, MATCH($J$2, 참고!$B$5:$B$12, 0), MATCH(P$2, 참고!$C$4:$J$4, 0))</f>
        <v>3</v>
      </c>
      <c r="Q162">
        <f>INDEX(참고!$C$5:$J$12, MATCH($J$2, 참고!$B$5:$B$12, 0), MATCH(Q$2, 참고!$C$4:$J$4, 0))</f>
        <v>1</v>
      </c>
      <c r="R162">
        <f>INDEX(참고!$C$5:$J$12, MATCH($J$2, 참고!$B$5:$B$12, 0), MATCH(R$2, 참고!$C$4:$J$4, 0))</f>
        <v>0</v>
      </c>
      <c r="S162">
        <f>INDEX(참고!$C$5:$J$12, MATCH($J$2, 참고!$B$5:$B$12, 0), MATCH(S$2, 참고!$C$4:$J$4, 0))</f>
        <v>0</v>
      </c>
      <c r="T162">
        <f>INDEX(참고!$C$5:$J$12, MATCH($J$2, 참고!$B$5:$B$12, 0), MATCH(T$2, 참고!$C$4:$J$4, 0))</f>
        <v>0</v>
      </c>
      <c r="U162">
        <f>INDEX(참고!$C$5:$J$12, MATCH($J$2, 참고!$B$5:$B$12, 0), MATCH(U$2, 참고!$C$4:$J$4, 0))</f>
        <v>0</v>
      </c>
    </row>
    <row r="163" spans="1:21">
      <c r="A163" t="s">
        <v>288</v>
      </c>
      <c r="B163" s="9">
        <v>41000</v>
      </c>
      <c r="C163">
        <f t="shared" si="2"/>
        <v>204995</v>
      </c>
      <c r="O163">
        <f>INDEX(참고!$C$5:$J$12, MATCH("생명", 참고!$B$5:$B$12, 0), MATCH("HP", 참고!$C$4:$J$4, 0))*J163
+INDEX(참고!$C$5:$J$12, MATCH("힘", 참고!$B$5:$B$12, 0), MATCH("HP", 참고!$C$4:$J$4, 0))*K163
+INDEX(참고!$C$5:$J$12, MATCH("근력", 참고!$B$5:$B$12, 0), MATCH("HP", 참고!$C$4:$J$4, 0))*L163
+INDEX(참고!$C$5:$J$12, MATCH("숙련도", 참고!$B$5:$B$12, 0), MATCH("HP", 참고!$C$4:$J$4, 0))*M163
+INDEX(참고!$C$5:$J$12, MATCH("행운", 참고!$B$5:$B$12, 0), MATCH("HP", 참고!$C$4:$J$4, 0))*N163</f>
        <v>0</v>
      </c>
      <c r="P163">
        <f>INDEX(참고!$C$5:$J$12, MATCH($J$2, 참고!$B$5:$B$12, 0), MATCH(P$2, 참고!$C$4:$J$4, 0))</f>
        <v>3</v>
      </c>
      <c r="Q163">
        <f>INDEX(참고!$C$5:$J$12, MATCH($J$2, 참고!$B$5:$B$12, 0), MATCH(Q$2, 참고!$C$4:$J$4, 0))</f>
        <v>1</v>
      </c>
      <c r="R163">
        <f>INDEX(참고!$C$5:$J$12, MATCH($J$2, 참고!$B$5:$B$12, 0), MATCH(R$2, 참고!$C$4:$J$4, 0))</f>
        <v>0</v>
      </c>
      <c r="S163">
        <f>INDEX(참고!$C$5:$J$12, MATCH($J$2, 참고!$B$5:$B$12, 0), MATCH(S$2, 참고!$C$4:$J$4, 0))</f>
        <v>0</v>
      </c>
      <c r="T163">
        <f>INDEX(참고!$C$5:$J$12, MATCH($J$2, 참고!$B$5:$B$12, 0), MATCH(T$2, 참고!$C$4:$J$4, 0))</f>
        <v>0</v>
      </c>
      <c r="U163">
        <f>INDEX(참고!$C$5:$J$12, MATCH($J$2, 참고!$B$5:$B$12, 0), MATCH(U$2, 참고!$C$4:$J$4, 0))</f>
        <v>0</v>
      </c>
    </row>
    <row r="164" spans="1:21">
      <c r="A164" t="s">
        <v>289</v>
      </c>
      <c r="B164" s="9">
        <v>42000</v>
      </c>
      <c r="C164">
        <f t="shared" si="2"/>
        <v>209995</v>
      </c>
      <c r="O164">
        <f>INDEX(참고!$C$5:$J$12, MATCH("생명", 참고!$B$5:$B$12, 0), MATCH("HP", 참고!$C$4:$J$4, 0))*J164
+INDEX(참고!$C$5:$J$12, MATCH("힘", 참고!$B$5:$B$12, 0), MATCH("HP", 참고!$C$4:$J$4, 0))*K164
+INDEX(참고!$C$5:$J$12, MATCH("근력", 참고!$B$5:$B$12, 0), MATCH("HP", 참고!$C$4:$J$4, 0))*L164
+INDEX(참고!$C$5:$J$12, MATCH("숙련도", 참고!$B$5:$B$12, 0), MATCH("HP", 참고!$C$4:$J$4, 0))*M164
+INDEX(참고!$C$5:$J$12, MATCH("행운", 참고!$B$5:$B$12, 0), MATCH("HP", 참고!$C$4:$J$4, 0))*N164</f>
        <v>0</v>
      </c>
      <c r="P164">
        <f>INDEX(참고!$C$5:$J$12, MATCH($J$2, 참고!$B$5:$B$12, 0), MATCH(P$2, 참고!$C$4:$J$4, 0))</f>
        <v>3</v>
      </c>
      <c r="Q164">
        <f>INDEX(참고!$C$5:$J$12, MATCH($J$2, 참고!$B$5:$B$12, 0), MATCH(Q$2, 참고!$C$4:$J$4, 0))</f>
        <v>1</v>
      </c>
      <c r="R164">
        <f>INDEX(참고!$C$5:$J$12, MATCH($J$2, 참고!$B$5:$B$12, 0), MATCH(R$2, 참고!$C$4:$J$4, 0))</f>
        <v>0</v>
      </c>
      <c r="S164">
        <f>INDEX(참고!$C$5:$J$12, MATCH($J$2, 참고!$B$5:$B$12, 0), MATCH(S$2, 참고!$C$4:$J$4, 0))</f>
        <v>0</v>
      </c>
      <c r="T164">
        <f>INDEX(참고!$C$5:$J$12, MATCH($J$2, 참고!$B$5:$B$12, 0), MATCH(T$2, 참고!$C$4:$J$4, 0))</f>
        <v>0</v>
      </c>
      <c r="U164">
        <f>INDEX(참고!$C$5:$J$12, MATCH($J$2, 참고!$B$5:$B$12, 0), MATCH(U$2, 참고!$C$4:$J$4, 0))</f>
        <v>0</v>
      </c>
    </row>
    <row r="165" spans="1:21">
      <c r="A165" t="s">
        <v>290</v>
      </c>
      <c r="B165" s="9">
        <v>650000</v>
      </c>
      <c r="C165">
        <f t="shared" si="2"/>
        <v>3249995</v>
      </c>
      <c r="O165">
        <f>INDEX(참고!$C$5:$J$12, MATCH("생명", 참고!$B$5:$B$12, 0), MATCH("HP", 참고!$C$4:$J$4, 0))*J165
+INDEX(참고!$C$5:$J$12, MATCH("힘", 참고!$B$5:$B$12, 0), MATCH("HP", 참고!$C$4:$J$4, 0))*K165
+INDEX(참고!$C$5:$J$12, MATCH("근력", 참고!$B$5:$B$12, 0), MATCH("HP", 참고!$C$4:$J$4, 0))*L165
+INDEX(참고!$C$5:$J$12, MATCH("숙련도", 참고!$B$5:$B$12, 0), MATCH("HP", 참고!$C$4:$J$4, 0))*M165
+INDEX(참고!$C$5:$J$12, MATCH("행운", 참고!$B$5:$B$12, 0), MATCH("HP", 참고!$C$4:$J$4, 0))*N165</f>
        <v>0</v>
      </c>
      <c r="P165">
        <f>INDEX(참고!$C$5:$J$12, MATCH($J$2, 참고!$B$5:$B$12, 0), MATCH(P$2, 참고!$C$4:$J$4, 0))</f>
        <v>3</v>
      </c>
      <c r="Q165">
        <f>INDEX(참고!$C$5:$J$12, MATCH($J$2, 참고!$B$5:$B$12, 0), MATCH(Q$2, 참고!$C$4:$J$4, 0))</f>
        <v>1</v>
      </c>
      <c r="R165">
        <f>INDEX(참고!$C$5:$J$12, MATCH($J$2, 참고!$B$5:$B$12, 0), MATCH(R$2, 참고!$C$4:$J$4, 0))</f>
        <v>0</v>
      </c>
      <c r="S165">
        <f>INDEX(참고!$C$5:$J$12, MATCH($J$2, 참고!$B$5:$B$12, 0), MATCH(S$2, 참고!$C$4:$J$4, 0))</f>
        <v>0</v>
      </c>
      <c r="T165">
        <f>INDEX(참고!$C$5:$J$12, MATCH($J$2, 참고!$B$5:$B$12, 0), MATCH(T$2, 참고!$C$4:$J$4, 0))</f>
        <v>0</v>
      </c>
      <c r="U165">
        <f>INDEX(참고!$C$5:$J$12, MATCH($J$2, 참고!$B$5:$B$12, 0), MATCH(U$2, 참고!$C$4:$J$4, 0))</f>
        <v>0</v>
      </c>
    </row>
    <row r="166" spans="1:21">
      <c r="A166" t="s">
        <v>291</v>
      </c>
      <c r="B166" s="9">
        <v>42000</v>
      </c>
      <c r="C166">
        <f t="shared" si="2"/>
        <v>209995</v>
      </c>
      <c r="O166">
        <f>INDEX(참고!$C$5:$J$12, MATCH("생명", 참고!$B$5:$B$12, 0), MATCH("HP", 참고!$C$4:$J$4, 0))*J166
+INDEX(참고!$C$5:$J$12, MATCH("힘", 참고!$B$5:$B$12, 0), MATCH("HP", 참고!$C$4:$J$4, 0))*K166
+INDEX(참고!$C$5:$J$12, MATCH("근력", 참고!$B$5:$B$12, 0), MATCH("HP", 참고!$C$4:$J$4, 0))*L166
+INDEX(참고!$C$5:$J$12, MATCH("숙련도", 참고!$B$5:$B$12, 0), MATCH("HP", 참고!$C$4:$J$4, 0))*M166
+INDEX(참고!$C$5:$J$12, MATCH("행운", 참고!$B$5:$B$12, 0), MATCH("HP", 참고!$C$4:$J$4, 0))*N166</f>
        <v>0</v>
      </c>
      <c r="P166">
        <f>INDEX(참고!$C$5:$J$12, MATCH($J$2, 참고!$B$5:$B$12, 0), MATCH(P$2, 참고!$C$4:$J$4, 0))</f>
        <v>3</v>
      </c>
      <c r="Q166">
        <f>INDEX(참고!$C$5:$J$12, MATCH($J$2, 참고!$B$5:$B$12, 0), MATCH(Q$2, 참고!$C$4:$J$4, 0))</f>
        <v>1</v>
      </c>
      <c r="R166">
        <f>INDEX(참고!$C$5:$J$12, MATCH($J$2, 참고!$B$5:$B$12, 0), MATCH(R$2, 참고!$C$4:$J$4, 0))</f>
        <v>0</v>
      </c>
      <c r="S166">
        <f>INDEX(참고!$C$5:$J$12, MATCH($J$2, 참고!$B$5:$B$12, 0), MATCH(S$2, 참고!$C$4:$J$4, 0))</f>
        <v>0</v>
      </c>
      <c r="T166">
        <f>INDEX(참고!$C$5:$J$12, MATCH($J$2, 참고!$B$5:$B$12, 0), MATCH(T$2, 참고!$C$4:$J$4, 0))</f>
        <v>0</v>
      </c>
      <c r="U166">
        <f>INDEX(참고!$C$5:$J$12, MATCH($J$2, 참고!$B$5:$B$12, 0), MATCH(U$2, 참고!$C$4:$J$4, 0))</f>
        <v>0</v>
      </c>
    </row>
    <row r="167" spans="1:21">
      <c r="A167" t="s">
        <v>292</v>
      </c>
      <c r="B167" s="9">
        <v>43000</v>
      </c>
      <c r="C167">
        <f t="shared" si="2"/>
        <v>214995</v>
      </c>
      <c r="O167">
        <f>INDEX(참고!$C$5:$J$12, MATCH("생명", 참고!$B$5:$B$12, 0), MATCH("HP", 참고!$C$4:$J$4, 0))*J167
+INDEX(참고!$C$5:$J$12, MATCH("힘", 참고!$B$5:$B$12, 0), MATCH("HP", 참고!$C$4:$J$4, 0))*K167
+INDEX(참고!$C$5:$J$12, MATCH("근력", 참고!$B$5:$B$12, 0), MATCH("HP", 참고!$C$4:$J$4, 0))*L167
+INDEX(참고!$C$5:$J$12, MATCH("숙련도", 참고!$B$5:$B$12, 0), MATCH("HP", 참고!$C$4:$J$4, 0))*M167
+INDEX(참고!$C$5:$J$12, MATCH("행운", 참고!$B$5:$B$12, 0), MATCH("HP", 참고!$C$4:$J$4, 0))*N167</f>
        <v>0</v>
      </c>
      <c r="P167">
        <f>INDEX(참고!$C$5:$J$12, MATCH($J$2, 참고!$B$5:$B$12, 0), MATCH(P$2, 참고!$C$4:$J$4, 0))</f>
        <v>3</v>
      </c>
      <c r="Q167">
        <f>INDEX(참고!$C$5:$J$12, MATCH($J$2, 참고!$B$5:$B$12, 0), MATCH(Q$2, 참고!$C$4:$J$4, 0))</f>
        <v>1</v>
      </c>
      <c r="R167">
        <f>INDEX(참고!$C$5:$J$12, MATCH($J$2, 참고!$B$5:$B$12, 0), MATCH(R$2, 참고!$C$4:$J$4, 0))</f>
        <v>0</v>
      </c>
      <c r="S167">
        <f>INDEX(참고!$C$5:$J$12, MATCH($J$2, 참고!$B$5:$B$12, 0), MATCH(S$2, 참고!$C$4:$J$4, 0))</f>
        <v>0</v>
      </c>
      <c r="T167">
        <f>INDEX(참고!$C$5:$J$12, MATCH($J$2, 참고!$B$5:$B$12, 0), MATCH(T$2, 참고!$C$4:$J$4, 0))</f>
        <v>0</v>
      </c>
      <c r="U167">
        <f>INDEX(참고!$C$5:$J$12, MATCH($J$2, 참고!$B$5:$B$12, 0), MATCH(U$2, 참고!$C$4:$J$4, 0))</f>
        <v>0</v>
      </c>
    </row>
    <row r="168" spans="1:21">
      <c r="A168" t="s">
        <v>293</v>
      </c>
      <c r="B168" s="9">
        <v>44000</v>
      </c>
      <c r="C168">
        <f t="shared" si="2"/>
        <v>219995</v>
      </c>
      <c r="O168">
        <f>INDEX(참고!$C$5:$J$12, MATCH("생명", 참고!$B$5:$B$12, 0), MATCH("HP", 참고!$C$4:$J$4, 0))*J168
+INDEX(참고!$C$5:$J$12, MATCH("힘", 참고!$B$5:$B$12, 0), MATCH("HP", 참고!$C$4:$J$4, 0))*K168
+INDEX(참고!$C$5:$J$12, MATCH("근력", 참고!$B$5:$B$12, 0), MATCH("HP", 참고!$C$4:$J$4, 0))*L168
+INDEX(참고!$C$5:$J$12, MATCH("숙련도", 참고!$B$5:$B$12, 0), MATCH("HP", 참고!$C$4:$J$4, 0))*M168
+INDEX(참고!$C$5:$J$12, MATCH("행운", 참고!$B$5:$B$12, 0), MATCH("HP", 참고!$C$4:$J$4, 0))*N168</f>
        <v>0</v>
      </c>
      <c r="P168">
        <f>INDEX(참고!$C$5:$J$12, MATCH($J$2, 참고!$B$5:$B$12, 0), MATCH(P$2, 참고!$C$4:$J$4, 0))</f>
        <v>3</v>
      </c>
      <c r="Q168">
        <f>INDEX(참고!$C$5:$J$12, MATCH($J$2, 참고!$B$5:$B$12, 0), MATCH(Q$2, 참고!$C$4:$J$4, 0))</f>
        <v>1</v>
      </c>
      <c r="R168">
        <f>INDEX(참고!$C$5:$J$12, MATCH($J$2, 참고!$B$5:$B$12, 0), MATCH(R$2, 참고!$C$4:$J$4, 0))</f>
        <v>0</v>
      </c>
      <c r="S168">
        <f>INDEX(참고!$C$5:$J$12, MATCH($J$2, 참고!$B$5:$B$12, 0), MATCH(S$2, 참고!$C$4:$J$4, 0))</f>
        <v>0</v>
      </c>
      <c r="T168">
        <f>INDEX(참고!$C$5:$J$12, MATCH($J$2, 참고!$B$5:$B$12, 0), MATCH(T$2, 참고!$C$4:$J$4, 0))</f>
        <v>0</v>
      </c>
      <c r="U168">
        <f>INDEX(참고!$C$5:$J$12, MATCH($J$2, 참고!$B$5:$B$12, 0), MATCH(U$2, 참고!$C$4:$J$4, 0))</f>
        <v>0</v>
      </c>
    </row>
    <row r="169" spans="1:21">
      <c r="A169" t="s">
        <v>294</v>
      </c>
      <c r="B169" s="9">
        <v>45000</v>
      </c>
      <c r="C169">
        <f t="shared" si="2"/>
        <v>224995</v>
      </c>
      <c r="O169">
        <f>INDEX(참고!$C$5:$J$12, MATCH("생명", 참고!$B$5:$B$12, 0), MATCH("HP", 참고!$C$4:$J$4, 0))*J169
+INDEX(참고!$C$5:$J$12, MATCH("힘", 참고!$B$5:$B$12, 0), MATCH("HP", 참고!$C$4:$J$4, 0))*K169
+INDEX(참고!$C$5:$J$12, MATCH("근력", 참고!$B$5:$B$12, 0), MATCH("HP", 참고!$C$4:$J$4, 0))*L169
+INDEX(참고!$C$5:$J$12, MATCH("숙련도", 참고!$B$5:$B$12, 0), MATCH("HP", 참고!$C$4:$J$4, 0))*M169
+INDEX(참고!$C$5:$J$12, MATCH("행운", 참고!$B$5:$B$12, 0), MATCH("HP", 참고!$C$4:$J$4, 0))*N169</f>
        <v>0</v>
      </c>
      <c r="P169">
        <f>INDEX(참고!$C$5:$J$12, MATCH($J$2, 참고!$B$5:$B$12, 0), MATCH(P$2, 참고!$C$4:$J$4, 0))</f>
        <v>3</v>
      </c>
      <c r="Q169">
        <f>INDEX(참고!$C$5:$J$12, MATCH($J$2, 참고!$B$5:$B$12, 0), MATCH(Q$2, 참고!$C$4:$J$4, 0))</f>
        <v>1</v>
      </c>
      <c r="R169">
        <f>INDEX(참고!$C$5:$J$12, MATCH($J$2, 참고!$B$5:$B$12, 0), MATCH(R$2, 참고!$C$4:$J$4, 0))</f>
        <v>0</v>
      </c>
      <c r="S169">
        <f>INDEX(참고!$C$5:$J$12, MATCH($J$2, 참고!$B$5:$B$12, 0), MATCH(S$2, 참고!$C$4:$J$4, 0))</f>
        <v>0</v>
      </c>
      <c r="T169">
        <f>INDEX(참고!$C$5:$J$12, MATCH($J$2, 참고!$B$5:$B$12, 0), MATCH(T$2, 참고!$C$4:$J$4, 0))</f>
        <v>0</v>
      </c>
      <c r="U169">
        <f>INDEX(참고!$C$5:$J$12, MATCH($J$2, 참고!$B$5:$B$12, 0), MATCH(U$2, 참고!$C$4:$J$4, 0))</f>
        <v>0</v>
      </c>
    </row>
    <row r="170" spans="1:21">
      <c r="A170" t="s">
        <v>295</v>
      </c>
      <c r="B170" s="9">
        <v>46000</v>
      </c>
      <c r="C170">
        <f t="shared" si="2"/>
        <v>229995</v>
      </c>
      <c r="O170">
        <f>INDEX(참고!$C$5:$J$12, MATCH("생명", 참고!$B$5:$B$12, 0), MATCH("HP", 참고!$C$4:$J$4, 0))*J170
+INDEX(참고!$C$5:$J$12, MATCH("힘", 참고!$B$5:$B$12, 0), MATCH("HP", 참고!$C$4:$J$4, 0))*K170
+INDEX(참고!$C$5:$J$12, MATCH("근력", 참고!$B$5:$B$12, 0), MATCH("HP", 참고!$C$4:$J$4, 0))*L170
+INDEX(참고!$C$5:$J$12, MATCH("숙련도", 참고!$B$5:$B$12, 0), MATCH("HP", 참고!$C$4:$J$4, 0))*M170
+INDEX(참고!$C$5:$J$12, MATCH("행운", 참고!$B$5:$B$12, 0), MATCH("HP", 참고!$C$4:$J$4, 0))*N170</f>
        <v>0</v>
      </c>
      <c r="P170">
        <f>INDEX(참고!$C$5:$J$12, MATCH($J$2, 참고!$B$5:$B$12, 0), MATCH(P$2, 참고!$C$4:$J$4, 0))</f>
        <v>3</v>
      </c>
      <c r="Q170">
        <f>INDEX(참고!$C$5:$J$12, MATCH($J$2, 참고!$B$5:$B$12, 0), MATCH(Q$2, 참고!$C$4:$J$4, 0))</f>
        <v>1</v>
      </c>
      <c r="R170">
        <f>INDEX(참고!$C$5:$J$12, MATCH($J$2, 참고!$B$5:$B$12, 0), MATCH(R$2, 참고!$C$4:$J$4, 0))</f>
        <v>0</v>
      </c>
      <c r="S170">
        <f>INDEX(참고!$C$5:$J$12, MATCH($J$2, 참고!$B$5:$B$12, 0), MATCH(S$2, 참고!$C$4:$J$4, 0))</f>
        <v>0</v>
      </c>
      <c r="T170">
        <f>INDEX(참고!$C$5:$J$12, MATCH($J$2, 참고!$B$5:$B$12, 0), MATCH(T$2, 참고!$C$4:$J$4, 0))</f>
        <v>0</v>
      </c>
      <c r="U170">
        <f>INDEX(참고!$C$5:$J$12, MATCH($J$2, 참고!$B$5:$B$12, 0), MATCH(U$2, 참고!$C$4:$J$4, 0))</f>
        <v>0</v>
      </c>
    </row>
    <row r="171" spans="1:21">
      <c r="A171" t="s">
        <v>296</v>
      </c>
      <c r="B171" s="9">
        <v>47000</v>
      </c>
      <c r="C171">
        <f t="shared" si="2"/>
        <v>234995</v>
      </c>
      <c r="O171">
        <f>INDEX(참고!$C$5:$J$12, MATCH("생명", 참고!$B$5:$B$12, 0), MATCH("HP", 참고!$C$4:$J$4, 0))*J171
+INDEX(참고!$C$5:$J$12, MATCH("힘", 참고!$B$5:$B$12, 0), MATCH("HP", 참고!$C$4:$J$4, 0))*K171
+INDEX(참고!$C$5:$J$12, MATCH("근력", 참고!$B$5:$B$12, 0), MATCH("HP", 참고!$C$4:$J$4, 0))*L171
+INDEX(참고!$C$5:$J$12, MATCH("숙련도", 참고!$B$5:$B$12, 0), MATCH("HP", 참고!$C$4:$J$4, 0))*M171
+INDEX(참고!$C$5:$J$12, MATCH("행운", 참고!$B$5:$B$12, 0), MATCH("HP", 참고!$C$4:$J$4, 0))*N171</f>
        <v>0</v>
      </c>
      <c r="P171">
        <f>INDEX(참고!$C$5:$J$12, MATCH($J$2, 참고!$B$5:$B$12, 0), MATCH(P$2, 참고!$C$4:$J$4, 0))</f>
        <v>3</v>
      </c>
      <c r="Q171">
        <f>INDEX(참고!$C$5:$J$12, MATCH($J$2, 참고!$B$5:$B$12, 0), MATCH(Q$2, 참고!$C$4:$J$4, 0))</f>
        <v>1</v>
      </c>
      <c r="R171">
        <f>INDEX(참고!$C$5:$J$12, MATCH($J$2, 참고!$B$5:$B$12, 0), MATCH(R$2, 참고!$C$4:$J$4, 0))</f>
        <v>0</v>
      </c>
      <c r="S171">
        <f>INDEX(참고!$C$5:$J$12, MATCH($J$2, 참고!$B$5:$B$12, 0), MATCH(S$2, 참고!$C$4:$J$4, 0))</f>
        <v>0</v>
      </c>
      <c r="T171">
        <f>INDEX(참고!$C$5:$J$12, MATCH($J$2, 참고!$B$5:$B$12, 0), MATCH(T$2, 참고!$C$4:$J$4, 0))</f>
        <v>0</v>
      </c>
      <c r="U171">
        <f>INDEX(참고!$C$5:$J$12, MATCH($J$2, 참고!$B$5:$B$12, 0), MATCH(U$2, 참고!$C$4:$J$4, 0))</f>
        <v>0</v>
      </c>
    </row>
    <row r="172" spans="1:21">
      <c r="A172" t="s">
        <v>297</v>
      </c>
      <c r="B172" s="9">
        <v>48000</v>
      </c>
      <c r="C172">
        <f t="shared" si="2"/>
        <v>239995</v>
      </c>
      <c r="O172">
        <f>INDEX(참고!$C$5:$J$12, MATCH("생명", 참고!$B$5:$B$12, 0), MATCH("HP", 참고!$C$4:$J$4, 0))*J172
+INDEX(참고!$C$5:$J$12, MATCH("힘", 참고!$B$5:$B$12, 0), MATCH("HP", 참고!$C$4:$J$4, 0))*K172
+INDEX(참고!$C$5:$J$12, MATCH("근력", 참고!$B$5:$B$12, 0), MATCH("HP", 참고!$C$4:$J$4, 0))*L172
+INDEX(참고!$C$5:$J$12, MATCH("숙련도", 참고!$B$5:$B$12, 0), MATCH("HP", 참고!$C$4:$J$4, 0))*M172
+INDEX(참고!$C$5:$J$12, MATCH("행운", 참고!$B$5:$B$12, 0), MATCH("HP", 참고!$C$4:$J$4, 0))*N172</f>
        <v>0</v>
      </c>
      <c r="P172">
        <f>INDEX(참고!$C$5:$J$12, MATCH($J$2, 참고!$B$5:$B$12, 0), MATCH(P$2, 참고!$C$4:$J$4, 0))</f>
        <v>3</v>
      </c>
      <c r="Q172">
        <f>INDEX(참고!$C$5:$J$12, MATCH($J$2, 참고!$B$5:$B$12, 0), MATCH(Q$2, 참고!$C$4:$J$4, 0))</f>
        <v>1</v>
      </c>
      <c r="R172">
        <f>INDEX(참고!$C$5:$J$12, MATCH($J$2, 참고!$B$5:$B$12, 0), MATCH(R$2, 참고!$C$4:$J$4, 0))</f>
        <v>0</v>
      </c>
      <c r="S172">
        <f>INDEX(참고!$C$5:$J$12, MATCH($J$2, 참고!$B$5:$B$12, 0), MATCH(S$2, 참고!$C$4:$J$4, 0))</f>
        <v>0</v>
      </c>
      <c r="T172">
        <f>INDEX(참고!$C$5:$J$12, MATCH($J$2, 참고!$B$5:$B$12, 0), MATCH(T$2, 참고!$C$4:$J$4, 0))</f>
        <v>0</v>
      </c>
      <c r="U172">
        <f>INDEX(참고!$C$5:$J$12, MATCH($J$2, 참고!$B$5:$B$12, 0), MATCH(U$2, 참고!$C$4:$J$4, 0))</f>
        <v>0</v>
      </c>
    </row>
    <row r="173" spans="1:21">
      <c r="A173" t="s">
        <v>298</v>
      </c>
      <c r="B173" s="9">
        <v>49000</v>
      </c>
      <c r="C173">
        <f t="shared" si="2"/>
        <v>244995</v>
      </c>
      <c r="O173">
        <f>INDEX(참고!$C$5:$J$12, MATCH("생명", 참고!$B$5:$B$12, 0), MATCH("HP", 참고!$C$4:$J$4, 0))*J173
+INDEX(참고!$C$5:$J$12, MATCH("힘", 참고!$B$5:$B$12, 0), MATCH("HP", 참고!$C$4:$J$4, 0))*K173
+INDEX(참고!$C$5:$J$12, MATCH("근력", 참고!$B$5:$B$12, 0), MATCH("HP", 참고!$C$4:$J$4, 0))*L173
+INDEX(참고!$C$5:$J$12, MATCH("숙련도", 참고!$B$5:$B$12, 0), MATCH("HP", 참고!$C$4:$J$4, 0))*M173
+INDEX(참고!$C$5:$J$12, MATCH("행운", 참고!$B$5:$B$12, 0), MATCH("HP", 참고!$C$4:$J$4, 0))*N173</f>
        <v>0</v>
      </c>
      <c r="P173">
        <f>INDEX(참고!$C$5:$J$12, MATCH($J$2, 참고!$B$5:$B$12, 0), MATCH(P$2, 참고!$C$4:$J$4, 0))</f>
        <v>3</v>
      </c>
      <c r="Q173">
        <f>INDEX(참고!$C$5:$J$12, MATCH($J$2, 참고!$B$5:$B$12, 0), MATCH(Q$2, 참고!$C$4:$J$4, 0))</f>
        <v>1</v>
      </c>
      <c r="R173">
        <f>INDEX(참고!$C$5:$J$12, MATCH($J$2, 참고!$B$5:$B$12, 0), MATCH(R$2, 참고!$C$4:$J$4, 0))</f>
        <v>0</v>
      </c>
      <c r="S173">
        <f>INDEX(참고!$C$5:$J$12, MATCH($J$2, 참고!$B$5:$B$12, 0), MATCH(S$2, 참고!$C$4:$J$4, 0))</f>
        <v>0</v>
      </c>
      <c r="T173">
        <f>INDEX(참고!$C$5:$J$12, MATCH($J$2, 참고!$B$5:$B$12, 0), MATCH(T$2, 참고!$C$4:$J$4, 0))</f>
        <v>0</v>
      </c>
      <c r="U173">
        <f>INDEX(참고!$C$5:$J$12, MATCH($J$2, 참고!$B$5:$B$12, 0), MATCH(U$2, 참고!$C$4:$J$4, 0))</f>
        <v>0</v>
      </c>
    </row>
    <row r="174" spans="1:21">
      <c r="A174" t="s">
        <v>299</v>
      </c>
      <c r="B174" s="9">
        <v>50000</v>
      </c>
      <c r="C174">
        <f t="shared" si="2"/>
        <v>249995</v>
      </c>
      <c r="O174">
        <f>INDEX(참고!$C$5:$J$12, MATCH("생명", 참고!$B$5:$B$12, 0), MATCH("HP", 참고!$C$4:$J$4, 0))*J174
+INDEX(참고!$C$5:$J$12, MATCH("힘", 참고!$B$5:$B$12, 0), MATCH("HP", 참고!$C$4:$J$4, 0))*K174
+INDEX(참고!$C$5:$J$12, MATCH("근력", 참고!$B$5:$B$12, 0), MATCH("HP", 참고!$C$4:$J$4, 0))*L174
+INDEX(참고!$C$5:$J$12, MATCH("숙련도", 참고!$B$5:$B$12, 0), MATCH("HP", 참고!$C$4:$J$4, 0))*M174
+INDEX(참고!$C$5:$J$12, MATCH("행운", 참고!$B$5:$B$12, 0), MATCH("HP", 참고!$C$4:$J$4, 0))*N174</f>
        <v>0</v>
      </c>
      <c r="P174">
        <f>INDEX(참고!$C$5:$J$12, MATCH($J$2, 참고!$B$5:$B$12, 0), MATCH(P$2, 참고!$C$4:$J$4, 0))</f>
        <v>3</v>
      </c>
      <c r="Q174">
        <f>INDEX(참고!$C$5:$J$12, MATCH($J$2, 참고!$B$5:$B$12, 0), MATCH(Q$2, 참고!$C$4:$J$4, 0))</f>
        <v>1</v>
      </c>
      <c r="R174">
        <f>INDEX(참고!$C$5:$J$12, MATCH($J$2, 참고!$B$5:$B$12, 0), MATCH(R$2, 참고!$C$4:$J$4, 0))</f>
        <v>0</v>
      </c>
      <c r="S174">
        <f>INDEX(참고!$C$5:$J$12, MATCH($J$2, 참고!$B$5:$B$12, 0), MATCH(S$2, 참고!$C$4:$J$4, 0))</f>
        <v>0</v>
      </c>
      <c r="T174">
        <f>INDEX(참고!$C$5:$J$12, MATCH($J$2, 참고!$B$5:$B$12, 0), MATCH(T$2, 참고!$C$4:$J$4, 0))</f>
        <v>0</v>
      </c>
      <c r="U174">
        <f>INDEX(참고!$C$5:$J$12, MATCH($J$2, 참고!$B$5:$B$12, 0), MATCH(U$2, 참고!$C$4:$J$4, 0))</f>
        <v>0</v>
      </c>
    </row>
    <row r="175" spans="1:21">
      <c r="A175" t="s">
        <v>300</v>
      </c>
      <c r="B175" s="9">
        <v>51000</v>
      </c>
      <c r="C175">
        <f t="shared" si="2"/>
        <v>254995</v>
      </c>
      <c r="O175">
        <f>INDEX(참고!$C$5:$J$12, MATCH("생명", 참고!$B$5:$B$12, 0), MATCH("HP", 참고!$C$4:$J$4, 0))*J175
+INDEX(참고!$C$5:$J$12, MATCH("힘", 참고!$B$5:$B$12, 0), MATCH("HP", 참고!$C$4:$J$4, 0))*K175
+INDEX(참고!$C$5:$J$12, MATCH("근력", 참고!$B$5:$B$12, 0), MATCH("HP", 참고!$C$4:$J$4, 0))*L175
+INDEX(참고!$C$5:$J$12, MATCH("숙련도", 참고!$B$5:$B$12, 0), MATCH("HP", 참고!$C$4:$J$4, 0))*M175
+INDEX(참고!$C$5:$J$12, MATCH("행운", 참고!$B$5:$B$12, 0), MATCH("HP", 참고!$C$4:$J$4, 0))*N175</f>
        <v>0</v>
      </c>
      <c r="P175">
        <f>INDEX(참고!$C$5:$J$12, MATCH($J$2, 참고!$B$5:$B$12, 0), MATCH(P$2, 참고!$C$4:$J$4, 0))</f>
        <v>3</v>
      </c>
      <c r="Q175">
        <f>INDEX(참고!$C$5:$J$12, MATCH($J$2, 참고!$B$5:$B$12, 0), MATCH(Q$2, 참고!$C$4:$J$4, 0))</f>
        <v>1</v>
      </c>
      <c r="R175">
        <f>INDEX(참고!$C$5:$J$12, MATCH($J$2, 참고!$B$5:$B$12, 0), MATCH(R$2, 참고!$C$4:$J$4, 0))</f>
        <v>0</v>
      </c>
      <c r="S175">
        <f>INDEX(참고!$C$5:$J$12, MATCH($J$2, 참고!$B$5:$B$12, 0), MATCH(S$2, 참고!$C$4:$J$4, 0))</f>
        <v>0</v>
      </c>
      <c r="T175">
        <f>INDEX(참고!$C$5:$J$12, MATCH($J$2, 참고!$B$5:$B$12, 0), MATCH(T$2, 참고!$C$4:$J$4, 0))</f>
        <v>0</v>
      </c>
      <c r="U175">
        <f>INDEX(참고!$C$5:$J$12, MATCH($J$2, 참고!$B$5:$B$12, 0), MATCH(U$2, 참고!$C$4:$J$4, 0))</f>
        <v>0</v>
      </c>
    </row>
    <row r="176" spans="1:21">
      <c r="A176" t="s">
        <v>301</v>
      </c>
      <c r="B176" s="9">
        <v>52000</v>
      </c>
      <c r="C176">
        <f t="shared" si="2"/>
        <v>259995</v>
      </c>
      <c r="O176">
        <f>INDEX(참고!$C$5:$J$12, MATCH("생명", 참고!$B$5:$B$12, 0), MATCH("HP", 참고!$C$4:$J$4, 0))*J176
+INDEX(참고!$C$5:$J$12, MATCH("힘", 참고!$B$5:$B$12, 0), MATCH("HP", 참고!$C$4:$J$4, 0))*K176
+INDEX(참고!$C$5:$J$12, MATCH("근력", 참고!$B$5:$B$12, 0), MATCH("HP", 참고!$C$4:$J$4, 0))*L176
+INDEX(참고!$C$5:$J$12, MATCH("숙련도", 참고!$B$5:$B$12, 0), MATCH("HP", 참고!$C$4:$J$4, 0))*M176
+INDEX(참고!$C$5:$J$12, MATCH("행운", 참고!$B$5:$B$12, 0), MATCH("HP", 참고!$C$4:$J$4, 0))*N176</f>
        <v>0</v>
      </c>
      <c r="P176">
        <f>INDEX(참고!$C$5:$J$12, MATCH($J$2, 참고!$B$5:$B$12, 0), MATCH(P$2, 참고!$C$4:$J$4, 0))</f>
        <v>3</v>
      </c>
      <c r="Q176">
        <f>INDEX(참고!$C$5:$J$12, MATCH($J$2, 참고!$B$5:$B$12, 0), MATCH(Q$2, 참고!$C$4:$J$4, 0))</f>
        <v>1</v>
      </c>
      <c r="R176">
        <f>INDEX(참고!$C$5:$J$12, MATCH($J$2, 참고!$B$5:$B$12, 0), MATCH(R$2, 참고!$C$4:$J$4, 0))</f>
        <v>0</v>
      </c>
      <c r="S176">
        <f>INDEX(참고!$C$5:$J$12, MATCH($J$2, 참고!$B$5:$B$12, 0), MATCH(S$2, 참고!$C$4:$J$4, 0))</f>
        <v>0</v>
      </c>
      <c r="T176">
        <f>INDEX(참고!$C$5:$J$12, MATCH($J$2, 참고!$B$5:$B$12, 0), MATCH(T$2, 참고!$C$4:$J$4, 0))</f>
        <v>0</v>
      </c>
      <c r="U176">
        <f>INDEX(참고!$C$5:$J$12, MATCH($J$2, 참고!$B$5:$B$12, 0), MATCH(U$2, 참고!$C$4:$J$4, 0))</f>
        <v>0</v>
      </c>
    </row>
    <row r="177" spans="1:21">
      <c r="A177" t="s">
        <v>302</v>
      </c>
      <c r="B177" s="9">
        <v>53000</v>
      </c>
      <c r="C177">
        <f t="shared" si="2"/>
        <v>264995</v>
      </c>
      <c r="O177">
        <f>INDEX(참고!$C$5:$J$12, MATCH("생명", 참고!$B$5:$B$12, 0), MATCH("HP", 참고!$C$4:$J$4, 0))*J177
+INDEX(참고!$C$5:$J$12, MATCH("힘", 참고!$B$5:$B$12, 0), MATCH("HP", 참고!$C$4:$J$4, 0))*K177
+INDEX(참고!$C$5:$J$12, MATCH("근력", 참고!$B$5:$B$12, 0), MATCH("HP", 참고!$C$4:$J$4, 0))*L177
+INDEX(참고!$C$5:$J$12, MATCH("숙련도", 참고!$B$5:$B$12, 0), MATCH("HP", 참고!$C$4:$J$4, 0))*M177
+INDEX(참고!$C$5:$J$12, MATCH("행운", 참고!$B$5:$B$12, 0), MATCH("HP", 참고!$C$4:$J$4, 0))*N177</f>
        <v>0</v>
      </c>
      <c r="P177">
        <f>INDEX(참고!$C$5:$J$12, MATCH($J$2, 참고!$B$5:$B$12, 0), MATCH(P$2, 참고!$C$4:$J$4, 0))</f>
        <v>3</v>
      </c>
      <c r="Q177">
        <f>INDEX(참고!$C$5:$J$12, MATCH($J$2, 참고!$B$5:$B$12, 0), MATCH(Q$2, 참고!$C$4:$J$4, 0))</f>
        <v>1</v>
      </c>
      <c r="R177">
        <f>INDEX(참고!$C$5:$J$12, MATCH($J$2, 참고!$B$5:$B$12, 0), MATCH(R$2, 참고!$C$4:$J$4, 0))</f>
        <v>0</v>
      </c>
      <c r="S177">
        <f>INDEX(참고!$C$5:$J$12, MATCH($J$2, 참고!$B$5:$B$12, 0), MATCH(S$2, 참고!$C$4:$J$4, 0))</f>
        <v>0</v>
      </c>
      <c r="T177">
        <f>INDEX(참고!$C$5:$J$12, MATCH($J$2, 참고!$B$5:$B$12, 0), MATCH(T$2, 참고!$C$4:$J$4, 0))</f>
        <v>0</v>
      </c>
      <c r="U177">
        <f>INDEX(참고!$C$5:$J$12, MATCH($J$2, 참고!$B$5:$B$12, 0), MATCH(U$2, 참고!$C$4:$J$4, 0))</f>
        <v>0</v>
      </c>
    </row>
    <row r="178" spans="1:21">
      <c r="A178" t="s">
        <v>303</v>
      </c>
      <c r="B178" s="9">
        <v>54000</v>
      </c>
      <c r="C178">
        <f t="shared" si="2"/>
        <v>269995</v>
      </c>
      <c r="O178">
        <f>INDEX(참고!$C$5:$J$12, MATCH("생명", 참고!$B$5:$B$12, 0), MATCH("HP", 참고!$C$4:$J$4, 0))*J178
+INDEX(참고!$C$5:$J$12, MATCH("힘", 참고!$B$5:$B$12, 0), MATCH("HP", 참고!$C$4:$J$4, 0))*K178
+INDEX(참고!$C$5:$J$12, MATCH("근력", 참고!$B$5:$B$12, 0), MATCH("HP", 참고!$C$4:$J$4, 0))*L178
+INDEX(참고!$C$5:$J$12, MATCH("숙련도", 참고!$B$5:$B$12, 0), MATCH("HP", 참고!$C$4:$J$4, 0))*M178
+INDEX(참고!$C$5:$J$12, MATCH("행운", 참고!$B$5:$B$12, 0), MATCH("HP", 참고!$C$4:$J$4, 0))*N178</f>
        <v>0</v>
      </c>
      <c r="P178">
        <f>INDEX(참고!$C$5:$J$12, MATCH($J$2, 참고!$B$5:$B$12, 0), MATCH(P$2, 참고!$C$4:$J$4, 0))</f>
        <v>3</v>
      </c>
      <c r="Q178">
        <f>INDEX(참고!$C$5:$J$12, MATCH($J$2, 참고!$B$5:$B$12, 0), MATCH(Q$2, 참고!$C$4:$J$4, 0))</f>
        <v>1</v>
      </c>
      <c r="R178">
        <f>INDEX(참고!$C$5:$J$12, MATCH($J$2, 참고!$B$5:$B$12, 0), MATCH(R$2, 참고!$C$4:$J$4, 0))</f>
        <v>0</v>
      </c>
      <c r="S178">
        <f>INDEX(참고!$C$5:$J$12, MATCH($J$2, 참고!$B$5:$B$12, 0), MATCH(S$2, 참고!$C$4:$J$4, 0))</f>
        <v>0</v>
      </c>
      <c r="T178">
        <f>INDEX(참고!$C$5:$J$12, MATCH($J$2, 참고!$B$5:$B$12, 0), MATCH(T$2, 참고!$C$4:$J$4, 0))</f>
        <v>0</v>
      </c>
      <c r="U178">
        <f>INDEX(참고!$C$5:$J$12, MATCH($J$2, 참고!$B$5:$B$12, 0), MATCH(U$2, 참고!$C$4:$J$4, 0))</f>
        <v>0</v>
      </c>
    </row>
    <row r="179" spans="1:21">
      <c r="A179" t="s">
        <v>304</v>
      </c>
      <c r="B179" s="9">
        <v>55000</v>
      </c>
      <c r="C179">
        <f t="shared" si="2"/>
        <v>274995</v>
      </c>
      <c r="O179">
        <f>INDEX(참고!$C$5:$J$12, MATCH("생명", 참고!$B$5:$B$12, 0), MATCH("HP", 참고!$C$4:$J$4, 0))*J179
+INDEX(참고!$C$5:$J$12, MATCH("힘", 참고!$B$5:$B$12, 0), MATCH("HP", 참고!$C$4:$J$4, 0))*K179
+INDEX(참고!$C$5:$J$12, MATCH("근력", 참고!$B$5:$B$12, 0), MATCH("HP", 참고!$C$4:$J$4, 0))*L179
+INDEX(참고!$C$5:$J$12, MATCH("숙련도", 참고!$B$5:$B$12, 0), MATCH("HP", 참고!$C$4:$J$4, 0))*M179
+INDEX(참고!$C$5:$J$12, MATCH("행운", 참고!$B$5:$B$12, 0), MATCH("HP", 참고!$C$4:$J$4, 0))*N179</f>
        <v>0</v>
      </c>
      <c r="P179">
        <f>INDEX(참고!$C$5:$J$12, MATCH($J$2, 참고!$B$5:$B$12, 0), MATCH(P$2, 참고!$C$4:$J$4, 0))</f>
        <v>3</v>
      </c>
      <c r="Q179">
        <f>INDEX(참고!$C$5:$J$12, MATCH($J$2, 참고!$B$5:$B$12, 0), MATCH(Q$2, 참고!$C$4:$J$4, 0))</f>
        <v>1</v>
      </c>
      <c r="R179">
        <f>INDEX(참고!$C$5:$J$12, MATCH($J$2, 참고!$B$5:$B$12, 0), MATCH(R$2, 참고!$C$4:$J$4, 0))</f>
        <v>0</v>
      </c>
      <c r="S179">
        <f>INDEX(참고!$C$5:$J$12, MATCH($J$2, 참고!$B$5:$B$12, 0), MATCH(S$2, 참고!$C$4:$J$4, 0))</f>
        <v>0</v>
      </c>
      <c r="T179">
        <f>INDEX(참고!$C$5:$J$12, MATCH($J$2, 참고!$B$5:$B$12, 0), MATCH(T$2, 참고!$C$4:$J$4, 0))</f>
        <v>0</v>
      </c>
      <c r="U179">
        <f>INDEX(참고!$C$5:$J$12, MATCH($J$2, 참고!$B$5:$B$12, 0), MATCH(U$2, 참고!$C$4:$J$4, 0))</f>
        <v>0</v>
      </c>
    </row>
    <row r="180" spans="1:21">
      <c r="A180" t="s">
        <v>305</v>
      </c>
      <c r="B180" s="9">
        <v>56000</v>
      </c>
      <c r="C180">
        <f t="shared" si="2"/>
        <v>279995</v>
      </c>
      <c r="O180">
        <f>INDEX(참고!$C$5:$J$12, MATCH("생명", 참고!$B$5:$B$12, 0), MATCH("HP", 참고!$C$4:$J$4, 0))*J180
+INDEX(참고!$C$5:$J$12, MATCH("힘", 참고!$B$5:$B$12, 0), MATCH("HP", 참고!$C$4:$J$4, 0))*K180
+INDEX(참고!$C$5:$J$12, MATCH("근력", 참고!$B$5:$B$12, 0), MATCH("HP", 참고!$C$4:$J$4, 0))*L180
+INDEX(참고!$C$5:$J$12, MATCH("숙련도", 참고!$B$5:$B$12, 0), MATCH("HP", 참고!$C$4:$J$4, 0))*M180
+INDEX(참고!$C$5:$J$12, MATCH("행운", 참고!$B$5:$B$12, 0), MATCH("HP", 참고!$C$4:$J$4, 0))*N180</f>
        <v>0</v>
      </c>
      <c r="P180">
        <f>INDEX(참고!$C$5:$J$12, MATCH($J$2, 참고!$B$5:$B$12, 0), MATCH(P$2, 참고!$C$4:$J$4, 0))</f>
        <v>3</v>
      </c>
      <c r="Q180">
        <f>INDEX(참고!$C$5:$J$12, MATCH($J$2, 참고!$B$5:$B$12, 0), MATCH(Q$2, 참고!$C$4:$J$4, 0))</f>
        <v>1</v>
      </c>
      <c r="R180">
        <f>INDEX(참고!$C$5:$J$12, MATCH($J$2, 참고!$B$5:$B$12, 0), MATCH(R$2, 참고!$C$4:$J$4, 0))</f>
        <v>0</v>
      </c>
      <c r="S180">
        <f>INDEX(참고!$C$5:$J$12, MATCH($J$2, 참고!$B$5:$B$12, 0), MATCH(S$2, 참고!$C$4:$J$4, 0))</f>
        <v>0</v>
      </c>
      <c r="T180">
        <f>INDEX(참고!$C$5:$J$12, MATCH($J$2, 참고!$B$5:$B$12, 0), MATCH(T$2, 참고!$C$4:$J$4, 0))</f>
        <v>0</v>
      </c>
      <c r="U180">
        <f>INDEX(참고!$C$5:$J$12, MATCH($J$2, 참고!$B$5:$B$12, 0), MATCH(U$2, 참고!$C$4:$J$4, 0))</f>
        <v>0</v>
      </c>
    </row>
    <row r="181" spans="1:21">
      <c r="A181" t="s">
        <v>306</v>
      </c>
      <c r="B181" s="9">
        <v>57000</v>
      </c>
      <c r="C181">
        <f t="shared" si="2"/>
        <v>284995</v>
      </c>
      <c r="O181">
        <f>INDEX(참고!$C$5:$J$12, MATCH("생명", 참고!$B$5:$B$12, 0), MATCH("HP", 참고!$C$4:$J$4, 0))*J181
+INDEX(참고!$C$5:$J$12, MATCH("힘", 참고!$B$5:$B$12, 0), MATCH("HP", 참고!$C$4:$J$4, 0))*K181
+INDEX(참고!$C$5:$J$12, MATCH("근력", 참고!$B$5:$B$12, 0), MATCH("HP", 참고!$C$4:$J$4, 0))*L181
+INDEX(참고!$C$5:$J$12, MATCH("숙련도", 참고!$B$5:$B$12, 0), MATCH("HP", 참고!$C$4:$J$4, 0))*M181
+INDEX(참고!$C$5:$J$12, MATCH("행운", 참고!$B$5:$B$12, 0), MATCH("HP", 참고!$C$4:$J$4, 0))*N181</f>
        <v>0</v>
      </c>
      <c r="P181">
        <f>INDEX(참고!$C$5:$J$12, MATCH($J$2, 참고!$B$5:$B$12, 0), MATCH(P$2, 참고!$C$4:$J$4, 0))</f>
        <v>3</v>
      </c>
      <c r="Q181">
        <f>INDEX(참고!$C$5:$J$12, MATCH($J$2, 참고!$B$5:$B$12, 0), MATCH(Q$2, 참고!$C$4:$J$4, 0))</f>
        <v>1</v>
      </c>
      <c r="R181">
        <f>INDEX(참고!$C$5:$J$12, MATCH($J$2, 참고!$B$5:$B$12, 0), MATCH(R$2, 참고!$C$4:$J$4, 0))</f>
        <v>0</v>
      </c>
      <c r="S181">
        <f>INDEX(참고!$C$5:$J$12, MATCH($J$2, 참고!$B$5:$B$12, 0), MATCH(S$2, 참고!$C$4:$J$4, 0))</f>
        <v>0</v>
      </c>
      <c r="T181">
        <f>INDEX(참고!$C$5:$J$12, MATCH($J$2, 참고!$B$5:$B$12, 0), MATCH(T$2, 참고!$C$4:$J$4, 0))</f>
        <v>0</v>
      </c>
      <c r="U181">
        <f>INDEX(참고!$C$5:$J$12, MATCH($J$2, 참고!$B$5:$B$12, 0), MATCH(U$2, 참고!$C$4:$J$4, 0))</f>
        <v>0</v>
      </c>
    </row>
    <row r="182" spans="1:21">
      <c r="A182" t="s">
        <v>307</v>
      </c>
      <c r="B182" s="9">
        <v>58000</v>
      </c>
      <c r="C182">
        <f t="shared" si="2"/>
        <v>289995</v>
      </c>
      <c r="O182">
        <f>INDEX(참고!$C$5:$J$12, MATCH("생명", 참고!$B$5:$B$12, 0), MATCH("HP", 참고!$C$4:$J$4, 0))*J182
+INDEX(참고!$C$5:$J$12, MATCH("힘", 참고!$B$5:$B$12, 0), MATCH("HP", 참고!$C$4:$J$4, 0))*K182
+INDEX(참고!$C$5:$J$12, MATCH("근력", 참고!$B$5:$B$12, 0), MATCH("HP", 참고!$C$4:$J$4, 0))*L182
+INDEX(참고!$C$5:$J$12, MATCH("숙련도", 참고!$B$5:$B$12, 0), MATCH("HP", 참고!$C$4:$J$4, 0))*M182
+INDEX(참고!$C$5:$J$12, MATCH("행운", 참고!$B$5:$B$12, 0), MATCH("HP", 참고!$C$4:$J$4, 0))*N182</f>
        <v>0</v>
      </c>
      <c r="P182">
        <f>INDEX(참고!$C$5:$J$12, MATCH($J$2, 참고!$B$5:$B$12, 0), MATCH(P$2, 참고!$C$4:$J$4, 0))</f>
        <v>3</v>
      </c>
      <c r="Q182">
        <f>INDEX(참고!$C$5:$J$12, MATCH($J$2, 참고!$B$5:$B$12, 0), MATCH(Q$2, 참고!$C$4:$J$4, 0))</f>
        <v>1</v>
      </c>
      <c r="R182">
        <f>INDEX(참고!$C$5:$J$12, MATCH($J$2, 참고!$B$5:$B$12, 0), MATCH(R$2, 참고!$C$4:$J$4, 0))</f>
        <v>0</v>
      </c>
      <c r="S182">
        <f>INDEX(참고!$C$5:$J$12, MATCH($J$2, 참고!$B$5:$B$12, 0), MATCH(S$2, 참고!$C$4:$J$4, 0))</f>
        <v>0</v>
      </c>
      <c r="T182">
        <f>INDEX(참고!$C$5:$J$12, MATCH($J$2, 참고!$B$5:$B$12, 0), MATCH(T$2, 참고!$C$4:$J$4, 0))</f>
        <v>0</v>
      </c>
      <c r="U182">
        <f>INDEX(참고!$C$5:$J$12, MATCH($J$2, 참고!$B$5:$B$12, 0), MATCH(U$2, 참고!$C$4:$J$4, 0))</f>
        <v>0</v>
      </c>
    </row>
    <row r="183" spans="1:21">
      <c r="A183" t="s">
        <v>308</v>
      </c>
      <c r="B183" s="9">
        <v>59000</v>
      </c>
      <c r="C183">
        <f t="shared" si="2"/>
        <v>294995</v>
      </c>
      <c r="O183">
        <f>INDEX(참고!$C$5:$J$12, MATCH("생명", 참고!$B$5:$B$12, 0), MATCH("HP", 참고!$C$4:$J$4, 0))*J183
+INDEX(참고!$C$5:$J$12, MATCH("힘", 참고!$B$5:$B$12, 0), MATCH("HP", 참고!$C$4:$J$4, 0))*K183
+INDEX(참고!$C$5:$J$12, MATCH("근력", 참고!$B$5:$B$12, 0), MATCH("HP", 참고!$C$4:$J$4, 0))*L183
+INDEX(참고!$C$5:$J$12, MATCH("숙련도", 참고!$B$5:$B$12, 0), MATCH("HP", 참고!$C$4:$J$4, 0))*M183
+INDEX(참고!$C$5:$J$12, MATCH("행운", 참고!$B$5:$B$12, 0), MATCH("HP", 참고!$C$4:$J$4, 0))*N183</f>
        <v>0</v>
      </c>
      <c r="P183">
        <f>INDEX(참고!$C$5:$J$12, MATCH($J$2, 참고!$B$5:$B$12, 0), MATCH(P$2, 참고!$C$4:$J$4, 0))</f>
        <v>3</v>
      </c>
      <c r="Q183">
        <f>INDEX(참고!$C$5:$J$12, MATCH($J$2, 참고!$B$5:$B$12, 0), MATCH(Q$2, 참고!$C$4:$J$4, 0))</f>
        <v>1</v>
      </c>
      <c r="R183">
        <f>INDEX(참고!$C$5:$J$12, MATCH($J$2, 참고!$B$5:$B$12, 0), MATCH(R$2, 참고!$C$4:$J$4, 0))</f>
        <v>0</v>
      </c>
      <c r="S183">
        <f>INDEX(참고!$C$5:$J$12, MATCH($J$2, 참고!$B$5:$B$12, 0), MATCH(S$2, 참고!$C$4:$J$4, 0))</f>
        <v>0</v>
      </c>
      <c r="T183">
        <f>INDEX(참고!$C$5:$J$12, MATCH($J$2, 참고!$B$5:$B$12, 0), MATCH(T$2, 참고!$C$4:$J$4, 0))</f>
        <v>0</v>
      </c>
      <c r="U183">
        <f>INDEX(참고!$C$5:$J$12, MATCH($J$2, 참고!$B$5:$B$12, 0), MATCH(U$2, 참고!$C$4:$J$4, 0))</f>
        <v>0</v>
      </c>
    </row>
    <row r="184" spans="1:21">
      <c r="A184" t="s">
        <v>309</v>
      </c>
      <c r="B184" s="9">
        <v>50000</v>
      </c>
      <c r="C184">
        <f t="shared" si="2"/>
        <v>249995</v>
      </c>
      <c r="O184">
        <f>INDEX(참고!$C$5:$J$12, MATCH("생명", 참고!$B$5:$B$12, 0), MATCH("HP", 참고!$C$4:$J$4, 0))*J184
+INDEX(참고!$C$5:$J$12, MATCH("힘", 참고!$B$5:$B$12, 0), MATCH("HP", 참고!$C$4:$J$4, 0))*K184
+INDEX(참고!$C$5:$J$12, MATCH("근력", 참고!$B$5:$B$12, 0), MATCH("HP", 참고!$C$4:$J$4, 0))*L184
+INDEX(참고!$C$5:$J$12, MATCH("숙련도", 참고!$B$5:$B$12, 0), MATCH("HP", 참고!$C$4:$J$4, 0))*M184
+INDEX(참고!$C$5:$J$12, MATCH("행운", 참고!$B$5:$B$12, 0), MATCH("HP", 참고!$C$4:$J$4, 0))*N184</f>
        <v>0</v>
      </c>
      <c r="P184">
        <f>INDEX(참고!$C$5:$J$12, MATCH($J$2, 참고!$B$5:$B$12, 0), MATCH(P$2, 참고!$C$4:$J$4, 0))</f>
        <v>3</v>
      </c>
      <c r="Q184">
        <f>INDEX(참고!$C$5:$J$12, MATCH($J$2, 참고!$B$5:$B$12, 0), MATCH(Q$2, 참고!$C$4:$J$4, 0))</f>
        <v>1</v>
      </c>
      <c r="R184">
        <f>INDEX(참고!$C$5:$J$12, MATCH($J$2, 참고!$B$5:$B$12, 0), MATCH(R$2, 참고!$C$4:$J$4, 0))</f>
        <v>0</v>
      </c>
      <c r="S184">
        <f>INDEX(참고!$C$5:$J$12, MATCH($J$2, 참고!$B$5:$B$12, 0), MATCH(S$2, 참고!$C$4:$J$4, 0))</f>
        <v>0</v>
      </c>
      <c r="T184">
        <f>INDEX(참고!$C$5:$J$12, MATCH($J$2, 참고!$B$5:$B$12, 0), MATCH(T$2, 참고!$C$4:$J$4, 0))</f>
        <v>0</v>
      </c>
      <c r="U184">
        <f>INDEX(참고!$C$5:$J$12, MATCH($J$2, 참고!$B$5:$B$12, 0), MATCH(U$2, 참고!$C$4:$J$4, 0))</f>
        <v>0</v>
      </c>
    </row>
    <row r="185" spans="1:21">
      <c r="A185" t="s">
        <v>310</v>
      </c>
      <c r="B185" s="9">
        <v>55000</v>
      </c>
      <c r="C185">
        <f t="shared" si="2"/>
        <v>274995</v>
      </c>
      <c r="O185">
        <f>INDEX(참고!$C$5:$J$12, MATCH("생명", 참고!$B$5:$B$12, 0), MATCH("HP", 참고!$C$4:$J$4, 0))*J185
+INDEX(참고!$C$5:$J$12, MATCH("힘", 참고!$B$5:$B$12, 0), MATCH("HP", 참고!$C$4:$J$4, 0))*K185
+INDEX(참고!$C$5:$J$12, MATCH("근력", 참고!$B$5:$B$12, 0), MATCH("HP", 참고!$C$4:$J$4, 0))*L185
+INDEX(참고!$C$5:$J$12, MATCH("숙련도", 참고!$B$5:$B$12, 0), MATCH("HP", 참고!$C$4:$J$4, 0))*M185
+INDEX(참고!$C$5:$J$12, MATCH("행운", 참고!$B$5:$B$12, 0), MATCH("HP", 참고!$C$4:$J$4, 0))*N185</f>
        <v>0</v>
      </c>
      <c r="P185">
        <f>INDEX(참고!$C$5:$J$12, MATCH($J$2, 참고!$B$5:$B$12, 0), MATCH(P$2, 참고!$C$4:$J$4, 0))</f>
        <v>3</v>
      </c>
      <c r="Q185">
        <f>INDEX(참고!$C$5:$J$12, MATCH($J$2, 참고!$B$5:$B$12, 0), MATCH(Q$2, 참고!$C$4:$J$4, 0))</f>
        <v>1</v>
      </c>
      <c r="R185">
        <f>INDEX(참고!$C$5:$J$12, MATCH($J$2, 참고!$B$5:$B$12, 0), MATCH(R$2, 참고!$C$4:$J$4, 0))</f>
        <v>0</v>
      </c>
      <c r="S185">
        <f>INDEX(참고!$C$5:$J$12, MATCH($J$2, 참고!$B$5:$B$12, 0), MATCH(S$2, 참고!$C$4:$J$4, 0))</f>
        <v>0</v>
      </c>
      <c r="T185">
        <f>INDEX(참고!$C$5:$J$12, MATCH($J$2, 참고!$B$5:$B$12, 0), MATCH(T$2, 참고!$C$4:$J$4, 0))</f>
        <v>0</v>
      </c>
      <c r="U185">
        <f>INDEX(참고!$C$5:$J$12, MATCH($J$2, 참고!$B$5:$B$12, 0), MATCH(U$2, 참고!$C$4:$J$4, 0))</f>
        <v>0</v>
      </c>
    </row>
    <row r="186" spans="1:21">
      <c r="A186" t="s">
        <v>311</v>
      </c>
      <c r="B186" s="9">
        <v>60000</v>
      </c>
      <c r="C186">
        <f t="shared" si="2"/>
        <v>299995</v>
      </c>
      <c r="O186">
        <f>INDEX(참고!$C$5:$J$12, MATCH("생명", 참고!$B$5:$B$12, 0), MATCH("HP", 참고!$C$4:$J$4, 0))*J186
+INDEX(참고!$C$5:$J$12, MATCH("힘", 참고!$B$5:$B$12, 0), MATCH("HP", 참고!$C$4:$J$4, 0))*K186
+INDEX(참고!$C$5:$J$12, MATCH("근력", 참고!$B$5:$B$12, 0), MATCH("HP", 참고!$C$4:$J$4, 0))*L186
+INDEX(참고!$C$5:$J$12, MATCH("숙련도", 참고!$B$5:$B$12, 0), MATCH("HP", 참고!$C$4:$J$4, 0))*M186
+INDEX(참고!$C$5:$J$12, MATCH("행운", 참고!$B$5:$B$12, 0), MATCH("HP", 참고!$C$4:$J$4, 0))*N186</f>
        <v>0</v>
      </c>
      <c r="P186">
        <f>INDEX(참고!$C$5:$J$12, MATCH($J$2, 참고!$B$5:$B$12, 0), MATCH(P$2, 참고!$C$4:$J$4, 0))</f>
        <v>3</v>
      </c>
      <c r="Q186">
        <f>INDEX(참고!$C$5:$J$12, MATCH($J$2, 참고!$B$5:$B$12, 0), MATCH(Q$2, 참고!$C$4:$J$4, 0))</f>
        <v>1</v>
      </c>
      <c r="R186">
        <f>INDEX(참고!$C$5:$J$12, MATCH($J$2, 참고!$B$5:$B$12, 0), MATCH(R$2, 참고!$C$4:$J$4, 0))</f>
        <v>0</v>
      </c>
      <c r="S186">
        <f>INDEX(참고!$C$5:$J$12, MATCH($J$2, 참고!$B$5:$B$12, 0), MATCH(S$2, 참고!$C$4:$J$4, 0))</f>
        <v>0</v>
      </c>
      <c r="T186">
        <f>INDEX(참고!$C$5:$J$12, MATCH($J$2, 참고!$B$5:$B$12, 0), MATCH(T$2, 참고!$C$4:$J$4, 0))</f>
        <v>0</v>
      </c>
      <c r="U186">
        <f>INDEX(참고!$C$5:$J$12, MATCH($J$2, 참고!$B$5:$B$12, 0), MATCH(U$2, 참고!$C$4:$J$4, 0))</f>
        <v>0</v>
      </c>
    </row>
    <row r="187" spans="1:21">
      <c r="A187" t="s">
        <v>312</v>
      </c>
      <c r="B187" s="9">
        <v>63000</v>
      </c>
      <c r="C187">
        <f t="shared" si="2"/>
        <v>314995</v>
      </c>
      <c r="O187">
        <f>INDEX(참고!$C$5:$J$12, MATCH("생명", 참고!$B$5:$B$12, 0), MATCH("HP", 참고!$C$4:$J$4, 0))*J187
+INDEX(참고!$C$5:$J$12, MATCH("힘", 참고!$B$5:$B$12, 0), MATCH("HP", 참고!$C$4:$J$4, 0))*K187
+INDEX(참고!$C$5:$J$12, MATCH("근력", 참고!$B$5:$B$12, 0), MATCH("HP", 참고!$C$4:$J$4, 0))*L187
+INDEX(참고!$C$5:$J$12, MATCH("숙련도", 참고!$B$5:$B$12, 0), MATCH("HP", 참고!$C$4:$J$4, 0))*M187
+INDEX(참고!$C$5:$J$12, MATCH("행운", 참고!$B$5:$B$12, 0), MATCH("HP", 참고!$C$4:$J$4, 0))*N187</f>
        <v>0</v>
      </c>
      <c r="P187">
        <f>INDEX(참고!$C$5:$J$12, MATCH($J$2, 참고!$B$5:$B$12, 0), MATCH(P$2, 참고!$C$4:$J$4, 0))</f>
        <v>3</v>
      </c>
      <c r="Q187">
        <f>INDEX(참고!$C$5:$J$12, MATCH($J$2, 참고!$B$5:$B$12, 0), MATCH(Q$2, 참고!$C$4:$J$4, 0))</f>
        <v>1</v>
      </c>
      <c r="R187">
        <f>INDEX(참고!$C$5:$J$12, MATCH($J$2, 참고!$B$5:$B$12, 0), MATCH(R$2, 참고!$C$4:$J$4, 0))</f>
        <v>0</v>
      </c>
      <c r="S187">
        <f>INDEX(참고!$C$5:$J$12, MATCH($J$2, 참고!$B$5:$B$12, 0), MATCH(S$2, 참고!$C$4:$J$4, 0))</f>
        <v>0</v>
      </c>
      <c r="T187">
        <f>INDEX(참고!$C$5:$J$12, MATCH($J$2, 참고!$B$5:$B$12, 0), MATCH(T$2, 참고!$C$4:$J$4, 0))</f>
        <v>0</v>
      </c>
      <c r="U187">
        <f>INDEX(참고!$C$5:$J$12, MATCH($J$2, 참고!$B$5:$B$12, 0), MATCH(U$2, 참고!$C$4:$J$4, 0))</f>
        <v>0</v>
      </c>
    </row>
    <row r="188" spans="1:21">
      <c r="A188" t="s">
        <v>313</v>
      </c>
      <c r="B188" s="9">
        <v>66000</v>
      </c>
      <c r="C188">
        <f t="shared" si="2"/>
        <v>329995</v>
      </c>
      <c r="O188">
        <f>INDEX(참고!$C$5:$J$12, MATCH("생명", 참고!$B$5:$B$12, 0), MATCH("HP", 참고!$C$4:$J$4, 0))*J188
+INDEX(참고!$C$5:$J$12, MATCH("힘", 참고!$B$5:$B$12, 0), MATCH("HP", 참고!$C$4:$J$4, 0))*K188
+INDEX(참고!$C$5:$J$12, MATCH("근력", 참고!$B$5:$B$12, 0), MATCH("HP", 참고!$C$4:$J$4, 0))*L188
+INDEX(참고!$C$5:$J$12, MATCH("숙련도", 참고!$B$5:$B$12, 0), MATCH("HP", 참고!$C$4:$J$4, 0))*M188
+INDEX(참고!$C$5:$J$12, MATCH("행운", 참고!$B$5:$B$12, 0), MATCH("HP", 참고!$C$4:$J$4, 0))*N188</f>
        <v>0</v>
      </c>
      <c r="P188">
        <f>INDEX(참고!$C$5:$J$12, MATCH($J$2, 참고!$B$5:$B$12, 0), MATCH(P$2, 참고!$C$4:$J$4, 0))</f>
        <v>3</v>
      </c>
      <c r="Q188">
        <f>INDEX(참고!$C$5:$J$12, MATCH($J$2, 참고!$B$5:$B$12, 0), MATCH(Q$2, 참고!$C$4:$J$4, 0))</f>
        <v>1</v>
      </c>
      <c r="R188">
        <f>INDEX(참고!$C$5:$J$12, MATCH($J$2, 참고!$B$5:$B$12, 0), MATCH(R$2, 참고!$C$4:$J$4, 0))</f>
        <v>0</v>
      </c>
      <c r="S188">
        <f>INDEX(참고!$C$5:$J$12, MATCH($J$2, 참고!$B$5:$B$12, 0), MATCH(S$2, 참고!$C$4:$J$4, 0))</f>
        <v>0</v>
      </c>
      <c r="T188">
        <f>INDEX(참고!$C$5:$J$12, MATCH($J$2, 참고!$B$5:$B$12, 0), MATCH(T$2, 참고!$C$4:$J$4, 0))</f>
        <v>0</v>
      </c>
      <c r="U188">
        <f>INDEX(참고!$C$5:$J$12, MATCH($J$2, 참고!$B$5:$B$12, 0), MATCH(U$2, 참고!$C$4:$J$4, 0))</f>
        <v>0</v>
      </c>
    </row>
    <row r="189" spans="1:21">
      <c r="A189" t="s">
        <v>314</v>
      </c>
      <c r="B189" s="9">
        <v>69000</v>
      </c>
      <c r="C189">
        <f t="shared" si="2"/>
        <v>344995</v>
      </c>
      <c r="O189">
        <f>INDEX(참고!$C$5:$J$12, MATCH("생명", 참고!$B$5:$B$12, 0), MATCH("HP", 참고!$C$4:$J$4, 0))*J189
+INDEX(참고!$C$5:$J$12, MATCH("힘", 참고!$B$5:$B$12, 0), MATCH("HP", 참고!$C$4:$J$4, 0))*K189
+INDEX(참고!$C$5:$J$12, MATCH("근력", 참고!$B$5:$B$12, 0), MATCH("HP", 참고!$C$4:$J$4, 0))*L189
+INDEX(참고!$C$5:$J$12, MATCH("숙련도", 참고!$B$5:$B$12, 0), MATCH("HP", 참고!$C$4:$J$4, 0))*M189
+INDEX(참고!$C$5:$J$12, MATCH("행운", 참고!$B$5:$B$12, 0), MATCH("HP", 참고!$C$4:$J$4, 0))*N189</f>
        <v>0</v>
      </c>
      <c r="P189">
        <f>INDEX(참고!$C$5:$J$12, MATCH($J$2, 참고!$B$5:$B$12, 0), MATCH(P$2, 참고!$C$4:$J$4, 0))</f>
        <v>3</v>
      </c>
      <c r="Q189">
        <f>INDEX(참고!$C$5:$J$12, MATCH($J$2, 참고!$B$5:$B$12, 0), MATCH(Q$2, 참고!$C$4:$J$4, 0))</f>
        <v>1</v>
      </c>
      <c r="R189">
        <f>INDEX(참고!$C$5:$J$12, MATCH($J$2, 참고!$B$5:$B$12, 0), MATCH(R$2, 참고!$C$4:$J$4, 0))</f>
        <v>0</v>
      </c>
      <c r="S189">
        <f>INDEX(참고!$C$5:$J$12, MATCH($J$2, 참고!$B$5:$B$12, 0), MATCH(S$2, 참고!$C$4:$J$4, 0))</f>
        <v>0</v>
      </c>
      <c r="T189">
        <f>INDEX(참고!$C$5:$J$12, MATCH($J$2, 참고!$B$5:$B$12, 0), MATCH(T$2, 참고!$C$4:$J$4, 0))</f>
        <v>0</v>
      </c>
      <c r="U189">
        <f>INDEX(참고!$C$5:$J$12, MATCH($J$2, 참고!$B$5:$B$12, 0), MATCH(U$2, 참고!$C$4:$J$4, 0))</f>
        <v>0</v>
      </c>
    </row>
    <row r="190" spans="1:21">
      <c r="A190" t="s">
        <v>315</v>
      </c>
      <c r="B190" s="9">
        <v>72000</v>
      </c>
      <c r="C190">
        <f t="shared" si="2"/>
        <v>359995</v>
      </c>
      <c r="O190">
        <f>INDEX(참고!$C$5:$J$12, MATCH("생명", 참고!$B$5:$B$12, 0), MATCH("HP", 참고!$C$4:$J$4, 0))*J190
+INDEX(참고!$C$5:$J$12, MATCH("힘", 참고!$B$5:$B$12, 0), MATCH("HP", 참고!$C$4:$J$4, 0))*K190
+INDEX(참고!$C$5:$J$12, MATCH("근력", 참고!$B$5:$B$12, 0), MATCH("HP", 참고!$C$4:$J$4, 0))*L190
+INDEX(참고!$C$5:$J$12, MATCH("숙련도", 참고!$B$5:$B$12, 0), MATCH("HP", 참고!$C$4:$J$4, 0))*M190
+INDEX(참고!$C$5:$J$12, MATCH("행운", 참고!$B$5:$B$12, 0), MATCH("HP", 참고!$C$4:$J$4, 0))*N190</f>
        <v>0</v>
      </c>
      <c r="P190">
        <f>INDEX(참고!$C$5:$J$12, MATCH($J$2, 참고!$B$5:$B$12, 0), MATCH(P$2, 참고!$C$4:$J$4, 0))</f>
        <v>3</v>
      </c>
      <c r="Q190">
        <f>INDEX(참고!$C$5:$J$12, MATCH($J$2, 참고!$B$5:$B$12, 0), MATCH(Q$2, 참고!$C$4:$J$4, 0))</f>
        <v>1</v>
      </c>
      <c r="R190">
        <f>INDEX(참고!$C$5:$J$12, MATCH($J$2, 참고!$B$5:$B$12, 0), MATCH(R$2, 참고!$C$4:$J$4, 0))</f>
        <v>0</v>
      </c>
      <c r="S190">
        <f>INDEX(참고!$C$5:$J$12, MATCH($J$2, 참고!$B$5:$B$12, 0), MATCH(S$2, 참고!$C$4:$J$4, 0))</f>
        <v>0</v>
      </c>
      <c r="T190">
        <f>INDEX(참고!$C$5:$J$12, MATCH($J$2, 참고!$B$5:$B$12, 0), MATCH(T$2, 참고!$C$4:$J$4, 0))</f>
        <v>0</v>
      </c>
      <c r="U190">
        <f>INDEX(참고!$C$5:$J$12, MATCH($J$2, 참고!$B$5:$B$12, 0), MATCH(U$2, 참고!$C$4:$J$4, 0))</f>
        <v>0</v>
      </c>
    </row>
    <row r="191" spans="1:21">
      <c r="A191" t="s">
        <v>316</v>
      </c>
      <c r="B191" s="9">
        <v>75000</v>
      </c>
      <c r="C191">
        <f t="shared" si="2"/>
        <v>374995</v>
      </c>
      <c r="O191">
        <f>INDEX(참고!$C$5:$J$12, MATCH("생명", 참고!$B$5:$B$12, 0), MATCH("HP", 참고!$C$4:$J$4, 0))*J191
+INDEX(참고!$C$5:$J$12, MATCH("힘", 참고!$B$5:$B$12, 0), MATCH("HP", 참고!$C$4:$J$4, 0))*K191
+INDEX(참고!$C$5:$J$12, MATCH("근력", 참고!$B$5:$B$12, 0), MATCH("HP", 참고!$C$4:$J$4, 0))*L191
+INDEX(참고!$C$5:$J$12, MATCH("숙련도", 참고!$B$5:$B$12, 0), MATCH("HP", 참고!$C$4:$J$4, 0))*M191
+INDEX(참고!$C$5:$J$12, MATCH("행운", 참고!$B$5:$B$12, 0), MATCH("HP", 참고!$C$4:$J$4, 0))*N191</f>
        <v>0</v>
      </c>
      <c r="P191">
        <f>INDEX(참고!$C$5:$J$12, MATCH($J$2, 참고!$B$5:$B$12, 0), MATCH(P$2, 참고!$C$4:$J$4, 0))</f>
        <v>3</v>
      </c>
      <c r="Q191">
        <f>INDEX(참고!$C$5:$J$12, MATCH($J$2, 참고!$B$5:$B$12, 0), MATCH(Q$2, 참고!$C$4:$J$4, 0))</f>
        <v>1</v>
      </c>
      <c r="R191">
        <f>INDEX(참고!$C$5:$J$12, MATCH($J$2, 참고!$B$5:$B$12, 0), MATCH(R$2, 참고!$C$4:$J$4, 0))</f>
        <v>0</v>
      </c>
      <c r="S191">
        <f>INDEX(참고!$C$5:$J$12, MATCH($J$2, 참고!$B$5:$B$12, 0), MATCH(S$2, 참고!$C$4:$J$4, 0))</f>
        <v>0</v>
      </c>
      <c r="T191">
        <f>INDEX(참고!$C$5:$J$12, MATCH($J$2, 참고!$B$5:$B$12, 0), MATCH(T$2, 참고!$C$4:$J$4, 0))</f>
        <v>0</v>
      </c>
      <c r="U191">
        <f>INDEX(참고!$C$5:$J$12, MATCH($J$2, 참고!$B$5:$B$12, 0), MATCH(U$2, 참고!$C$4:$J$4, 0))</f>
        <v>0</v>
      </c>
    </row>
    <row r="192" spans="1:21">
      <c r="A192" t="s">
        <v>317</v>
      </c>
      <c r="B192" s="9">
        <v>80000</v>
      </c>
      <c r="C192">
        <f t="shared" si="2"/>
        <v>399995</v>
      </c>
      <c r="O192">
        <f>INDEX(참고!$C$5:$J$12, MATCH("생명", 참고!$B$5:$B$12, 0), MATCH("HP", 참고!$C$4:$J$4, 0))*J192
+INDEX(참고!$C$5:$J$12, MATCH("힘", 참고!$B$5:$B$12, 0), MATCH("HP", 참고!$C$4:$J$4, 0))*K192
+INDEX(참고!$C$5:$J$12, MATCH("근력", 참고!$B$5:$B$12, 0), MATCH("HP", 참고!$C$4:$J$4, 0))*L192
+INDEX(참고!$C$5:$J$12, MATCH("숙련도", 참고!$B$5:$B$12, 0), MATCH("HP", 참고!$C$4:$J$4, 0))*M192
+INDEX(참고!$C$5:$J$12, MATCH("행운", 참고!$B$5:$B$12, 0), MATCH("HP", 참고!$C$4:$J$4, 0))*N192</f>
        <v>0</v>
      </c>
      <c r="P192">
        <f>INDEX(참고!$C$5:$J$12, MATCH($J$2, 참고!$B$5:$B$12, 0), MATCH(P$2, 참고!$C$4:$J$4, 0))</f>
        <v>3</v>
      </c>
      <c r="Q192">
        <f>INDEX(참고!$C$5:$J$12, MATCH($J$2, 참고!$B$5:$B$12, 0), MATCH(Q$2, 참고!$C$4:$J$4, 0))</f>
        <v>1</v>
      </c>
      <c r="R192">
        <f>INDEX(참고!$C$5:$J$12, MATCH($J$2, 참고!$B$5:$B$12, 0), MATCH(R$2, 참고!$C$4:$J$4, 0))</f>
        <v>0</v>
      </c>
      <c r="S192">
        <f>INDEX(참고!$C$5:$J$12, MATCH($J$2, 참고!$B$5:$B$12, 0), MATCH(S$2, 참고!$C$4:$J$4, 0))</f>
        <v>0</v>
      </c>
      <c r="T192">
        <f>INDEX(참고!$C$5:$J$12, MATCH($J$2, 참고!$B$5:$B$12, 0), MATCH(T$2, 참고!$C$4:$J$4, 0))</f>
        <v>0</v>
      </c>
      <c r="U192">
        <f>INDEX(참고!$C$5:$J$12, MATCH($J$2, 참고!$B$5:$B$12, 0), MATCH(U$2, 참고!$C$4:$J$4, 0))</f>
        <v>0</v>
      </c>
    </row>
    <row r="193" spans="1:21">
      <c r="A193" t="s">
        <v>318</v>
      </c>
      <c r="B193" s="9">
        <v>85000</v>
      </c>
      <c r="C193">
        <f t="shared" si="2"/>
        <v>424995</v>
      </c>
      <c r="O193">
        <f>INDEX(참고!$C$5:$J$12, MATCH("생명", 참고!$B$5:$B$12, 0), MATCH("HP", 참고!$C$4:$J$4, 0))*J193
+INDEX(참고!$C$5:$J$12, MATCH("힘", 참고!$B$5:$B$12, 0), MATCH("HP", 참고!$C$4:$J$4, 0))*K193
+INDEX(참고!$C$5:$J$12, MATCH("근력", 참고!$B$5:$B$12, 0), MATCH("HP", 참고!$C$4:$J$4, 0))*L193
+INDEX(참고!$C$5:$J$12, MATCH("숙련도", 참고!$B$5:$B$12, 0), MATCH("HP", 참고!$C$4:$J$4, 0))*M193
+INDEX(참고!$C$5:$J$12, MATCH("행운", 참고!$B$5:$B$12, 0), MATCH("HP", 참고!$C$4:$J$4, 0))*N193</f>
        <v>0</v>
      </c>
      <c r="P193">
        <f>INDEX(참고!$C$5:$J$12, MATCH($J$2, 참고!$B$5:$B$12, 0), MATCH(P$2, 참고!$C$4:$J$4, 0))</f>
        <v>3</v>
      </c>
      <c r="Q193">
        <f>INDEX(참고!$C$5:$J$12, MATCH($J$2, 참고!$B$5:$B$12, 0), MATCH(Q$2, 참고!$C$4:$J$4, 0))</f>
        <v>1</v>
      </c>
      <c r="R193">
        <f>INDEX(참고!$C$5:$J$12, MATCH($J$2, 참고!$B$5:$B$12, 0), MATCH(R$2, 참고!$C$4:$J$4, 0))</f>
        <v>0</v>
      </c>
      <c r="S193">
        <f>INDEX(참고!$C$5:$J$12, MATCH($J$2, 참고!$B$5:$B$12, 0), MATCH(S$2, 참고!$C$4:$J$4, 0))</f>
        <v>0</v>
      </c>
      <c r="T193">
        <f>INDEX(참고!$C$5:$J$12, MATCH($J$2, 참고!$B$5:$B$12, 0), MATCH(T$2, 참고!$C$4:$J$4, 0))</f>
        <v>0</v>
      </c>
      <c r="U193">
        <f>INDEX(참고!$C$5:$J$12, MATCH($J$2, 참고!$B$5:$B$12, 0), MATCH(U$2, 참고!$C$4:$J$4, 0))</f>
        <v>0</v>
      </c>
    </row>
    <row r="194" spans="1:21">
      <c r="A194" t="s">
        <v>319</v>
      </c>
      <c r="B194" s="9">
        <v>87500</v>
      </c>
      <c r="C194">
        <f t="shared" si="2"/>
        <v>437495</v>
      </c>
      <c r="O194">
        <f>INDEX(참고!$C$5:$J$12, MATCH("생명", 참고!$B$5:$B$12, 0), MATCH("HP", 참고!$C$4:$J$4, 0))*J194
+INDEX(참고!$C$5:$J$12, MATCH("힘", 참고!$B$5:$B$12, 0), MATCH("HP", 참고!$C$4:$J$4, 0))*K194
+INDEX(참고!$C$5:$J$12, MATCH("근력", 참고!$B$5:$B$12, 0), MATCH("HP", 참고!$C$4:$J$4, 0))*L194
+INDEX(참고!$C$5:$J$12, MATCH("숙련도", 참고!$B$5:$B$12, 0), MATCH("HP", 참고!$C$4:$J$4, 0))*M194
+INDEX(참고!$C$5:$J$12, MATCH("행운", 참고!$B$5:$B$12, 0), MATCH("HP", 참고!$C$4:$J$4, 0))*N194</f>
        <v>0</v>
      </c>
      <c r="P194">
        <f>INDEX(참고!$C$5:$J$12, MATCH($J$2, 참고!$B$5:$B$12, 0), MATCH(P$2, 참고!$C$4:$J$4, 0))</f>
        <v>3</v>
      </c>
      <c r="Q194">
        <f>INDEX(참고!$C$5:$J$12, MATCH($J$2, 참고!$B$5:$B$12, 0), MATCH(Q$2, 참고!$C$4:$J$4, 0))</f>
        <v>1</v>
      </c>
      <c r="R194">
        <f>INDEX(참고!$C$5:$J$12, MATCH($J$2, 참고!$B$5:$B$12, 0), MATCH(R$2, 참고!$C$4:$J$4, 0))</f>
        <v>0</v>
      </c>
      <c r="S194">
        <f>INDEX(참고!$C$5:$J$12, MATCH($J$2, 참고!$B$5:$B$12, 0), MATCH(S$2, 참고!$C$4:$J$4, 0))</f>
        <v>0</v>
      </c>
      <c r="T194">
        <f>INDEX(참고!$C$5:$J$12, MATCH($J$2, 참고!$B$5:$B$12, 0), MATCH(T$2, 참고!$C$4:$J$4, 0))</f>
        <v>0</v>
      </c>
      <c r="U194">
        <f>INDEX(참고!$C$5:$J$12, MATCH($J$2, 참고!$B$5:$B$12, 0), MATCH(U$2, 참고!$C$4:$J$4, 0))</f>
        <v>0</v>
      </c>
    </row>
    <row r="195" spans="1:21">
      <c r="A195" t="s">
        <v>320</v>
      </c>
      <c r="B195" s="9">
        <v>90000</v>
      </c>
      <c r="C195">
        <f t="shared" si="2"/>
        <v>449995</v>
      </c>
      <c r="O195">
        <f>INDEX(참고!$C$5:$J$12, MATCH("생명", 참고!$B$5:$B$12, 0), MATCH("HP", 참고!$C$4:$J$4, 0))*J195
+INDEX(참고!$C$5:$J$12, MATCH("힘", 참고!$B$5:$B$12, 0), MATCH("HP", 참고!$C$4:$J$4, 0))*K195
+INDEX(참고!$C$5:$J$12, MATCH("근력", 참고!$B$5:$B$12, 0), MATCH("HP", 참고!$C$4:$J$4, 0))*L195
+INDEX(참고!$C$5:$J$12, MATCH("숙련도", 참고!$B$5:$B$12, 0), MATCH("HP", 참고!$C$4:$J$4, 0))*M195
+INDEX(참고!$C$5:$J$12, MATCH("행운", 참고!$B$5:$B$12, 0), MATCH("HP", 참고!$C$4:$J$4, 0))*N195</f>
        <v>0</v>
      </c>
      <c r="P195">
        <f>INDEX(참고!$C$5:$J$12, MATCH($J$2, 참고!$B$5:$B$12, 0), MATCH(P$2, 참고!$C$4:$J$4, 0))</f>
        <v>3</v>
      </c>
      <c r="Q195">
        <f>INDEX(참고!$C$5:$J$12, MATCH($J$2, 참고!$B$5:$B$12, 0), MATCH(Q$2, 참고!$C$4:$J$4, 0))</f>
        <v>1</v>
      </c>
      <c r="R195">
        <f>INDEX(참고!$C$5:$J$12, MATCH($J$2, 참고!$B$5:$B$12, 0), MATCH(R$2, 참고!$C$4:$J$4, 0))</f>
        <v>0</v>
      </c>
      <c r="S195">
        <f>INDEX(참고!$C$5:$J$12, MATCH($J$2, 참고!$B$5:$B$12, 0), MATCH(S$2, 참고!$C$4:$J$4, 0))</f>
        <v>0</v>
      </c>
      <c r="T195">
        <f>INDEX(참고!$C$5:$J$12, MATCH($J$2, 참고!$B$5:$B$12, 0), MATCH(T$2, 참고!$C$4:$J$4, 0))</f>
        <v>0</v>
      </c>
      <c r="U195">
        <f>INDEX(참고!$C$5:$J$12, MATCH($J$2, 참고!$B$5:$B$12, 0), MATCH(U$2, 참고!$C$4:$J$4, 0))</f>
        <v>0</v>
      </c>
    </row>
    <row r="196" spans="1:21">
      <c r="A196" t="s">
        <v>321</v>
      </c>
      <c r="B196" s="9">
        <v>700000</v>
      </c>
      <c r="C196">
        <f t="shared" ref="C196:C259" si="3">(B196-1)*$B$1</f>
        <v>3499995</v>
      </c>
      <c r="O196">
        <f>INDEX(참고!$C$5:$J$12, MATCH("생명", 참고!$B$5:$B$12, 0), MATCH("HP", 참고!$C$4:$J$4, 0))*J196
+INDEX(참고!$C$5:$J$12, MATCH("힘", 참고!$B$5:$B$12, 0), MATCH("HP", 참고!$C$4:$J$4, 0))*K196
+INDEX(참고!$C$5:$J$12, MATCH("근력", 참고!$B$5:$B$12, 0), MATCH("HP", 참고!$C$4:$J$4, 0))*L196
+INDEX(참고!$C$5:$J$12, MATCH("숙련도", 참고!$B$5:$B$12, 0), MATCH("HP", 참고!$C$4:$J$4, 0))*M196
+INDEX(참고!$C$5:$J$12, MATCH("행운", 참고!$B$5:$B$12, 0), MATCH("HP", 참고!$C$4:$J$4, 0))*N196</f>
        <v>0</v>
      </c>
      <c r="P196">
        <f>INDEX(참고!$C$5:$J$12, MATCH($J$2, 참고!$B$5:$B$12, 0), MATCH(P$2, 참고!$C$4:$J$4, 0))</f>
        <v>3</v>
      </c>
      <c r="Q196">
        <f>INDEX(참고!$C$5:$J$12, MATCH($J$2, 참고!$B$5:$B$12, 0), MATCH(Q$2, 참고!$C$4:$J$4, 0))</f>
        <v>1</v>
      </c>
      <c r="R196">
        <f>INDEX(참고!$C$5:$J$12, MATCH($J$2, 참고!$B$5:$B$12, 0), MATCH(R$2, 참고!$C$4:$J$4, 0))</f>
        <v>0</v>
      </c>
      <c r="S196">
        <f>INDEX(참고!$C$5:$J$12, MATCH($J$2, 참고!$B$5:$B$12, 0), MATCH(S$2, 참고!$C$4:$J$4, 0))</f>
        <v>0</v>
      </c>
      <c r="T196">
        <f>INDEX(참고!$C$5:$J$12, MATCH($J$2, 참고!$B$5:$B$12, 0), MATCH(T$2, 참고!$C$4:$J$4, 0))</f>
        <v>0</v>
      </c>
      <c r="U196">
        <f>INDEX(참고!$C$5:$J$12, MATCH($J$2, 참고!$B$5:$B$12, 0), MATCH(U$2, 참고!$C$4:$J$4, 0))</f>
        <v>0</v>
      </c>
    </row>
    <row r="197" spans="1:21">
      <c r="A197" t="s">
        <v>322</v>
      </c>
      <c r="B197" s="9">
        <v>800000</v>
      </c>
      <c r="C197">
        <f t="shared" si="3"/>
        <v>3999995</v>
      </c>
      <c r="O197">
        <f>INDEX(참고!$C$5:$J$12, MATCH("생명", 참고!$B$5:$B$12, 0), MATCH("HP", 참고!$C$4:$J$4, 0))*J197
+INDEX(참고!$C$5:$J$12, MATCH("힘", 참고!$B$5:$B$12, 0), MATCH("HP", 참고!$C$4:$J$4, 0))*K197
+INDEX(참고!$C$5:$J$12, MATCH("근력", 참고!$B$5:$B$12, 0), MATCH("HP", 참고!$C$4:$J$4, 0))*L197
+INDEX(참고!$C$5:$J$12, MATCH("숙련도", 참고!$B$5:$B$12, 0), MATCH("HP", 참고!$C$4:$J$4, 0))*M197
+INDEX(참고!$C$5:$J$12, MATCH("행운", 참고!$B$5:$B$12, 0), MATCH("HP", 참고!$C$4:$J$4, 0))*N197</f>
        <v>0</v>
      </c>
      <c r="P197">
        <f>INDEX(참고!$C$5:$J$12, MATCH($J$2, 참고!$B$5:$B$12, 0), MATCH(P$2, 참고!$C$4:$J$4, 0))</f>
        <v>3</v>
      </c>
      <c r="Q197">
        <f>INDEX(참고!$C$5:$J$12, MATCH($J$2, 참고!$B$5:$B$12, 0), MATCH(Q$2, 참고!$C$4:$J$4, 0))</f>
        <v>1</v>
      </c>
      <c r="R197">
        <f>INDEX(참고!$C$5:$J$12, MATCH($J$2, 참고!$B$5:$B$12, 0), MATCH(R$2, 참고!$C$4:$J$4, 0))</f>
        <v>0</v>
      </c>
      <c r="S197">
        <f>INDEX(참고!$C$5:$J$12, MATCH($J$2, 참고!$B$5:$B$12, 0), MATCH(S$2, 참고!$C$4:$J$4, 0))</f>
        <v>0</v>
      </c>
      <c r="T197">
        <f>INDEX(참고!$C$5:$J$12, MATCH($J$2, 참고!$B$5:$B$12, 0), MATCH(T$2, 참고!$C$4:$J$4, 0))</f>
        <v>0</v>
      </c>
      <c r="U197">
        <f>INDEX(참고!$C$5:$J$12, MATCH($J$2, 참고!$B$5:$B$12, 0), MATCH(U$2, 참고!$C$4:$J$4, 0))</f>
        <v>0</v>
      </c>
    </row>
    <row r="198" spans="1:21">
      <c r="A198" t="s">
        <v>323</v>
      </c>
      <c r="B198" s="9">
        <v>95000</v>
      </c>
      <c r="C198">
        <f t="shared" si="3"/>
        <v>474995</v>
      </c>
      <c r="O198">
        <f>INDEX(참고!$C$5:$J$12, MATCH("생명", 참고!$B$5:$B$12, 0), MATCH("HP", 참고!$C$4:$J$4, 0))*J198
+INDEX(참고!$C$5:$J$12, MATCH("힘", 참고!$B$5:$B$12, 0), MATCH("HP", 참고!$C$4:$J$4, 0))*K198
+INDEX(참고!$C$5:$J$12, MATCH("근력", 참고!$B$5:$B$12, 0), MATCH("HP", 참고!$C$4:$J$4, 0))*L198
+INDEX(참고!$C$5:$J$12, MATCH("숙련도", 참고!$B$5:$B$12, 0), MATCH("HP", 참고!$C$4:$J$4, 0))*M198
+INDEX(참고!$C$5:$J$12, MATCH("행운", 참고!$B$5:$B$12, 0), MATCH("HP", 참고!$C$4:$J$4, 0))*N198</f>
        <v>0</v>
      </c>
      <c r="P198">
        <f>INDEX(참고!$C$5:$J$12, MATCH($J$2, 참고!$B$5:$B$12, 0), MATCH(P$2, 참고!$C$4:$J$4, 0))</f>
        <v>3</v>
      </c>
      <c r="Q198">
        <f>INDEX(참고!$C$5:$J$12, MATCH($J$2, 참고!$B$5:$B$12, 0), MATCH(Q$2, 참고!$C$4:$J$4, 0))</f>
        <v>1</v>
      </c>
      <c r="R198">
        <f>INDEX(참고!$C$5:$J$12, MATCH($J$2, 참고!$B$5:$B$12, 0), MATCH(R$2, 참고!$C$4:$J$4, 0))</f>
        <v>0</v>
      </c>
      <c r="S198">
        <f>INDEX(참고!$C$5:$J$12, MATCH($J$2, 참고!$B$5:$B$12, 0), MATCH(S$2, 참고!$C$4:$J$4, 0))</f>
        <v>0</v>
      </c>
      <c r="T198">
        <f>INDEX(참고!$C$5:$J$12, MATCH($J$2, 참고!$B$5:$B$12, 0), MATCH(T$2, 참고!$C$4:$J$4, 0))</f>
        <v>0</v>
      </c>
      <c r="U198">
        <f>INDEX(참고!$C$5:$J$12, MATCH($J$2, 참고!$B$5:$B$12, 0), MATCH(U$2, 참고!$C$4:$J$4, 0))</f>
        <v>0</v>
      </c>
    </row>
    <row r="199" spans="1:21">
      <c r="A199" t="s">
        <v>324</v>
      </c>
      <c r="B199" s="9">
        <v>100000</v>
      </c>
      <c r="C199">
        <f t="shared" si="3"/>
        <v>499995</v>
      </c>
      <c r="O199">
        <f>INDEX(참고!$C$5:$J$12, MATCH("생명", 참고!$B$5:$B$12, 0), MATCH("HP", 참고!$C$4:$J$4, 0))*J199
+INDEX(참고!$C$5:$J$12, MATCH("힘", 참고!$B$5:$B$12, 0), MATCH("HP", 참고!$C$4:$J$4, 0))*K199
+INDEX(참고!$C$5:$J$12, MATCH("근력", 참고!$B$5:$B$12, 0), MATCH("HP", 참고!$C$4:$J$4, 0))*L199
+INDEX(참고!$C$5:$J$12, MATCH("숙련도", 참고!$B$5:$B$12, 0), MATCH("HP", 참고!$C$4:$J$4, 0))*M199
+INDEX(참고!$C$5:$J$12, MATCH("행운", 참고!$B$5:$B$12, 0), MATCH("HP", 참고!$C$4:$J$4, 0))*N199</f>
        <v>0</v>
      </c>
      <c r="P199">
        <f>INDEX(참고!$C$5:$J$12, MATCH($J$2, 참고!$B$5:$B$12, 0), MATCH(P$2, 참고!$C$4:$J$4, 0))</f>
        <v>3</v>
      </c>
      <c r="Q199">
        <f>INDEX(참고!$C$5:$J$12, MATCH($J$2, 참고!$B$5:$B$12, 0), MATCH(Q$2, 참고!$C$4:$J$4, 0))</f>
        <v>1</v>
      </c>
      <c r="R199">
        <f>INDEX(참고!$C$5:$J$12, MATCH($J$2, 참고!$B$5:$B$12, 0), MATCH(R$2, 참고!$C$4:$J$4, 0))</f>
        <v>0</v>
      </c>
      <c r="S199">
        <f>INDEX(참고!$C$5:$J$12, MATCH($J$2, 참고!$B$5:$B$12, 0), MATCH(S$2, 참고!$C$4:$J$4, 0))</f>
        <v>0</v>
      </c>
      <c r="T199">
        <f>INDEX(참고!$C$5:$J$12, MATCH($J$2, 참고!$B$5:$B$12, 0), MATCH(T$2, 참고!$C$4:$J$4, 0))</f>
        <v>0</v>
      </c>
      <c r="U199">
        <f>INDEX(참고!$C$5:$J$12, MATCH($J$2, 참고!$B$5:$B$12, 0), MATCH(U$2, 참고!$C$4:$J$4, 0))</f>
        <v>0</v>
      </c>
    </row>
    <row r="200" spans="1:21">
      <c r="A200" t="s">
        <v>325</v>
      </c>
      <c r="B200" s="9">
        <v>105000</v>
      </c>
      <c r="C200">
        <f t="shared" si="3"/>
        <v>524995</v>
      </c>
      <c r="O200">
        <f>INDEX(참고!$C$5:$J$12, MATCH("생명", 참고!$B$5:$B$12, 0), MATCH("HP", 참고!$C$4:$J$4, 0))*J200
+INDEX(참고!$C$5:$J$12, MATCH("힘", 참고!$B$5:$B$12, 0), MATCH("HP", 참고!$C$4:$J$4, 0))*K200
+INDEX(참고!$C$5:$J$12, MATCH("근력", 참고!$B$5:$B$12, 0), MATCH("HP", 참고!$C$4:$J$4, 0))*L200
+INDEX(참고!$C$5:$J$12, MATCH("숙련도", 참고!$B$5:$B$12, 0), MATCH("HP", 참고!$C$4:$J$4, 0))*M200
+INDEX(참고!$C$5:$J$12, MATCH("행운", 참고!$B$5:$B$12, 0), MATCH("HP", 참고!$C$4:$J$4, 0))*N200</f>
        <v>0</v>
      </c>
      <c r="P200">
        <f>INDEX(참고!$C$5:$J$12, MATCH($J$2, 참고!$B$5:$B$12, 0), MATCH(P$2, 참고!$C$4:$J$4, 0))</f>
        <v>3</v>
      </c>
      <c r="Q200">
        <f>INDEX(참고!$C$5:$J$12, MATCH($J$2, 참고!$B$5:$B$12, 0), MATCH(Q$2, 참고!$C$4:$J$4, 0))</f>
        <v>1</v>
      </c>
      <c r="R200">
        <f>INDEX(참고!$C$5:$J$12, MATCH($J$2, 참고!$B$5:$B$12, 0), MATCH(R$2, 참고!$C$4:$J$4, 0))</f>
        <v>0</v>
      </c>
      <c r="S200">
        <f>INDEX(참고!$C$5:$J$12, MATCH($J$2, 참고!$B$5:$B$12, 0), MATCH(S$2, 참고!$C$4:$J$4, 0))</f>
        <v>0</v>
      </c>
      <c r="T200">
        <f>INDEX(참고!$C$5:$J$12, MATCH($J$2, 참고!$B$5:$B$12, 0), MATCH(T$2, 참고!$C$4:$J$4, 0))</f>
        <v>0</v>
      </c>
      <c r="U200">
        <f>INDEX(참고!$C$5:$J$12, MATCH($J$2, 참고!$B$5:$B$12, 0), MATCH(U$2, 참고!$C$4:$J$4, 0))</f>
        <v>0</v>
      </c>
    </row>
    <row r="201" spans="1:21">
      <c r="A201" t="s">
        <v>326</v>
      </c>
      <c r="B201" s="9">
        <v>115000</v>
      </c>
      <c r="C201">
        <f t="shared" si="3"/>
        <v>574995</v>
      </c>
      <c r="O201">
        <f>INDEX(참고!$C$5:$J$12, MATCH("생명", 참고!$B$5:$B$12, 0), MATCH("HP", 참고!$C$4:$J$4, 0))*J201
+INDEX(참고!$C$5:$J$12, MATCH("힘", 참고!$B$5:$B$12, 0), MATCH("HP", 참고!$C$4:$J$4, 0))*K201
+INDEX(참고!$C$5:$J$12, MATCH("근력", 참고!$B$5:$B$12, 0), MATCH("HP", 참고!$C$4:$J$4, 0))*L201
+INDEX(참고!$C$5:$J$12, MATCH("숙련도", 참고!$B$5:$B$12, 0), MATCH("HP", 참고!$C$4:$J$4, 0))*M201
+INDEX(참고!$C$5:$J$12, MATCH("행운", 참고!$B$5:$B$12, 0), MATCH("HP", 참고!$C$4:$J$4, 0))*N201</f>
        <v>0</v>
      </c>
      <c r="P201">
        <f>INDEX(참고!$C$5:$J$12, MATCH($J$2, 참고!$B$5:$B$12, 0), MATCH(P$2, 참고!$C$4:$J$4, 0))</f>
        <v>3</v>
      </c>
      <c r="Q201">
        <f>INDEX(참고!$C$5:$J$12, MATCH($J$2, 참고!$B$5:$B$12, 0), MATCH(Q$2, 참고!$C$4:$J$4, 0))</f>
        <v>1</v>
      </c>
      <c r="R201">
        <f>INDEX(참고!$C$5:$J$12, MATCH($J$2, 참고!$B$5:$B$12, 0), MATCH(R$2, 참고!$C$4:$J$4, 0))</f>
        <v>0</v>
      </c>
      <c r="S201">
        <f>INDEX(참고!$C$5:$J$12, MATCH($J$2, 참고!$B$5:$B$12, 0), MATCH(S$2, 참고!$C$4:$J$4, 0))</f>
        <v>0</v>
      </c>
      <c r="T201">
        <f>INDEX(참고!$C$5:$J$12, MATCH($J$2, 참고!$B$5:$B$12, 0), MATCH(T$2, 참고!$C$4:$J$4, 0))</f>
        <v>0</v>
      </c>
      <c r="U201">
        <f>INDEX(참고!$C$5:$J$12, MATCH($J$2, 참고!$B$5:$B$12, 0), MATCH(U$2, 참고!$C$4:$J$4, 0))</f>
        <v>0</v>
      </c>
    </row>
    <row r="202" spans="1:21">
      <c r="A202" t="s">
        <v>327</v>
      </c>
      <c r="B202" s="9">
        <v>120000</v>
      </c>
      <c r="C202">
        <f t="shared" si="3"/>
        <v>599995</v>
      </c>
      <c r="O202">
        <f>INDEX(참고!$C$5:$J$12, MATCH("생명", 참고!$B$5:$B$12, 0), MATCH("HP", 참고!$C$4:$J$4, 0))*J202
+INDEX(참고!$C$5:$J$12, MATCH("힘", 참고!$B$5:$B$12, 0), MATCH("HP", 참고!$C$4:$J$4, 0))*K202
+INDEX(참고!$C$5:$J$12, MATCH("근력", 참고!$B$5:$B$12, 0), MATCH("HP", 참고!$C$4:$J$4, 0))*L202
+INDEX(참고!$C$5:$J$12, MATCH("숙련도", 참고!$B$5:$B$12, 0), MATCH("HP", 참고!$C$4:$J$4, 0))*M202
+INDEX(참고!$C$5:$J$12, MATCH("행운", 참고!$B$5:$B$12, 0), MATCH("HP", 참고!$C$4:$J$4, 0))*N202</f>
        <v>0</v>
      </c>
      <c r="P202">
        <f>INDEX(참고!$C$5:$J$12, MATCH($J$2, 참고!$B$5:$B$12, 0), MATCH(P$2, 참고!$C$4:$J$4, 0))</f>
        <v>3</v>
      </c>
      <c r="Q202">
        <f>INDEX(참고!$C$5:$J$12, MATCH($J$2, 참고!$B$5:$B$12, 0), MATCH(Q$2, 참고!$C$4:$J$4, 0))</f>
        <v>1</v>
      </c>
      <c r="R202">
        <f>INDEX(참고!$C$5:$J$12, MATCH($J$2, 참고!$B$5:$B$12, 0), MATCH(R$2, 참고!$C$4:$J$4, 0))</f>
        <v>0</v>
      </c>
      <c r="S202">
        <f>INDEX(참고!$C$5:$J$12, MATCH($J$2, 참고!$B$5:$B$12, 0), MATCH(S$2, 참고!$C$4:$J$4, 0))</f>
        <v>0</v>
      </c>
      <c r="T202">
        <f>INDEX(참고!$C$5:$J$12, MATCH($J$2, 참고!$B$5:$B$12, 0), MATCH(T$2, 참고!$C$4:$J$4, 0))</f>
        <v>0</v>
      </c>
      <c r="U202">
        <f>INDEX(참고!$C$5:$J$12, MATCH($J$2, 참고!$B$5:$B$12, 0), MATCH(U$2, 참고!$C$4:$J$4, 0))</f>
        <v>0</v>
      </c>
    </row>
    <row r="203" spans="1:21">
      <c r="A203" t="s">
        <v>328</v>
      </c>
      <c r="B203" s="9">
        <v>110000</v>
      </c>
      <c r="C203">
        <f t="shared" si="3"/>
        <v>549995</v>
      </c>
      <c r="O203">
        <f>INDEX(참고!$C$5:$J$12, MATCH("생명", 참고!$B$5:$B$12, 0), MATCH("HP", 참고!$C$4:$J$4, 0))*J203
+INDEX(참고!$C$5:$J$12, MATCH("힘", 참고!$B$5:$B$12, 0), MATCH("HP", 참고!$C$4:$J$4, 0))*K203
+INDEX(참고!$C$5:$J$12, MATCH("근력", 참고!$B$5:$B$12, 0), MATCH("HP", 참고!$C$4:$J$4, 0))*L203
+INDEX(참고!$C$5:$J$12, MATCH("숙련도", 참고!$B$5:$B$12, 0), MATCH("HP", 참고!$C$4:$J$4, 0))*M203
+INDEX(참고!$C$5:$J$12, MATCH("행운", 참고!$B$5:$B$12, 0), MATCH("HP", 참고!$C$4:$J$4, 0))*N203</f>
        <v>0</v>
      </c>
      <c r="P203">
        <f>INDEX(참고!$C$5:$J$12, MATCH($J$2, 참고!$B$5:$B$12, 0), MATCH(P$2, 참고!$C$4:$J$4, 0))</f>
        <v>3</v>
      </c>
      <c r="Q203">
        <f>INDEX(참고!$C$5:$J$12, MATCH($J$2, 참고!$B$5:$B$12, 0), MATCH(Q$2, 참고!$C$4:$J$4, 0))</f>
        <v>1</v>
      </c>
      <c r="R203">
        <f>INDEX(참고!$C$5:$J$12, MATCH($J$2, 참고!$B$5:$B$12, 0), MATCH(R$2, 참고!$C$4:$J$4, 0))</f>
        <v>0</v>
      </c>
      <c r="S203">
        <f>INDEX(참고!$C$5:$J$12, MATCH($J$2, 참고!$B$5:$B$12, 0), MATCH(S$2, 참고!$C$4:$J$4, 0))</f>
        <v>0</v>
      </c>
      <c r="T203">
        <f>INDEX(참고!$C$5:$J$12, MATCH($J$2, 참고!$B$5:$B$12, 0), MATCH(T$2, 참고!$C$4:$J$4, 0))</f>
        <v>0</v>
      </c>
      <c r="U203">
        <f>INDEX(참고!$C$5:$J$12, MATCH($J$2, 참고!$B$5:$B$12, 0), MATCH(U$2, 참고!$C$4:$J$4, 0))</f>
        <v>0</v>
      </c>
    </row>
    <row r="204" spans="1:21">
      <c r="A204" t="s">
        <v>329</v>
      </c>
      <c r="B204" s="9">
        <v>125000</v>
      </c>
      <c r="C204">
        <f t="shared" si="3"/>
        <v>624995</v>
      </c>
      <c r="O204">
        <f>INDEX(참고!$C$5:$J$12, MATCH("생명", 참고!$B$5:$B$12, 0), MATCH("HP", 참고!$C$4:$J$4, 0))*J204
+INDEX(참고!$C$5:$J$12, MATCH("힘", 참고!$B$5:$B$12, 0), MATCH("HP", 참고!$C$4:$J$4, 0))*K204
+INDEX(참고!$C$5:$J$12, MATCH("근력", 참고!$B$5:$B$12, 0), MATCH("HP", 참고!$C$4:$J$4, 0))*L204
+INDEX(참고!$C$5:$J$12, MATCH("숙련도", 참고!$B$5:$B$12, 0), MATCH("HP", 참고!$C$4:$J$4, 0))*M204
+INDEX(참고!$C$5:$J$12, MATCH("행운", 참고!$B$5:$B$12, 0), MATCH("HP", 참고!$C$4:$J$4, 0))*N204</f>
        <v>0</v>
      </c>
      <c r="P204">
        <f>INDEX(참고!$C$5:$J$12, MATCH($J$2, 참고!$B$5:$B$12, 0), MATCH(P$2, 참고!$C$4:$J$4, 0))</f>
        <v>3</v>
      </c>
      <c r="Q204">
        <f>INDEX(참고!$C$5:$J$12, MATCH($J$2, 참고!$B$5:$B$12, 0), MATCH(Q$2, 참고!$C$4:$J$4, 0))</f>
        <v>1</v>
      </c>
      <c r="R204">
        <f>INDEX(참고!$C$5:$J$12, MATCH($J$2, 참고!$B$5:$B$12, 0), MATCH(R$2, 참고!$C$4:$J$4, 0))</f>
        <v>0</v>
      </c>
      <c r="S204">
        <f>INDEX(참고!$C$5:$J$12, MATCH($J$2, 참고!$B$5:$B$12, 0), MATCH(S$2, 참고!$C$4:$J$4, 0))</f>
        <v>0</v>
      </c>
      <c r="T204">
        <f>INDEX(참고!$C$5:$J$12, MATCH($J$2, 참고!$B$5:$B$12, 0), MATCH(T$2, 참고!$C$4:$J$4, 0))</f>
        <v>0</v>
      </c>
      <c r="U204">
        <f>INDEX(참고!$C$5:$J$12, MATCH($J$2, 참고!$B$5:$B$12, 0), MATCH(U$2, 참고!$C$4:$J$4, 0))</f>
        <v>0</v>
      </c>
    </row>
    <row r="205" spans="1:21">
      <c r="A205" t="s">
        <v>330</v>
      </c>
      <c r="B205" s="9">
        <v>130000</v>
      </c>
      <c r="C205">
        <f t="shared" si="3"/>
        <v>649995</v>
      </c>
      <c r="O205">
        <f>INDEX(참고!$C$5:$J$12, MATCH("생명", 참고!$B$5:$B$12, 0), MATCH("HP", 참고!$C$4:$J$4, 0))*J205
+INDEX(참고!$C$5:$J$12, MATCH("힘", 참고!$B$5:$B$12, 0), MATCH("HP", 참고!$C$4:$J$4, 0))*K205
+INDEX(참고!$C$5:$J$12, MATCH("근력", 참고!$B$5:$B$12, 0), MATCH("HP", 참고!$C$4:$J$4, 0))*L205
+INDEX(참고!$C$5:$J$12, MATCH("숙련도", 참고!$B$5:$B$12, 0), MATCH("HP", 참고!$C$4:$J$4, 0))*M205
+INDEX(참고!$C$5:$J$12, MATCH("행운", 참고!$B$5:$B$12, 0), MATCH("HP", 참고!$C$4:$J$4, 0))*N205</f>
        <v>0</v>
      </c>
      <c r="P205">
        <f>INDEX(참고!$C$5:$J$12, MATCH($J$2, 참고!$B$5:$B$12, 0), MATCH(P$2, 참고!$C$4:$J$4, 0))</f>
        <v>3</v>
      </c>
      <c r="Q205">
        <f>INDEX(참고!$C$5:$J$12, MATCH($J$2, 참고!$B$5:$B$12, 0), MATCH(Q$2, 참고!$C$4:$J$4, 0))</f>
        <v>1</v>
      </c>
      <c r="R205">
        <f>INDEX(참고!$C$5:$J$12, MATCH($J$2, 참고!$B$5:$B$12, 0), MATCH(R$2, 참고!$C$4:$J$4, 0))</f>
        <v>0</v>
      </c>
      <c r="S205">
        <f>INDEX(참고!$C$5:$J$12, MATCH($J$2, 참고!$B$5:$B$12, 0), MATCH(S$2, 참고!$C$4:$J$4, 0))</f>
        <v>0</v>
      </c>
      <c r="T205">
        <f>INDEX(참고!$C$5:$J$12, MATCH($J$2, 참고!$B$5:$B$12, 0), MATCH(T$2, 참고!$C$4:$J$4, 0))</f>
        <v>0</v>
      </c>
      <c r="U205">
        <f>INDEX(참고!$C$5:$J$12, MATCH($J$2, 참고!$B$5:$B$12, 0), MATCH(U$2, 참고!$C$4:$J$4, 0))</f>
        <v>0</v>
      </c>
    </row>
    <row r="206" spans="1:21">
      <c r="A206" t="s">
        <v>331</v>
      </c>
      <c r="B206" s="9">
        <v>135000</v>
      </c>
      <c r="C206">
        <f t="shared" si="3"/>
        <v>674995</v>
      </c>
      <c r="O206">
        <f>INDEX(참고!$C$5:$J$12, MATCH("생명", 참고!$B$5:$B$12, 0), MATCH("HP", 참고!$C$4:$J$4, 0))*J206
+INDEX(참고!$C$5:$J$12, MATCH("힘", 참고!$B$5:$B$12, 0), MATCH("HP", 참고!$C$4:$J$4, 0))*K206
+INDEX(참고!$C$5:$J$12, MATCH("근력", 참고!$B$5:$B$12, 0), MATCH("HP", 참고!$C$4:$J$4, 0))*L206
+INDEX(참고!$C$5:$J$12, MATCH("숙련도", 참고!$B$5:$B$12, 0), MATCH("HP", 참고!$C$4:$J$4, 0))*M206
+INDEX(참고!$C$5:$J$12, MATCH("행운", 참고!$B$5:$B$12, 0), MATCH("HP", 참고!$C$4:$J$4, 0))*N206</f>
        <v>0</v>
      </c>
      <c r="P206">
        <f>INDEX(참고!$C$5:$J$12, MATCH($J$2, 참고!$B$5:$B$12, 0), MATCH(P$2, 참고!$C$4:$J$4, 0))</f>
        <v>3</v>
      </c>
      <c r="Q206">
        <f>INDEX(참고!$C$5:$J$12, MATCH($J$2, 참고!$B$5:$B$12, 0), MATCH(Q$2, 참고!$C$4:$J$4, 0))</f>
        <v>1</v>
      </c>
      <c r="R206">
        <f>INDEX(참고!$C$5:$J$12, MATCH($J$2, 참고!$B$5:$B$12, 0), MATCH(R$2, 참고!$C$4:$J$4, 0))</f>
        <v>0</v>
      </c>
      <c r="S206">
        <f>INDEX(참고!$C$5:$J$12, MATCH($J$2, 참고!$B$5:$B$12, 0), MATCH(S$2, 참고!$C$4:$J$4, 0))</f>
        <v>0</v>
      </c>
      <c r="T206">
        <f>INDEX(참고!$C$5:$J$12, MATCH($J$2, 참고!$B$5:$B$12, 0), MATCH(T$2, 참고!$C$4:$J$4, 0))</f>
        <v>0</v>
      </c>
      <c r="U206">
        <f>INDEX(참고!$C$5:$J$12, MATCH($J$2, 참고!$B$5:$B$12, 0), MATCH(U$2, 참고!$C$4:$J$4, 0))</f>
        <v>0</v>
      </c>
    </row>
    <row r="207" spans="1:21">
      <c r="A207" t="s">
        <v>332</v>
      </c>
      <c r="B207" s="9">
        <v>140000</v>
      </c>
      <c r="C207">
        <f t="shared" si="3"/>
        <v>699995</v>
      </c>
      <c r="O207">
        <f>INDEX(참고!$C$5:$J$12, MATCH("생명", 참고!$B$5:$B$12, 0), MATCH("HP", 참고!$C$4:$J$4, 0))*J207
+INDEX(참고!$C$5:$J$12, MATCH("힘", 참고!$B$5:$B$12, 0), MATCH("HP", 참고!$C$4:$J$4, 0))*K207
+INDEX(참고!$C$5:$J$12, MATCH("근력", 참고!$B$5:$B$12, 0), MATCH("HP", 참고!$C$4:$J$4, 0))*L207
+INDEX(참고!$C$5:$J$12, MATCH("숙련도", 참고!$B$5:$B$12, 0), MATCH("HP", 참고!$C$4:$J$4, 0))*M207
+INDEX(참고!$C$5:$J$12, MATCH("행운", 참고!$B$5:$B$12, 0), MATCH("HP", 참고!$C$4:$J$4, 0))*N207</f>
        <v>0</v>
      </c>
      <c r="P207">
        <f>INDEX(참고!$C$5:$J$12, MATCH($J$2, 참고!$B$5:$B$12, 0), MATCH(P$2, 참고!$C$4:$J$4, 0))</f>
        <v>3</v>
      </c>
      <c r="Q207">
        <f>INDEX(참고!$C$5:$J$12, MATCH($J$2, 참고!$B$5:$B$12, 0), MATCH(Q$2, 참고!$C$4:$J$4, 0))</f>
        <v>1</v>
      </c>
      <c r="R207">
        <f>INDEX(참고!$C$5:$J$12, MATCH($J$2, 참고!$B$5:$B$12, 0), MATCH(R$2, 참고!$C$4:$J$4, 0))</f>
        <v>0</v>
      </c>
      <c r="S207">
        <f>INDEX(참고!$C$5:$J$12, MATCH($J$2, 참고!$B$5:$B$12, 0), MATCH(S$2, 참고!$C$4:$J$4, 0))</f>
        <v>0</v>
      </c>
      <c r="T207">
        <f>INDEX(참고!$C$5:$J$12, MATCH($J$2, 참고!$B$5:$B$12, 0), MATCH(T$2, 참고!$C$4:$J$4, 0))</f>
        <v>0</v>
      </c>
      <c r="U207">
        <f>INDEX(참고!$C$5:$J$12, MATCH($J$2, 참고!$B$5:$B$12, 0), MATCH(U$2, 참고!$C$4:$J$4, 0))</f>
        <v>0</v>
      </c>
    </row>
    <row r="208" spans="1:21">
      <c r="A208" t="s">
        <v>333</v>
      </c>
      <c r="B208" s="9">
        <v>145000</v>
      </c>
      <c r="C208">
        <f t="shared" si="3"/>
        <v>724995</v>
      </c>
      <c r="O208">
        <f>INDEX(참고!$C$5:$J$12, MATCH("생명", 참고!$B$5:$B$12, 0), MATCH("HP", 참고!$C$4:$J$4, 0))*J208
+INDEX(참고!$C$5:$J$12, MATCH("힘", 참고!$B$5:$B$12, 0), MATCH("HP", 참고!$C$4:$J$4, 0))*K208
+INDEX(참고!$C$5:$J$12, MATCH("근력", 참고!$B$5:$B$12, 0), MATCH("HP", 참고!$C$4:$J$4, 0))*L208
+INDEX(참고!$C$5:$J$12, MATCH("숙련도", 참고!$B$5:$B$12, 0), MATCH("HP", 참고!$C$4:$J$4, 0))*M208
+INDEX(참고!$C$5:$J$12, MATCH("행운", 참고!$B$5:$B$12, 0), MATCH("HP", 참고!$C$4:$J$4, 0))*N208</f>
        <v>0</v>
      </c>
      <c r="P208">
        <f>INDEX(참고!$C$5:$J$12, MATCH($J$2, 참고!$B$5:$B$12, 0), MATCH(P$2, 참고!$C$4:$J$4, 0))</f>
        <v>3</v>
      </c>
      <c r="Q208">
        <f>INDEX(참고!$C$5:$J$12, MATCH($J$2, 참고!$B$5:$B$12, 0), MATCH(Q$2, 참고!$C$4:$J$4, 0))</f>
        <v>1</v>
      </c>
      <c r="R208">
        <f>INDEX(참고!$C$5:$J$12, MATCH($J$2, 참고!$B$5:$B$12, 0), MATCH(R$2, 참고!$C$4:$J$4, 0))</f>
        <v>0</v>
      </c>
      <c r="S208">
        <f>INDEX(참고!$C$5:$J$12, MATCH($J$2, 참고!$B$5:$B$12, 0), MATCH(S$2, 참고!$C$4:$J$4, 0))</f>
        <v>0</v>
      </c>
      <c r="T208">
        <f>INDEX(참고!$C$5:$J$12, MATCH($J$2, 참고!$B$5:$B$12, 0), MATCH(T$2, 참고!$C$4:$J$4, 0))</f>
        <v>0</v>
      </c>
      <c r="U208">
        <f>INDEX(참고!$C$5:$J$12, MATCH($J$2, 참고!$B$5:$B$12, 0), MATCH(U$2, 참고!$C$4:$J$4, 0))</f>
        <v>0</v>
      </c>
    </row>
    <row r="209" spans="1:21">
      <c r="A209" t="s">
        <v>334</v>
      </c>
      <c r="B209" s="9">
        <v>150000</v>
      </c>
      <c r="C209">
        <f t="shared" si="3"/>
        <v>749995</v>
      </c>
      <c r="O209">
        <f>INDEX(참고!$C$5:$J$12, MATCH("생명", 참고!$B$5:$B$12, 0), MATCH("HP", 참고!$C$4:$J$4, 0))*J209
+INDEX(참고!$C$5:$J$12, MATCH("힘", 참고!$B$5:$B$12, 0), MATCH("HP", 참고!$C$4:$J$4, 0))*K209
+INDEX(참고!$C$5:$J$12, MATCH("근력", 참고!$B$5:$B$12, 0), MATCH("HP", 참고!$C$4:$J$4, 0))*L209
+INDEX(참고!$C$5:$J$12, MATCH("숙련도", 참고!$B$5:$B$12, 0), MATCH("HP", 참고!$C$4:$J$4, 0))*M209
+INDEX(참고!$C$5:$J$12, MATCH("행운", 참고!$B$5:$B$12, 0), MATCH("HP", 참고!$C$4:$J$4, 0))*N209</f>
        <v>0</v>
      </c>
      <c r="P209">
        <f>INDEX(참고!$C$5:$J$12, MATCH($J$2, 참고!$B$5:$B$12, 0), MATCH(P$2, 참고!$C$4:$J$4, 0))</f>
        <v>3</v>
      </c>
      <c r="Q209">
        <f>INDEX(참고!$C$5:$J$12, MATCH($J$2, 참고!$B$5:$B$12, 0), MATCH(Q$2, 참고!$C$4:$J$4, 0))</f>
        <v>1</v>
      </c>
      <c r="R209">
        <f>INDEX(참고!$C$5:$J$12, MATCH($J$2, 참고!$B$5:$B$12, 0), MATCH(R$2, 참고!$C$4:$J$4, 0))</f>
        <v>0</v>
      </c>
      <c r="S209">
        <f>INDEX(참고!$C$5:$J$12, MATCH($J$2, 참고!$B$5:$B$12, 0), MATCH(S$2, 참고!$C$4:$J$4, 0))</f>
        <v>0</v>
      </c>
      <c r="T209">
        <f>INDEX(참고!$C$5:$J$12, MATCH($J$2, 참고!$B$5:$B$12, 0), MATCH(T$2, 참고!$C$4:$J$4, 0))</f>
        <v>0</v>
      </c>
      <c r="U209">
        <f>INDEX(참고!$C$5:$J$12, MATCH($J$2, 참고!$B$5:$B$12, 0), MATCH(U$2, 참고!$C$4:$J$4, 0))</f>
        <v>0</v>
      </c>
    </row>
    <row r="210" spans="1:21">
      <c r="A210" t="s">
        <v>335</v>
      </c>
      <c r="B210" s="9">
        <v>155000</v>
      </c>
      <c r="C210">
        <f t="shared" si="3"/>
        <v>774995</v>
      </c>
      <c r="O210">
        <f>INDEX(참고!$C$5:$J$12, MATCH("생명", 참고!$B$5:$B$12, 0), MATCH("HP", 참고!$C$4:$J$4, 0))*J210
+INDEX(참고!$C$5:$J$12, MATCH("힘", 참고!$B$5:$B$12, 0), MATCH("HP", 참고!$C$4:$J$4, 0))*K210
+INDEX(참고!$C$5:$J$12, MATCH("근력", 참고!$B$5:$B$12, 0), MATCH("HP", 참고!$C$4:$J$4, 0))*L210
+INDEX(참고!$C$5:$J$12, MATCH("숙련도", 참고!$B$5:$B$12, 0), MATCH("HP", 참고!$C$4:$J$4, 0))*M210
+INDEX(참고!$C$5:$J$12, MATCH("행운", 참고!$B$5:$B$12, 0), MATCH("HP", 참고!$C$4:$J$4, 0))*N210</f>
        <v>0</v>
      </c>
      <c r="P210">
        <f>INDEX(참고!$C$5:$J$12, MATCH($J$2, 참고!$B$5:$B$12, 0), MATCH(P$2, 참고!$C$4:$J$4, 0))</f>
        <v>3</v>
      </c>
      <c r="Q210">
        <f>INDEX(참고!$C$5:$J$12, MATCH($J$2, 참고!$B$5:$B$12, 0), MATCH(Q$2, 참고!$C$4:$J$4, 0))</f>
        <v>1</v>
      </c>
      <c r="R210">
        <f>INDEX(참고!$C$5:$J$12, MATCH($J$2, 참고!$B$5:$B$12, 0), MATCH(R$2, 참고!$C$4:$J$4, 0))</f>
        <v>0</v>
      </c>
      <c r="S210">
        <f>INDEX(참고!$C$5:$J$12, MATCH($J$2, 참고!$B$5:$B$12, 0), MATCH(S$2, 참고!$C$4:$J$4, 0))</f>
        <v>0</v>
      </c>
      <c r="T210">
        <f>INDEX(참고!$C$5:$J$12, MATCH($J$2, 참고!$B$5:$B$12, 0), MATCH(T$2, 참고!$C$4:$J$4, 0))</f>
        <v>0</v>
      </c>
      <c r="U210">
        <f>INDEX(참고!$C$5:$J$12, MATCH($J$2, 참고!$B$5:$B$12, 0), MATCH(U$2, 참고!$C$4:$J$4, 0))</f>
        <v>0</v>
      </c>
    </row>
    <row r="211" spans="1:21">
      <c r="A211" t="s">
        <v>336</v>
      </c>
      <c r="B211" s="9">
        <v>160000</v>
      </c>
      <c r="C211">
        <f t="shared" si="3"/>
        <v>799995</v>
      </c>
      <c r="O211">
        <f>INDEX(참고!$C$5:$J$12, MATCH("생명", 참고!$B$5:$B$12, 0), MATCH("HP", 참고!$C$4:$J$4, 0))*J211
+INDEX(참고!$C$5:$J$12, MATCH("힘", 참고!$B$5:$B$12, 0), MATCH("HP", 참고!$C$4:$J$4, 0))*K211
+INDEX(참고!$C$5:$J$12, MATCH("근력", 참고!$B$5:$B$12, 0), MATCH("HP", 참고!$C$4:$J$4, 0))*L211
+INDEX(참고!$C$5:$J$12, MATCH("숙련도", 참고!$B$5:$B$12, 0), MATCH("HP", 참고!$C$4:$J$4, 0))*M211
+INDEX(참고!$C$5:$J$12, MATCH("행운", 참고!$B$5:$B$12, 0), MATCH("HP", 참고!$C$4:$J$4, 0))*N211</f>
        <v>0</v>
      </c>
      <c r="P211">
        <f>INDEX(참고!$C$5:$J$12, MATCH($J$2, 참고!$B$5:$B$12, 0), MATCH(P$2, 참고!$C$4:$J$4, 0))</f>
        <v>3</v>
      </c>
      <c r="Q211">
        <f>INDEX(참고!$C$5:$J$12, MATCH($J$2, 참고!$B$5:$B$12, 0), MATCH(Q$2, 참고!$C$4:$J$4, 0))</f>
        <v>1</v>
      </c>
      <c r="R211">
        <f>INDEX(참고!$C$5:$J$12, MATCH($J$2, 참고!$B$5:$B$12, 0), MATCH(R$2, 참고!$C$4:$J$4, 0))</f>
        <v>0</v>
      </c>
      <c r="S211">
        <f>INDEX(참고!$C$5:$J$12, MATCH($J$2, 참고!$B$5:$B$12, 0), MATCH(S$2, 참고!$C$4:$J$4, 0))</f>
        <v>0</v>
      </c>
      <c r="T211">
        <f>INDEX(참고!$C$5:$J$12, MATCH($J$2, 참고!$B$5:$B$12, 0), MATCH(T$2, 참고!$C$4:$J$4, 0))</f>
        <v>0</v>
      </c>
      <c r="U211">
        <f>INDEX(참고!$C$5:$J$12, MATCH($J$2, 참고!$B$5:$B$12, 0), MATCH(U$2, 참고!$C$4:$J$4, 0))</f>
        <v>0</v>
      </c>
    </row>
    <row r="212" spans="1:21">
      <c r="A212" t="s">
        <v>337</v>
      </c>
      <c r="B212" s="9">
        <v>550000</v>
      </c>
      <c r="C212">
        <f t="shared" si="3"/>
        <v>2749995</v>
      </c>
      <c r="O212">
        <f>INDEX(참고!$C$5:$J$12, MATCH("생명", 참고!$B$5:$B$12, 0), MATCH("HP", 참고!$C$4:$J$4, 0))*J212
+INDEX(참고!$C$5:$J$12, MATCH("힘", 참고!$B$5:$B$12, 0), MATCH("HP", 참고!$C$4:$J$4, 0))*K212
+INDEX(참고!$C$5:$J$12, MATCH("근력", 참고!$B$5:$B$12, 0), MATCH("HP", 참고!$C$4:$J$4, 0))*L212
+INDEX(참고!$C$5:$J$12, MATCH("숙련도", 참고!$B$5:$B$12, 0), MATCH("HP", 참고!$C$4:$J$4, 0))*M212
+INDEX(참고!$C$5:$J$12, MATCH("행운", 참고!$B$5:$B$12, 0), MATCH("HP", 참고!$C$4:$J$4, 0))*N212</f>
        <v>0</v>
      </c>
      <c r="P212">
        <f>INDEX(참고!$C$5:$J$12, MATCH($J$2, 참고!$B$5:$B$12, 0), MATCH(P$2, 참고!$C$4:$J$4, 0))</f>
        <v>3</v>
      </c>
      <c r="Q212">
        <f>INDEX(참고!$C$5:$J$12, MATCH($J$2, 참고!$B$5:$B$12, 0), MATCH(Q$2, 참고!$C$4:$J$4, 0))</f>
        <v>1</v>
      </c>
      <c r="R212">
        <f>INDEX(참고!$C$5:$J$12, MATCH($J$2, 참고!$B$5:$B$12, 0), MATCH(R$2, 참고!$C$4:$J$4, 0))</f>
        <v>0</v>
      </c>
      <c r="S212">
        <f>INDEX(참고!$C$5:$J$12, MATCH($J$2, 참고!$B$5:$B$12, 0), MATCH(S$2, 참고!$C$4:$J$4, 0))</f>
        <v>0</v>
      </c>
      <c r="T212">
        <f>INDEX(참고!$C$5:$J$12, MATCH($J$2, 참고!$B$5:$B$12, 0), MATCH(T$2, 참고!$C$4:$J$4, 0))</f>
        <v>0</v>
      </c>
      <c r="U212">
        <f>INDEX(참고!$C$5:$J$12, MATCH($J$2, 참고!$B$5:$B$12, 0), MATCH(U$2, 참고!$C$4:$J$4, 0))</f>
        <v>0</v>
      </c>
    </row>
    <row r="213" spans="1:21">
      <c r="A213" t="s">
        <v>338</v>
      </c>
      <c r="B213" s="9">
        <v>600000</v>
      </c>
      <c r="C213">
        <f t="shared" si="3"/>
        <v>2999995</v>
      </c>
      <c r="O213">
        <f>INDEX(참고!$C$5:$J$12, MATCH("생명", 참고!$B$5:$B$12, 0), MATCH("HP", 참고!$C$4:$J$4, 0))*J213
+INDEX(참고!$C$5:$J$12, MATCH("힘", 참고!$B$5:$B$12, 0), MATCH("HP", 참고!$C$4:$J$4, 0))*K213
+INDEX(참고!$C$5:$J$12, MATCH("근력", 참고!$B$5:$B$12, 0), MATCH("HP", 참고!$C$4:$J$4, 0))*L213
+INDEX(참고!$C$5:$J$12, MATCH("숙련도", 참고!$B$5:$B$12, 0), MATCH("HP", 참고!$C$4:$J$4, 0))*M213
+INDEX(참고!$C$5:$J$12, MATCH("행운", 참고!$B$5:$B$12, 0), MATCH("HP", 참고!$C$4:$J$4, 0))*N213</f>
        <v>0</v>
      </c>
      <c r="P213">
        <f>INDEX(참고!$C$5:$J$12, MATCH($J$2, 참고!$B$5:$B$12, 0), MATCH(P$2, 참고!$C$4:$J$4, 0))</f>
        <v>3</v>
      </c>
      <c r="Q213">
        <f>INDEX(참고!$C$5:$J$12, MATCH($J$2, 참고!$B$5:$B$12, 0), MATCH(Q$2, 참고!$C$4:$J$4, 0))</f>
        <v>1</v>
      </c>
      <c r="R213">
        <f>INDEX(참고!$C$5:$J$12, MATCH($J$2, 참고!$B$5:$B$12, 0), MATCH(R$2, 참고!$C$4:$J$4, 0))</f>
        <v>0</v>
      </c>
      <c r="S213">
        <f>INDEX(참고!$C$5:$J$12, MATCH($J$2, 참고!$B$5:$B$12, 0), MATCH(S$2, 참고!$C$4:$J$4, 0))</f>
        <v>0</v>
      </c>
      <c r="T213">
        <f>INDEX(참고!$C$5:$J$12, MATCH($J$2, 참고!$B$5:$B$12, 0), MATCH(T$2, 참고!$C$4:$J$4, 0))</f>
        <v>0</v>
      </c>
      <c r="U213">
        <f>INDEX(참고!$C$5:$J$12, MATCH($J$2, 참고!$B$5:$B$12, 0), MATCH(U$2, 참고!$C$4:$J$4, 0))</f>
        <v>0</v>
      </c>
    </row>
    <row r="214" spans="1:21">
      <c r="A214" t="s">
        <v>339</v>
      </c>
      <c r="B214" s="9">
        <v>750000</v>
      </c>
      <c r="C214">
        <f t="shared" si="3"/>
        <v>3749995</v>
      </c>
      <c r="O214">
        <f>INDEX(참고!$C$5:$J$12, MATCH("생명", 참고!$B$5:$B$12, 0), MATCH("HP", 참고!$C$4:$J$4, 0))*J214
+INDEX(참고!$C$5:$J$12, MATCH("힘", 참고!$B$5:$B$12, 0), MATCH("HP", 참고!$C$4:$J$4, 0))*K214
+INDEX(참고!$C$5:$J$12, MATCH("근력", 참고!$B$5:$B$12, 0), MATCH("HP", 참고!$C$4:$J$4, 0))*L214
+INDEX(참고!$C$5:$J$12, MATCH("숙련도", 참고!$B$5:$B$12, 0), MATCH("HP", 참고!$C$4:$J$4, 0))*M214
+INDEX(참고!$C$5:$J$12, MATCH("행운", 참고!$B$5:$B$12, 0), MATCH("HP", 참고!$C$4:$J$4, 0))*N214</f>
        <v>0</v>
      </c>
      <c r="P214">
        <f>INDEX(참고!$C$5:$J$12, MATCH($J$2, 참고!$B$5:$B$12, 0), MATCH(P$2, 참고!$C$4:$J$4, 0))</f>
        <v>3</v>
      </c>
      <c r="Q214">
        <f>INDEX(참고!$C$5:$J$12, MATCH($J$2, 참고!$B$5:$B$12, 0), MATCH(Q$2, 참고!$C$4:$J$4, 0))</f>
        <v>1</v>
      </c>
      <c r="R214">
        <f>INDEX(참고!$C$5:$J$12, MATCH($J$2, 참고!$B$5:$B$12, 0), MATCH(R$2, 참고!$C$4:$J$4, 0))</f>
        <v>0</v>
      </c>
      <c r="S214">
        <f>INDEX(참고!$C$5:$J$12, MATCH($J$2, 참고!$B$5:$B$12, 0), MATCH(S$2, 참고!$C$4:$J$4, 0))</f>
        <v>0</v>
      </c>
      <c r="T214">
        <f>INDEX(참고!$C$5:$J$12, MATCH($J$2, 참고!$B$5:$B$12, 0), MATCH(T$2, 참고!$C$4:$J$4, 0))</f>
        <v>0</v>
      </c>
      <c r="U214">
        <f>INDEX(참고!$C$5:$J$12, MATCH($J$2, 참고!$B$5:$B$12, 0), MATCH(U$2, 참고!$C$4:$J$4, 0))</f>
        <v>0</v>
      </c>
    </row>
    <row r="215" spans="1:21">
      <c r="A215" t="s">
        <v>340</v>
      </c>
      <c r="B215" s="9">
        <v>160000</v>
      </c>
      <c r="C215">
        <f t="shared" si="3"/>
        <v>799995</v>
      </c>
      <c r="O215">
        <f>INDEX(참고!$C$5:$J$12, MATCH("생명", 참고!$B$5:$B$12, 0), MATCH("HP", 참고!$C$4:$J$4, 0))*J215
+INDEX(참고!$C$5:$J$12, MATCH("힘", 참고!$B$5:$B$12, 0), MATCH("HP", 참고!$C$4:$J$4, 0))*K215
+INDEX(참고!$C$5:$J$12, MATCH("근력", 참고!$B$5:$B$12, 0), MATCH("HP", 참고!$C$4:$J$4, 0))*L215
+INDEX(참고!$C$5:$J$12, MATCH("숙련도", 참고!$B$5:$B$12, 0), MATCH("HP", 참고!$C$4:$J$4, 0))*M215
+INDEX(참고!$C$5:$J$12, MATCH("행운", 참고!$B$5:$B$12, 0), MATCH("HP", 참고!$C$4:$J$4, 0))*N215</f>
        <v>0</v>
      </c>
      <c r="P215">
        <f>INDEX(참고!$C$5:$J$12, MATCH($J$2, 참고!$B$5:$B$12, 0), MATCH(P$2, 참고!$C$4:$J$4, 0))</f>
        <v>3</v>
      </c>
      <c r="Q215">
        <f>INDEX(참고!$C$5:$J$12, MATCH($J$2, 참고!$B$5:$B$12, 0), MATCH(Q$2, 참고!$C$4:$J$4, 0))</f>
        <v>1</v>
      </c>
      <c r="R215">
        <f>INDEX(참고!$C$5:$J$12, MATCH($J$2, 참고!$B$5:$B$12, 0), MATCH(R$2, 참고!$C$4:$J$4, 0))</f>
        <v>0</v>
      </c>
      <c r="S215">
        <f>INDEX(참고!$C$5:$J$12, MATCH($J$2, 참고!$B$5:$B$12, 0), MATCH(S$2, 참고!$C$4:$J$4, 0))</f>
        <v>0</v>
      </c>
      <c r="T215">
        <f>INDEX(참고!$C$5:$J$12, MATCH($J$2, 참고!$B$5:$B$12, 0), MATCH(T$2, 참고!$C$4:$J$4, 0))</f>
        <v>0</v>
      </c>
      <c r="U215">
        <f>INDEX(참고!$C$5:$J$12, MATCH($J$2, 참고!$B$5:$B$12, 0), MATCH(U$2, 참고!$C$4:$J$4, 0))</f>
        <v>0</v>
      </c>
    </row>
    <row r="216" spans="1:21">
      <c r="A216" t="s">
        <v>341</v>
      </c>
      <c r="B216" s="9">
        <v>177000</v>
      </c>
      <c r="C216">
        <f t="shared" si="3"/>
        <v>884995</v>
      </c>
      <c r="O216">
        <f>INDEX(참고!$C$5:$J$12, MATCH("생명", 참고!$B$5:$B$12, 0), MATCH("HP", 참고!$C$4:$J$4, 0))*J216
+INDEX(참고!$C$5:$J$12, MATCH("힘", 참고!$B$5:$B$12, 0), MATCH("HP", 참고!$C$4:$J$4, 0))*K216
+INDEX(참고!$C$5:$J$12, MATCH("근력", 참고!$B$5:$B$12, 0), MATCH("HP", 참고!$C$4:$J$4, 0))*L216
+INDEX(참고!$C$5:$J$12, MATCH("숙련도", 참고!$B$5:$B$12, 0), MATCH("HP", 참고!$C$4:$J$4, 0))*M216
+INDEX(참고!$C$5:$J$12, MATCH("행운", 참고!$B$5:$B$12, 0), MATCH("HP", 참고!$C$4:$J$4, 0))*N216</f>
        <v>0</v>
      </c>
      <c r="P216">
        <f>INDEX(참고!$C$5:$J$12, MATCH($J$2, 참고!$B$5:$B$12, 0), MATCH(P$2, 참고!$C$4:$J$4, 0))</f>
        <v>3</v>
      </c>
      <c r="Q216">
        <f>INDEX(참고!$C$5:$J$12, MATCH($J$2, 참고!$B$5:$B$12, 0), MATCH(Q$2, 참고!$C$4:$J$4, 0))</f>
        <v>1</v>
      </c>
      <c r="R216">
        <f>INDEX(참고!$C$5:$J$12, MATCH($J$2, 참고!$B$5:$B$12, 0), MATCH(R$2, 참고!$C$4:$J$4, 0))</f>
        <v>0</v>
      </c>
      <c r="S216">
        <f>INDEX(참고!$C$5:$J$12, MATCH($J$2, 참고!$B$5:$B$12, 0), MATCH(S$2, 참고!$C$4:$J$4, 0))</f>
        <v>0</v>
      </c>
      <c r="T216">
        <f>INDEX(참고!$C$5:$J$12, MATCH($J$2, 참고!$B$5:$B$12, 0), MATCH(T$2, 참고!$C$4:$J$4, 0))</f>
        <v>0</v>
      </c>
      <c r="U216">
        <f>INDEX(참고!$C$5:$J$12, MATCH($J$2, 참고!$B$5:$B$12, 0), MATCH(U$2, 참고!$C$4:$J$4, 0))</f>
        <v>0</v>
      </c>
    </row>
    <row r="217" spans="1:21">
      <c r="A217" t="s">
        <v>342</v>
      </c>
      <c r="B217" s="9">
        <v>184000</v>
      </c>
      <c r="C217">
        <f t="shared" si="3"/>
        <v>919995</v>
      </c>
      <c r="O217">
        <f>INDEX(참고!$C$5:$J$12, MATCH("생명", 참고!$B$5:$B$12, 0), MATCH("HP", 참고!$C$4:$J$4, 0))*J217
+INDEX(참고!$C$5:$J$12, MATCH("힘", 참고!$B$5:$B$12, 0), MATCH("HP", 참고!$C$4:$J$4, 0))*K217
+INDEX(참고!$C$5:$J$12, MATCH("근력", 참고!$B$5:$B$12, 0), MATCH("HP", 참고!$C$4:$J$4, 0))*L217
+INDEX(참고!$C$5:$J$12, MATCH("숙련도", 참고!$B$5:$B$12, 0), MATCH("HP", 참고!$C$4:$J$4, 0))*M217
+INDEX(참고!$C$5:$J$12, MATCH("행운", 참고!$B$5:$B$12, 0), MATCH("HP", 참고!$C$4:$J$4, 0))*N217</f>
        <v>0</v>
      </c>
      <c r="P217">
        <f>INDEX(참고!$C$5:$J$12, MATCH($J$2, 참고!$B$5:$B$12, 0), MATCH(P$2, 참고!$C$4:$J$4, 0))</f>
        <v>3</v>
      </c>
      <c r="Q217">
        <f>INDEX(참고!$C$5:$J$12, MATCH($J$2, 참고!$B$5:$B$12, 0), MATCH(Q$2, 참고!$C$4:$J$4, 0))</f>
        <v>1</v>
      </c>
      <c r="R217">
        <f>INDEX(참고!$C$5:$J$12, MATCH($J$2, 참고!$B$5:$B$12, 0), MATCH(R$2, 참고!$C$4:$J$4, 0))</f>
        <v>0</v>
      </c>
      <c r="S217">
        <f>INDEX(참고!$C$5:$J$12, MATCH($J$2, 참고!$B$5:$B$12, 0), MATCH(S$2, 참고!$C$4:$J$4, 0))</f>
        <v>0</v>
      </c>
      <c r="T217">
        <f>INDEX(참고!$C$5:$J$12, MATCH($J$2, 참고!$B$5:$B$12, 0), MATCH(T$2, 참고!$C$4:$J$4, 0))</f>
        <v>0</v>
      </c>
      <c r="U217">
        <f>INDEX(참고!$C$5:$J$12, MATCH($J$2, 참고!$B$5:$B$12, 0), MATCH(U$2, 참고!$C$4:$J$4, 0))</f>
        <v>0</v>
      </c>
    </row>
    <row r="218" spans="1:21">
      <c r="A218" t="s">
        <v>343</v>
      </c>
      <c r="B218" s="9">
        <v>190000</v>
      </c>
      <c r="C218">
        <f t="shared" si="3"/>
        <v>949995</v>
      </c>
      <c r="O218">
        <f>INDEX(참고!$C$5:$J$12, MATCH("생명", 참고!$B$5:$B$12, 0), MATCH("HP", 참고!$C$4:$J$4, 0))*J218
+INDEX(참고!$C$5:$J$12, MATCH("힘", 참고!$B$5:$B$12, 0), MATCH("HP", 참고!$C$4:$J$4, 0))*K218
+INDEX(참고!$C$5:$J$12, MATCH("근력", 참고!$B$5:$B$12, 0), MATCH("HP", 참고!$C$4:$J$4, 0))*L218
+INDEX(참고!$C$5:$J$12, MATCH("숙련도", 참고!$B$5:$B$12, 0), MATCH("HP", 참고!$C$4:$J$4, 0))*M218
+INDEX(참고!$C$5:$J$12, MATCH("행운", 참고!$B$5:$B$12, 0), MATCH("HP", 참고!$C$4:$J$4, 0))*N218</f>
        <v>0</v>
      </c>
      <c r="P218">
        <f>INDEX(참고!$C$5:$J$12, MATCH($J$2, 참고!$B$5:$B$12, 0), MATCH(P$2, 참고!$C$4:$J$4, 0))</f>
        <v>3</v>
      </c>
      <c r="Q218">
        <f>INDEX(참고!$C$5:$J$12, MATCH($J$2, 참고!$B$5:$B$12, 0), MATCH(Q$2, 참고!$C$4:$J$4, 0))</f>
        <v>1</v>
      </c>
      <c r="R218">
        <f>INDEX(참고!$C$5:$J$12, MATCH($J$2, 참고!$B$5:$B$12, 0), MATCH(R$2, 참고!$C$4:$J$4, 0))</f>
        <v>0</v>
      </c>
      <c r="S218">
        <f>INDEX(참고!$C$5:$J$12, MATCH($J$2, 참고!$B$5:$B$12, 0), MATCH(S$2, 참고!$C$4:$J$4, 0))</f>
        <v>0</v>
      </c>
      <c r="T218">
        <f>INDEX(참고!$C$5:$J$12, MATCH($J$2, 참고!$B$5:$B$12, 0), MATCH(T$2, 참고!$C$4:$J$4, 0))</f>
        <v>0</v>
      </c>
      <c r="U218">
        <f>INDEX(참고!$C$5:$J$12, MATCH($J$2, 참고!$B$5:$B$12, 0), MATCH(U$2, 참고!$C$4:$J$4, 0))</f>
        <v>0</v>
      </c>
    </row>
    <row r="219" spans="1:21">
      <c r="A219" t="s">
        <v>344</v>
      </c>
      <c r="B219" s="9">
        <v>199000</v>
      </c>
      <c r="C219">
        <f t="shared" si="3"/>
        <v>994995</v>
      </c>
      <c r="O219">
        <f>INDEX(참고!$C$5:$J$12, MATCH("생명", 참고!$B$5:$B$12, 0), MATCH("HP", 참고!$C$4:$J$4, 0))*J219
+INDEX(참고!$C$5:$J$12, MATCH("힘", 참고!$B$5:$B$12, 0), MATCH("HP", 참고!$C$4:$J$4, 0))*K219
+INDEX(참고!$C$5:$J$12, MATCH("근력", 참고!$B$5:$B$12, 0), MATCH("HP", 참고!$C$4:$J$4, 0))*L219
+INDEX(참고!$C$5:$J$12, MATCH("숙련도", 참고!$B$5:$B$12, 0), MATCH("HP", 참고!$C$4:$J$4, 0))*M219
+INDEX(참고!$C$5:$J$12, MATCH("행운", 참고!$B$5:$B$12, 0), MATCH("HP", 참고!$C$4:$J$4, 0))*N219</f>
        <v>0</v>
      </c>
      <c r="P219">
        <f>INDEX(참고!$C$5:$J$12, MATCH($J$2, 참고!$B$5:$B$12, 0), MATCH(P$2, 참고!$C$4:$J$4, 0))</f>
        <v>3</v>
      </c>
      <c r="Q219">
        <f>INDEX(참고!$C$5:$J$12, MATCH($J$2, 참고!$B$5:$B$12, 0), MATCH(Q$2, 참고!$C$4:$J$4, 0))</f>
        <v>1</v>
      </c>
      <c r="R219">
        <f>INDEX(참고!$C$5:$J$12, MATCH($J$2, 참고!$B$5:$B$12, 0), MATCH(R$2, 참고!$C$4:$J$4, 0))</f>
        <v>0</v>
      </c>
      <c r="S219">
        <f>INDEX(참고!$C$5:$J$12, MATCH($J$2, 참고!$B$5:$B$12, 0), MATCH(S$2, 참고!$C$4:$J$4, 0))</f>
        <v>0</v>
      </c>
      <c r="T219">
        <f>INDEX(참고!$C$5:$J$12, MATCH($J$2, 참고!$B$5:$B$12, 0), MATCH(T$2, 참고!$C$4:$J$4, 0))</f>
        <v>0</v>
      </c>
      <c r="U219">
        <f>INDEX(참고!$C$5:$J$12, MATCH($J$2, 참고!$B$5:$B$12, 0), MATCH(U$2, 참고!$C$4:$J$4, 0))</f>
        <v>0</v>
      </c>
    </row>
    <row r="220" spans="1:21">
      <c r="A220" t="s">
        <v>345</v>
      </c>
      <c r="B220" s="9">
        <v>208000</v>
      </c>
      <c r="C220">
        <f t="shared" si="3"/>
        <v>1039995</v>
      </c>
      <c r="O220">
        <f>INDEX(참고!$C$5:$J$12, MATCH("생명", 참고!$B$5:$B$12, 0), MATCH("HP", 참고!$C$4:$J$4, 0))*J220
+INDEX(참고!$C$5:$J$12, MATCH("힘", 참고!$B$5:$B$12, 0), MATCH("HP", 참고!$C$4:$J$4, 0))*K220
+INDEX(참고!$C$5:$J$12, MATCH("근력", 참고!$B$5:$B$12, 0), MATCH("HP", 참고!$C$4:$J$4, 0))*L220
+INDEX(참고!$C$5:$J$12, MATCH("숙련도", 참고!$B$5:$B$12, 0), MATCH("HP", 참고!$C$4:$J$4, 0))*M220
+INDEX(참고!$C$5:$J$12, MATCH("행운", 참고!$B$5:$B$12, 0), MATCH("HP", 참고!$C$4:$J$4, 0))*N220</f>
        <v>0</v>
      </c>
      <c r="P220">
        <f>INDEX(참고!$C$5:$J$12, MATCH($J$2, 참고!$B$5:$B$12, 0), MATCH(P$2, 참고!$C$4:$J$4, 0))</f>
        <v>3</v>
      </c>
      <c r="Q220">
        <f>INDEX(참고!$C$5:$J$12, MATCH($J$2, 참고!$B$5:$B$12, 0), MATCH(Q$2, 참고!$C$4:$J$4, 0))</f>
        <v>1</v>
      </c>
      <c r="R220">
        <f>INDEX(참고!$C$5:$J$12, MATCH($J$2, 참고!$B$5:$B$12, 0), MATCH(R$2, 참고!$C$4:$J$4, 0))</f>
        <v>0</v>
      </c>
      <c r="S220">
        <f>INDEX(참고!$C$5:$J$12, MATCH($J$2, 참고!$B$5:$B$12, 0), MATCH(S$2, 참고!$C$4:$J$4, 0))</f>
        <v>0</v>
      </c>
      <c r="T220">
        <f>INDEX(참고!$C$5:$J$12, MATCH($J$2, 참고!$B$5:$B$12, 0), MATCH(T$2, 참고!$C$4:$J$4, 0))</f>
        <v>0</v>
      </c>
      <c r="U220">
        <f>INDEX(참고!$C$5:$J$12, MATCH($J$2, 참고!$B$5:$B$12, 0), MATCH(U$2, 참고!$C$4:$J$4, 0))</f>
        <v>0</v>
      </c>
    </row>
    <row r="221" spans="1:21">
      <c r="A221" t="s">
        <v>346</v>
      </c>
      <c r="B221" s="9">
        <v>215000</v>
      </c>
      <c r="C221">
        <f t="shared" si="3"/>
        <v>1074995</v>
      </c>
      <c r="O221">
        <f>INDEX(참고!$C$5:$J$12, MATCH("생명", 참고!$B$5:$B$12, 0), MATCH("HP", 참고!$C$4:$J$4, 0))*J221
+INDEX(참고!$C$5:$J$12, MATCH("힘", 참고!$B$5:$B$12, 0), MATCH("HP", 참고!$C$4:$J$4, 0))*K221
+INDEX(참고!$C$5:$J$12, MATCH("근력", 참고!$B$5:$B$12, 0), MATCH("HP", 참고!$C$4:$J$4, 0))*L221
+INDEX(참고!$C$5:$J$12, MATCH("숙련도", 참고!$B$5:$B$12, 0), MATCH("HP", 참고!$C$4:$J$4, 0))*M221
+INDEX(참고!$C$5:$J$12, MATCH("행운", 참고!$B$5:$B$12, 0), MATCH("HP", 참고!$C$4:$J$4, 0))*N221</f>
        <v>0</v>
      </c>
      <c r="P221">
        <f>INDEX(참고!$C$5:$J$12, MATCH($J$2, 참고!$B$5:$B$12, 0), MATCH(P$2, 참고!$C$4:$J$4, 0))</f>
        <v>3</v>
      </c>
      <c r="Q221">
        <f>INDEX(참고!$C$5:$J$12, MATCH($J$2, 참고!$B$5:$B$12, 0), MATCH(Q$2, 참고!$C$4:$J$4, 0))</f>
        <v>1</v>
      </c>
      <c r="R221">
        <f>INDEX(참고!$C$5:$J$12, MATCH($J$2, 참고!$B$5:$B$12, 0), MATCH(R$2, 참고!$C$4:$J$4, 0))</f>
        <v>0</v>
      </c>
      <c r="S221">
        <f>INDEX(참고!$C$5:$J$12, MATCH($J$2, 참고!$B$5:$B$12, 0), MATCH(S$2, 참고!$C$4:$J$4, 0))</f>
        <v>0</v>
      </c>
      <c r="T221">
        <f>INDEX(참고!$C$5:$J$12, MATCH($J$2, 참고!$B$5:$B$12, 0), MATCH(T$2, 참고!$C$4:$J$4, 0))</f>
        <v>0</v>
      </c>
      <c r="U221">
        <f>INDEX(참고!$C$5:$J$12, MATCH($J$2, 참고!$B$5:$B$12, 0), MATCH(U$2, 참고!$C$4:$J$4, 0))</f>
        <v>0</v>
      </c>
    </row>
    <row r="222" spans="1:21">
      <c r="A222" t="s">
        <v>347</v>
      </c>
      <c r="B222" s="9">
        <v>225000</v>
      </c>
      <c r="C222">
        <f t="shared" si="3"/>
        <v>1124995</v>
      </c>
      <c r="O222">
        <f>INDEX(참고!$C$5:$J$12, MATCH("생명", 참고!$B$5:$B$12, 0), MATCH("HP", 참고!$C$4:$J$4, 0))*J222
+INDEX(참고!$C$5:$J$12, MATCH("힘", 참고!$B$5:$B$12, 0), MATCH("HP", 참고!$C$4:$J$4, 0))*K222
+INDEX(참고!$C$5:$J$12, MATCH("근력", 참고!$B$5:$B$12, 0), MATCH("HP", 참고!$C$4:$J$4, 0))*L222
+INDEX(참고!$C$5:$J$12, MATCH("숙련도", 참고!$B$5:$B$12, 0), MATCH("HP", 참고!$C$4:$J$4, 0))*M222
+INDEX(참고!$C$5:$J$12, MATCH("행운", 참고!$B$5:$B$12, 0), MATCH("HP", 참고!$C$4:$J$4, 0))*N222</f>
        <v>0</v>
      </c>
      <c r="P222">
        <f>INDEX(참고!$C$5:$J$12, MATCH($J$2, 참고!$B$5:$B$12, 0), MATCH(P$2, 참고!$C$4:$J$4, 0))</f>
        <v>3</v>
      </c>
      <c r="Q222">
        <f>INDEX(참고!$C$5:$J$12, MATCH($J$2, 참고!$B$5:$B$12, 0), MATCH(Q$2, 참고!$C$4:$J$4, 0))</f>
        <v>1</v>
      </c>
      <c r="R222">
        <f>INDEX(참고!$C$5:$J$12, MATCH($J$2, 참고!$B$5:$B$12, 0), MATCH(R$2, 참고!$C$4:$J$4, 0))</f>
        <v>0</v>
      </c>
      <c r="S222">
        <f>INDEX(참고!$C$5:$J$12, MATCH($J$2, 참고!$B$5:$B$12, 0), MATCH(S$2, 참고!$C$4:$J$4, 0))</f>
        <v>0</v>
      </c>
      <c r="T222">
        <f>INDEX(참고!$C$5:$J$12, MATCH($J$2, 참고!$B$5:$B$12, 0), MATCH(T$2, 참고!$C$4:$J$4, 0))</f>
        <v>0</v>
      </c>
      <c r="U222">
        <f>INDEX(참고!$C$5:$J$12, MATCH($J$2, 참고!$B$5:$B$12, 0), MATCH(U$2, 참고!$C$4:$J$4, 0))</f>
        <v>0</v>
      </c>
    </row>
    <row r="223" spans="1:21">
      <c r="A223" t="s">
        <v>348</v>
      </c>
      <c r="B223" s="9">
        <v>230000</v>
      </c>
      <c r="C223">
        <f t="shared" si="3"/>
        <v>1149995</v>
      </c>
      <c r="O223">
        <f>INDEX(참고!$C$5:$J$12, MATCH("생명", 참고!$B$5:$B$12, 0), MATCH("HP", 참고!$C$4:$J$4, 0))*J223
+INDEX(참고!$C$5:$J$12, MATCH("힘", 참고!$B$5:$B$12, 0), MATCH("HP", 참고!$C$4:$J$4, 0))*K223
+INDEX(참고!$C$5:$J$12, MATCH("근력", 참고!$B$5:$B$12, 0), MATCH("HP", 참고!$C$4:$J$4, 0))*L223
+INDEX(참고!$C$5:$J$12, MATCH("숙련도", 참고!$B$5:$B$12, 0), MATCH("HP", 참고!$C$4:$J$4, 0))*M223
+INDEX(참고!$C$5:$J$12, MATCH("행운", 참고!$B$5:$B$12, 0), MATCH("HP", 참고!$C$4:$J$4, 0))*N223</f>
        <v>0</v>
      </c>
      <c r="P223">
        <f>INDEX(참고!$C$5:$J$12, MATCH($J$2, 참고!$B$5:$B$12, 0), MATCH(P$2, 참고!$C$4:$J$4, 0))</f>
        <v>3</v>
      </c>
      <c r="Q223">
        <f>INDEX(참고!$C$5:$J$12, MATCH($J$2, 참고!$B$5:$B$12, 0), MATCH(Q$2, 참고!$C$4:$J$4, 0))</f>
        <v>1</v>
      </c>
      <c r="R223">
        <f>INDEX(참고!$C$5:$J$12, MATCH($J$2, 참고!$B$5:$B$12, 0), MATCH(R$2, 참고!$C$4:$J$4, 0))</f>
        <v>0</v>
      </c>
      <c r="S223">
        <f>INDEX(참고!$C$5:$J$12, MATCH($J$2, 참고!$B$5:$B$12, 0), MATCH(S$2, 참고!$C$4:$J$4, 0))</f>
        <v>0</v>
      </c>
      <c r="T223">
        <f>INDEX(참고!$C$5:$J$12, MATCH($J$2, 참고!$B$5:$B$12, 0), MATCH(T$2, 참고!$C$4:$J$4, 0))</f>
        <v>0</v>
      </c>
      <c r="U223">
        <f>INDEX(참고!$C$5:$J$12, MATCH($J$2, 참고!$B$5:$B$12, 0), MATCH(U$2, 참고!$C$4:$J$4, 0))</f>
        <v>0</v>
      </c>
    </row>
    <row r="224" spans="1:21">
      <c r="A224" t="s">
        <v>349</v>
      </c>
      <c r="B224" s="9">
        <v>235000</v>
      </c>
      <c r="C224">
        <f t="shared" si="3"/>
        <v>1174995</v>
      </c>
      <c r="O224">
        <f>INDEX(참고!$C$5:$J$12, MATCH("생명", 참고!$B$5:$B$12, 0), MATCH("HP", 참고!$C$4:$J$4, 0))*J224
+INDEX(참고!$C$5:$J$12, MATCH("힘", 참고!$B$5:$B$12, 0), MATCH("HP", 참고!$C$4:$J$4, 0))*K224
+INDEX(참고!$C$5:$J$12, MATCH("근력", 참고!$B$5:$B$12, 0), MATCH("HP", 참고!$C$4:$J$4, 0))*L224
+INDEX(참고!$C$5:$J$12, MATCH("숙련도", 참고!$B$5:$B$12, 0), MATCH("HP", 참고!$C$4:$J$4, 0))*M224
+INDEX(참고!$C$5:$J$12, MATCH("행운", 참고!$B$5:$B$12, 0), MATCH("HP", 참고!$C$4:$J$4, 0))*N224</f>
        <v>0</v>
      </c>
      <c r="P224">
        <f>INDEX(참고!$C$5:$J$12, MATCH($J$2, 참고!$B$5:$B$12, 0), MATCH(P$2, 참고!$C$4:$J$4, 0))</f>
        <v>3</v>
      </c>
      <c r="Q224">
        <f>INDEX(참고!$C$5:$J$12, MATCH($J$2, 참고!$B$5:$B$12, 0), MATCH(Q$2, 참고!$C$4:$J$4, 0))</f>
        <v>1</v>
      </c>
      <c r="R224">
        <f>INDEX(참고!$C$5:$J$12, MATCH($J$2, 참고!$B$5:$B$12, 0), MATCH(R$2, 참고!$C$4:$J$4, 0))</f>
        <v>0</v>
      </c>
      <c r="S224">
        <f>INDEX(참고!$C$5:$J$12, MATCH($J$2, 참고!$B$5:$B$12, 0), MATCH(S$2, 참고!$C$4:$J$4, 0))</f>
        <v>0</v>
      </c>
      <c r="T224">
        <f>INDEX(참고!$C$5:$J$12, MATCH($J$2, 참고!$B$5:$B$12, 0), MATCH(T$2, 참고!$C$4:$J$4, 0))</f>
        <v>0</v>
      </c>
      <c r="U224">
        <f>INDEX(참고!$C$5:$J$12, MATCH($J$2, 참고!$B$5:$B$12, 0), MATCH(U$2, 참고!$C$4:$J$4, 0))</f>
        <v>0</v>
      </c>
    </row>
    <row r="225" spans="1:21">
      <c r="A225" t="s">
        <v>350</v>
      </c>
      <c r="B225" s="9">
        <v>240000</v>
      </c>
      <c r="C225">
        <f t="shared" si="3"/>
        <v>1199995</v>
      </c>
      <c r="O225">
        <f>INDEX(참고!$C$5:$J$12, MATCH("생명", 참고!$B$5:$B$12, 0), MATCH("HP", 참고!$C$4:$J$4, 0))*J225
+INDEX(참고!$C$5:$J$12, MATCH("힘", 참고!$B$5:$B$12, 0), MATCH("HP", 참고!$C$4:$J$4, 0))*K225
+INDEX(참고!$C$5:$J$12, MATCH("근력", 참고!$B$5:$B$12, 0), MATCH("HP", 참고!$C$4:$J$4, 0))*L225
+INDEX(참고!$C$5:$J$12, MATCH("숙련도", 참고!$B$5:$B$12, 0), MATCH("HP", 참고!$C$4:$J$4, 0))*M225
+INDEX(참고!$C$5:$J$12, MATCH("행운", 참고!$B$5:$B$12, 0), MATCH("HP", 참고!$C$4:$J$4, 0))*N225</f>
        <v>0</v>
      </c>
      <c r="P225">
        <f>INDEX(참고!$C$5:$J$12, MATCH($J$2, 참고!$B$5:$B$12, 0), MATCH(P$2, 참고!$C$4:$J$4, 0))</f>
        <v>3</v>
      </c>
      <c r="Q225">
        <f>INDEX(참고!$C$5:$J$12, MATCH($J$2, 참고!$B$5:$B$12, 0), MATCH(Q$2, 참고!$C$4:$J$4, 0))</f>
        <v>1</v>
      </c>
      <c r="R225">
        <f>INDEX(참고!$C$5:$J$12, MATCH($J$2, 참고!$B$5:$B$12, 0), MATCH(R$2, 참고!$C$4:$J$4, 0))</f>
        <v>0</v>
      </c>
      <c r="S225">
        <f>INDEX(참고!$C$5:$J$12, MATCH($J$2, 참고!$B$5:$B$12, 0), MATCH(S$2, 참고!$C$4:$J$4, 0))</f>
        <v>0</v>
      </c>
      <c r="T225">
        <f>INDEX(참고!$C$5:$J$12, MATCH($J$2, 참고!$B$5:$B$12, 0), MATCH(T$2, 참고!$C$4:$J$4, 0))</f>
        <v>0</v>
      </c>
      <c r="U225">
        <f>INDEX(참고!$C$5:$J$12, MATCH($J$2, 참고!$B$5:$B$12, 0), MATCH(U$2, 참고!$C$4:$J$4, 0))</f>
        <v>0</v>
      </c>
    </row>
    <row r="226" spans="1:21">
      <c r="A226" t="s">
        <v>351</v>
      </c>
      <c r="B226" s="9">
        <v>230000</v>
      </c>
      <c r="C226">
        <f t="shared" si="3"/>
        <v>1149995</v>
      </c>
      <c r="O226">
        <f>INDEX(참고!$C$5:$J$12, MATCH("생명", 참고!$B$5:$B$12, 0), MATCH("HP", 참고!$C$4:$J$4, 0))*J226
+INDEX(참고!$C$5:$J$12, MATCH("힘", 참고!$B$5:$B$12, 0), MATCH("HP", 참고!$C$4:$J$4, 0))*K226
+INDEX(참고!$C$5:$J$12, MATCH("근력", 참고!$B$5:$B$12, 0), MATCH("HP", 참고!$C$4:$J$4, 0))*L226
+INDEX(참고!$C$5:$J$12, MATCH("숙련도", 참고!$B$5:$B$12, 0), MATCH("HP", 참고!$C$4:$J$4, 0))*M226
+INDEX(참고!$C$5:$J$12, MATCH("행운", 참고!$B$5:$B$12, 0), MATCH("HP", 참고!$C$4:$J$4, 0))*N226</f>
        <v>0</v>
      </c>
      <c r="P226">
        <f>INDEX(참고!$C$5:$J$12, MATCH($J$2, 참고!$B$5:$B$12, 0), MATCH(P$2, 참고!$C$4:$J$4, 0))</f>
        <v>3</v>
      </c>
      <c r="Q226">
        <f>INDEX(참고!$C$5:$J$12, MATCH($J$2, 참고!$B$5:$B$12, 0), MATCH(Q$2, 참고!$C$4:$J$4, 0))</f>
        <v>1</v>
      </c>
      <c r="R226">
        <f>INDEX(참고!$C$5:$J$12, MATCH($J$2, 참고!$B$5:$B$12, 0), MATCH(R$2, 참고!$C$4:$J$4, 0))</f>
        <v>0</v>
      </c>
      <c r="S226">
        <f>INDEX(참고!$C$5:$J$12, MATCH($J$2, 참고!$B$5:$B$12, 0), MATCH(S$2, 참고!$C$4:$J$4, 0))</f>
        <v>0</v>
      </c>
      <c r="T226">
        <f>INDEX(참고!$C$5:$J$12, MATCH($J$2, 참고!$B$5:$B$12, 0), MATCH(T$2, 참고!$C$4:$J$4, 0))</f>
        <v>0</v>
      </c>
      <c r="U226">
        <f>INDEX(참고!$C$5:$J$12, MATCH($J$2, 참고!$B$5:$B$12, 0), MATCH(U$2, 참고!$C$4:$J$4, 0))</f>
        <v>0</v>
      </c>
    </row>
    <row r="227" spans="1:21">
      <c r="A227" t="s">
        <v>352</v>
      </c>
      <c r="B227" s="9">
        <v>35000</v>
      </c>
      <c r="C227">
        <f t="shared" si="3"/>
        <v>174995</v>
      </c>
      <c r="O227">
        <f>INDEX(참고!$C$5:$J$12, MATCH("생명", 참고!$B$5:$B$12, 0), MATCH("HP", 참고!$C$4:$J$4, 0))*J227
+INDEX(참고!$C$5:$J$12, MATCH("힘", 참고!$B$5:$B$12, 0), MATCH("HP", 참고!$C$4:$J$4, 0))*K227
+INDEX(참고!$C$5:$J$12, MATCH("근력", 참고!$B$5:$B$12, 0), MATCH("HP", 참고!$C$4:$J$4, 0))*L227
+INDEX(참고!$C$5:$J$12, MATCH("숙련도", 참고!$B$5:$B$12, 0), MATCH("HP", 참고!$C$4:$J$4, 0))*M227
+INDEX(참고!$C$5:$J$12, MATCH("행운", 참고!$B$5:$B$12, 0), MATCH("HP", 참고!$C$4:$J$4, 0))*N227</f>
        <v>0</v>
      </c>
      <c r="P227">
        <f>INDEX(참고!$C$5:$J$12, MATCH($J$2, 참고!$B$5:$B$12, 0), MATCH(P$2, 참고!$C$4:$J$4, 0))</f>
        <v>3</v>
      </c>
      <c r="Q227">
        <f>INDEX(참고!$C$5:$J$12, MATCH($J$2, 참고!$B$5:$B$12, 0), MATCH(Q$2, 참고!$C$4:$J$4, 0))</f>
        <v>1</v>
      </c>
      <c r="R227">
        <f>INDEX(참고!$C$5:$J$12, MATCH($J$2, 참고!$B$5:$B$12, 0), MATCH(R$2, 참고!$C$4:$J$4, 0))</f>
        <v>0</v>
      </c>
      <c r="S227">
        <f>INDEX(참고!$C$5:$J$12, MATCH($J$2, 참고!$B$5:$B$12, 0), MATCH(S$2, 참고!$C$4:$J$4, 0))</f>
        <v>0</v>
      </c>
      <c r="T227">
        <f>INDEX(참고!$C$5:$J$12, MATCH($J$2, 참고!$B$5:$B$12, 0), MATCH(T$2, 참고!$C$4:$J$4, 0))</f>
        <v>0</v>
      </c>
      <c r="U227">
        <f>INDEX(참고!$C$5:$J$12, MATCH($J$2, 참고!$B$5:$B$12, 0), MATCH(U$2, 참고!$C$4:$J$4, 0))</f>
        <v>0</v>
      </c>
    </row>
    <row r="228" spans="1:21">
      <c r="A228" t="s">
        <v>353</v>
      </c>
      <c r="B228" s="9">
        <v>40000</v>
      </c>
      <c r="C228">
        <f t="shared" si="3"/>
        <v>199995</v>
      </c>
      <c r="O228">
        <f>INDEX(참고!$C$5:$J$12, MATCH("생명", 참고!$B$5:$B$12, 0), MATCH("HP", 참고!$C$4:$J$4, 0))*J228
+INDEX(참고!$C$5:$J$12, MATCH("힘", 참고!$B$5:$B$12, 0), MATCH("HP", 참고!$C$4:$J$4, 0))*K228
+INDEX(참고!$C$5:$J$12, MATCH("근력", 참고!$B$5:$B$12, 0), MATCH("HP", 참고!$C$4:$J$4, 0))*L228
+INDEX(참고!$C$5:$J$12, MATCH("숙련도", 참고!$B$5:$B$12, 0), MATCH("HP", 참고!$C$4:$J$4, 0))*M228
+INDEX(참고!$C$5:$J$12, MATCH("행운", 참고!$B$5:$B$12, 0), MATCH("HP", 참고!$C$4:$J$4, 0))*N228</f>
        <v>0</v>
      </c>
      <c r="P228">
        <f>INDEX(참고!$C$5:$J$12, MATCH($J$2, 참고!$B$5:$B$12, 0), MATCH(P$2, 참고!$C$4:$J$4, 0))</f>
        <v>3</v>
      </c>
      <c r="Q228">
        <f>INDEX(참고!$C$5:$J$12, MATCH($J$2, 참고!$B$5:$B$12, 0), MATCH(Q$2, 참고!$C$4:$J$4, 0))</f>
        <v>1</v>
      </c>
      <c r="R228">
        <f>INDEX(참고!$C$5:$J$12, MATCH($J$2, 참고!$B$5:$B$12, 0), MATCH(R$2, 참고!$C$4:$J$4, 0))</f>
        <v>0</v>
      </c>
      <c r="S228">
        <f>INDEX(참고!$C$5:$J$12, MATCH($J$2, 참고!$B$5:$B$12, 0), MATCH(S$2, 참고!$C$4:$J$4, 0))</f>
        <v>0</v>
      </c>
      <c r="T228">
        <f>INDEX(참고!$C$5:$J$12, MATCH($J$2, 참고!$B$5:$B$12, 0), MATCH(T$2, 참고!$C$4:$J$4, 0))</f>
        <v>0</v>
      </c>
      <c r="U228">
        <f>INDEX(참고!$C$5:$J$12, MATCH($J$2, 참고!$B$5:$B$12, 0), MATCH(U$2, 참고!$C$4:$J$4, 0))</f>
        <v>0</v>
      </c>
    </row>
    <row r="229" spans="1:21">
      <c r="A229" t="s">
        <v>354</v>
      </c>
      <c r="B229" s="9">
        <v>65000</v>
      </c>
      <c r="C229">
        <f t="shared" si="3"/>
        <v>324995</v>
      </c>
      <c r="O229">
        <f>INDEX(참고!$C$5:$J$12, MATCH("생명", 참고!$B$5:$B$12, 0), MATCH("HP", 참고!$C$4:$J$4, 0))*J229
+INDEX(참고!$C$5:$J$12, MATCH("힘", 참고!$B$5:$B$12, 0), MATCH("HP", 참고!$C$4:$J$4, 0))*K229
+INDEX(참고!$C$5:$J$12, MATCH("근력", 참고!$B$5:$B$12, 0), MATCH("HP", 참고!$C$4:$J$4, 0))*L229
+INDEX(참고!$C$5:$J$12, MATCH("숙련도", 참고!$B$5:$B$12, 0), MATCH("HP", 참고!$C$4:$J$4, 0))*M229
+INDEX(참고!$C$5:$J$12, MATCH("행운", 참고!$B$5:$B$12, 0), MATCH("HP", 참고!$C$4:$J$4, 0))*N229</f>
        <v>0</v>
      </c>
      <c r="P229">
        <f>INDEX(참고!$C$5:$J$12, MATCH($J$2, 참고!$B$5:$B$12, 0), MATCH(P$2, 참고!$C$4:$J$4, 0))</f>
        <v>3</v>
      </c>
      <c r="Q229">
        <f>INDEX(참고!$C$5:$J$12, MATCH($J$2, 참고!$B$5:$B$12, 0), MATCH(Q$2, 참고!$C$4:$J$4, 0))</f>
        <v>1</v>
      </c>
      <c r="R229">
        <f>INDEX(참고!$C$5:$J$12, MATCH($J$2, 참고!$B$5:$B$12, 0), MATCH(R$2, 참고!$C$4:$J$4, 0))</f>
        <v>0</v>
      </c>
      <c r="S229">
        <f>INDEX(참고!$C$5:$J$12, MATCH($J$2, 참고!$B$5:$B$12, 0), MATCH(S$2, 참고!$C$4:$J$4, 0))</f>
        <v>0</v>
      </c>
      <c r="T229">
        <f>INDEX(참고!$C$5:$J$12, MATCH($J$2, 참고!$B$5:$B$12, 0), MATCH(T$2, 참고!$C$4:$J$4, 0))</f>
        <v>0</v>
      </c>
      <c r="U229">
        <f>INDEX(참고!$C$5:$J$12, MATCH($J$2, 참고!$B$5:$B$12, 0), MATCH(U$2, 참고!$C$4:$J$4, 0))</f>
        <v>0</v>
      </c>
    </row>
    <row r="230" spans="1:21">
      <c r="A230" t="s">
        <v>355</v>
      </c>
      <c r="B230" s="9">
        <v>70000</v>
      </c>
      <c r="C230">
        <f t="shared" si="3"/>
        <v>349995</v>
      </c>
      <c r="O230">
        <f>INDEX(참고!$C$5:$J$12, MATCH("생명", 참고!$B$5:$B$12, 0), MATCH("HP", 참고!$C$4:$J$4, 0))*J230
+INDEX(참고!$C$5:$J$12, MATCH("힘", 참고!$B$5:$B$12, 0), MATCH("HP", 참고!$C$4:$J$4, 0))*K230
+INDEX(참고!$C$5:$J$12, MATCH("근력", 참고!$B$5:$B$12, 0), MATCH("HP", 참고!$C$4:$J$4, 0))*L230
+INDEX(참고!$C$5:$J$12, MATCH("숙련도", 참고!$B$5:$B$12, 0), MATCH("HP", 참고!$C$4:$J$4, 0))*M230
+INDEX(참고!$C$5:$J$12, MATCH("행운", 참고!$B$5:$B$12, 0), MATCH("HP", 참고!$C$4:$J$4, 0))*N230</f>
        <v>0</v>
      </c>
      <c r="P230">
        <f>INDEX(참고!$C$5:$J$12, MATCH($J$2, 참고!$B$5:$B$12, 0), MATCH(P$2, 참고!$C$4:$J$4, 0))</f>
        <v>3</v>
      </c>
      <c r="Q230">
        <f>INDEX(참고!$C$5:$J$12, MATCH($J$2, 참고!$B$5:$B$12, 0), MATCH(Q$2, 참고!$C$4:$J$4, 0))</f>
        <v>1</v>
      </c>
      <c r="R230">
        <f>INDEX(참고!$C$5:$J$12, MATCH($J$2, 참고!$B$5:$B$12, 0), MATCH(R$2, 참고!$C$4:$J$4, 0))</f>
        <v>0</v>
      </c>
      <c r="S230">
        <f>INDEX(참고!$C$5:$J$12, MATCH($J$2, 참고!$B$5:$B$12, 0), MATCH(S$2, 참고!$C$4:$J$4, 0))</f>
        <v>0</v>
      </c>
      <c r="T230">
        <f>INDEX(참고!$C$5:$J$12, MATCH($J$2, 참고!$B$5:$B$12, 0), MATCH(T$2, 참고!$C$4:$J$4, 0))</f>
        <v>0</v>
      </c>
      <c r="U230">
        <f>INDEX(참고!$C$5:$J$12, MATCH($J$2, 참고!$B$5:$B$12, 0), MATCH(U$2, 참고!$C$4:$J$4, 0))</f>
        <v>0</v>
      </c>
    </row>
    <row r="231" spans="1:21">
      <c r="A231" t="s">
        <v>356</v>
      </c>
      <c r="B231" s="9">
        <v>75000</v>
      </c>
      <c r="C231">
        <f t="shared" si="3"/>
        <v>374995</v>
      </c>
      <c r="O231">
        <f>INDEX(참고!$C$5:$J$12, MATCH("생명", 참고!$B$5:$B$12, 0), MATCH("HP", 참고!$C$4:$J$4, 0))*J231
+INDEX(참고!$C$5:$J$12, MATCH("힘", 참고!$B$5:$B$12, 0), MATCH("HP", 참고!$C$4:$J$4, 0))*K231
+INDEX(참고!$C$5:$J$12, MATCH("근력", 참고!$B$5:$B$12, 0), MATCH("HP", 참고!$C$4:$J$4, 0))*L231
+INDEX(참고!$C$5:$J$12, MATCH("숙련도", 참고!$B$5:$B$12, 0), MATCH("HP", 참고!$C$4:$J$4, 0))*M231
+INDEX(참고!$C$5:$J$12, MATCH("행운", 참고!$B$5:$B$12, 0), MATCH("HP", 참고!$C$4:$J$4, 0))*N231</f>
        <v>0</v>
      </c>
      <c r="P231">
        <f>INDEX(참고!$C$5:$J$12, MATCH($J$2, 참고!$B$5:$B$12, 0), MATCH(P$2, 참고!$C$4:$J$4, 0))</f>
        <v>3</v>
      </c>
      <c r="Q231">
        <f>INDEX(참고!$C$5:$J$12, MATCH($J$2, 참고!$B$5:$B$12, 0), MATCH(Q$2, 참고!$C$4:$J$4, 0))</f>
        <v>1</v>
      </c>
      <c r="R231">
        <f>INDEX(참고!$C$5:$J$12, MATCH($J$2, 참고!$B$5:$B$12, 0), MATCH(R$2, 참고!$C$4:$J$4, 0))</f>
        <v>0</v>
      </c>
      <c r="S231">
        <f>INDEX(참고!$C$5:$J$12, MATCH($J$2, 참고!$B$5:$B$12, 0), MATCH(S$2, 참고!$C$4:$J$4, 0))</f>
        <v>0</v>
      </c>
      <c r="T231">
        <f>INDEX(참고!$C$5:$J$12, MATCH($J$2, 참고!$B$5:$B$12, 0), MATCH(T$2, 참고!$C$4:$J$4, 0))</f>
        <v>0</v>
      </c>
      <c r="U231">
        <f>INDEX(참고!$C$5:$J$12, MATCH($J$2, 참고!$B$5:$B$12, 0), MATCH(U$2, 참고!$C$4:$J$4, 0))</f>
        <v>0</v>
      </c>
    </row>
    <row r="232" spans="1:21">
      <c r="A232" t="s">
        <v>357</v>
      </c>
      <c r="B232" s="9">
        <v>80000</v>
      </c>
      <c r="C232">
        <f t="shared" si="3"/>
        <v>399995</v>
      </c>
      <c r="O232">
        <f>INDEX(참고!$C$5:$J$12, MATCH("생명", 참고!$B$5:$B$12, 0), MATCH("HP", 참고!$C$4:$J$4, 0))*J232
+INDEX(참고!$C$5:$J$12, MATCH("힘", 참고!$B$5:$B$12, 0), MATCH("HP", 참고!$C$4:$J$4, 0))*K232
+INDEX(참고!$C$5:$J$12, MATCH("근력", 참고!$B$5:$B$12, 0), MATCH("HP", 참고!$C$4:$J$4, 0))*L232
+INDEX(참고!$C$5:$J$12, MATCH("숙련도", 참고!$B$5:$B$12, 0), MATCH("HP", 참고!$C$4:$J$4, 0))*M232
+INDEX(참고!$C$5:$J$12, MATCH("행운", 참고!$B$5:$B$12, 0), MATCH("HP", 참고!$C$4:$J$4, 0))*N232</f>
        <v>0</v>
      </c>
      <c r="P232">
        <f>INDEX(참고!$C$5:$J$12, MATCH($J$2, 참고!$B$5:$B$12, 0), MATCH(P$2, 참고!$C$4:$J$4, 0))</f>
        <v>3</v>
      </c>
      <c r="Q232">
        <f>INDEX(참고!$C$5:$J$12, MATCH($J$2, 참고!$B$5:$B$12, 0), MATCH(Q$2, 참고!$C$4:$J$4, 0))</f>
        <v>1</v>
      </c>
      <c r="R232">
        <f>INDEX(참고!$C$5:$J$12, MATCH($J$2, 참고!$B$5:$B$12, 0), MATCH(R$2, 참고!$C$4:$J$4, 0))</f>
        <v>0</v>
      </c>
      <c r="S232">
        <f>INDEX(참고!$C$5:$J$12, MATCH($J$2, 참고!$B$5:$B$12, 0), MATCH(S$2, 참고!$C$4:$J$4, 0))</f>
        <v>0</v>
      </c>
      <c r="T232">
        <f>INDEX(참고!$C$5:$J$12, MATCH($J$2, 참고!$B$5:$B$12, 0), MATCH(T$2, 참고!$C$4:$J$4, 0))</f>
        <v>0</v>
      </c>
      <c r="U232">
        <f>INDEX(참고!$C$5:$J$12, MATCH($J$2, 참고!$B$5:$B$12, 0), MATCH(U$2, 참고!$C$4:$J$4, 0))</f>
        <v>0</v>
      </c>
    </row>
    <row r="233" spans="1:21">
      <c r="A233" t="s">
        <v>358</v>
      </c>
      <c r="B233" s="9">
        <v>85000</v>
      </c>
      <c r="C233">
        <f t="shared" si="3"/>
        <v>424995</v>
      </c>
      <c r="O233">
        <f>INDEX(참고!$C$5:$J$12, MATCH("생명", 참고!$B$5:$B$12, 0), MATCH("HP", 참고!$C$4:$J$4, 0))*J233
+INDEX(참고!$C$5:$J$12, MATCH("힘", 참고!$B$5:$B$12, 0), MATCH("HP", 참고!$C$4:$J$4, 0))*K233
+INDEX(참고!$C$5:$J$12, MATCH("근력", 참고!$B$5:$B$12, 0), MATCH("HP", 참고!$C$4:$J$4, 0))*L233
+INDEX(참고!$C$5:$J$12, MATCH("숙련도", 참고!$B$5:$B$12, 0), MATCH("HP", 참고!$C$4:$J$4, 0))*M233
+INDEX(참고!$C$5:$J$12, MATCH("행운", 참고!$B$5:$B$12, 0), MATCH("HP", 참고!$C$4:$J$4, 0))*N233</f>
        <v>0</v>
      </c>
      <c r="P233">
        <f>INDEX(참고!$C$5:$J$12, MATCH($J$2, 참고!$B$5:$B$12, 0), MATCH(P$2, 참고!$C$4:$J$4, 0))</f>
        <v>3</v>
      </c>
      <c r="Q233">
        <f>INDEX(참고!$C$5:$J$12, MATCH($J$2, 참고!$B$5:$B$12, 0), MATCH(Q$2, 참고!$C$4:$J$4, 0))</f>
        <v>1</v>
      </c>
      <c r="R233">
        <f>INDEX(참고!$C$5:$J$12, MATCH($J$2, 참고!$B$5:$B$12, 0), MATCH(R$2, 참고!$C$4:$J$4, 0))</f>
        <v>0</v>
      </c>
      <c r="S233">
        <f>INDEX(참고!$C$5:$J$12, MATCH($J$2, 참고!$B$5:$B$12, 0), MATCH(S$2, 참고!$C$4:$J$4, 0))</f>
        <v>0</v>
      </c>
      <c r="T233">
        <f>INDEX(참고!$C$5:$J$12, MATCH($J$2, 참고!$B$5:$B$12, 0), MATCH(T$2, 참고!$C$4:$J$4, 0))</f>
        <v>0</v>
      </c>
      <c r="U233">
        <f>INDEX(참고!$C$5:$J$12, MATCH($J$2, 참고!$B$5:$B$12, 0), MATCH(U$2, 참고!$C$4:$J$4, 0))</f>
        <v>0</v>
      </c>
    </row>
    <row r="234" spans="1:21">
      <c r="A234" t="s">
        <v>359</v>
      </c>
      <c r="B234" s="9">
        <v>250000</v>
      </c>
      <c r="C234">
        <f t="shared" si="3"/>
        <v>1249995</v>
      </c>
      <c r="O234">
        <f>INDEX(참고!$C$5:$J$12, MATCH("생명", 참고!$B$5:$B$12, 0), MATCH("HP", 참고!$C$4:$J$4, 0))*J234
+INDEX(참고!$C$5:$J$12, MATCH("힘", 참고!$B$5:$B$12, 0), MATCH("HP", 참고!$C$4:$J$4, 0))*K234
+INDEX(참고!$C$5:$J$12, MATCH("근력", 참고!$B$5:$B$12, 0), MATCH("HP", 참고!$C$4:$J$4, 0))*L234
+INDEX(참고!$C$5:$J$12, MATCH("숙련도", 참고!$B$5:$B$12, 0), MATCH("HP", 참고!$C$4:$J$4, 0))*M234
+INDEX(참고!$C$5:$J$12, MATCH("행운", 참고!$B$5:$B$12, 0), MATCH("HP", 참고!$C$4:$J$4, 0))*N234</f>
        <v>0</v>
      </c>
      <c r="P234">
        <f>INDEX(참고!$C$5:$J$12, MATCH($J$2, 참고!$B$5:$B$12, 0), MATCH(P$2, 참고!$C$4:$J$4, 0))</f>
        <v>3</v>
      </c>
      <c r="Q234">
        <f>INDEX(참고!$C$5:$J$12, MATCH($J$2, 참고!$B$5:$B$12, 0), MATCH(Q$2, 참고!$C$4:$J$4, 0))</f>
        <v>1</v>
      </c>
      <c r="R234">
        <f>INDEX(참고!$C$5:$J$12, MATCH($J$2, 참고!$B$5:$B$12, 0), MATCH(R$2, 참고!$C$4:$J$4, 0))</f>
        <v>0</v>
      </c>
      <c r="S234">
        <f>INDEX(참고!$C$5:$J$12, MATCH($J$2, 참고!$B$5:$B$12, 0), MATCH(S$2, 참고!$C$4:$J$4, 0))</f>
        <v>0</v>
      </c>
      <c r="T234">
        <f>INDEX(참고!$C$5:$J$12, MATCH($J$2, 참고!$B$5:$B$12, 0), MATCH(T$2, 참고!$C$4:$J$4, 0))</f>
        <v>0</v>
      </c>
      <c r="U234">
        <f>INDEX(참고!$C$5:$J$12, MATCH($J$2, 참고!$B$5:$B$12, 0), MATCH(U$2, 참고!$C$4:$J$4, 0))</f>
        <v>0</v>
      </c>
    </row>
    <row r="235" spans="1:21">
      <c r="A235" t="s">
        <v>360</v>
      </c>
      <c r="B235" s="9">
        <v>265000</v>
      </c>
      <c r="C235">
        <f t="shared" si="3"/>
        <v>1324995</v>
      </c>
      <c r="O235">
        <f>INDEX(참고!$C$5:$J$12, MATCH("생명", 참고!$B$5:$B$12, 0), MATCH("HP", 참고!$C$4:$J$4, 0))*J235
+INDEX(참고!$C$5:$J$12, MATCH("힘", 참고!$B$5:$B$12, 0), MATCH("HP", 참고!$C$4:$J$4, 0))*K235
+INDEX(참고!$C$5:$J$12, MATCH("근력", 참고!$B$5:$B$12, 0), MATCH("HP", 참고!$C$4:$J$4, 0))*L235
+INDEX(참고!$C$5:$J$12, MATCH("숙련도", 참고!$B$5:$B$12, 0), MATCH("HP", 참고!$C$4:$J$4, 0))*M235
+INDEX(참고!$C$5:$J$12, MATCH("행운", 참고!$B$5:$B$12, 0), MATCH("HP", 참고!$C$4:$J$4, 0))*N235</f>
        <v>0</v>
      </c>
      <c r="P235">
        <f>INDEX(참고!$C$5:$J$12, MATCH($J$2, 참고!$B$5:$B$12, 0), MATCH(P$2, 참고!$C$4:$J$4, 0))</f>
        <v>3</v>
      </c>
      <c r="Q235">
        <f>INDEX(참고!$C$5:$J$12, MATCH($J$2, 참고!$B$5:$B$12, 0), MATCH(Q$2, 참고!$C$4:$J$4, 0))</f>
        <v>1</v>
      </c>
      <c r="R235">
        <f>INDEX(참고!$C$5:$J$12, MATCH($J$2, 참고!$B$5:$B$12, 0), MATCH(R$2, 참고!$C$4:$J$4, 0))</f>
        <v>0</v>
      </c>
      <c r="S235">
        <f>INDEX(참고!$C$5:$J$12, MATCH($J$2, 참고!$B$5:$B$12, 0), MATCH(S$2, 참고!$C$4:$J$4, 0))</f>
        <v>0</v>
      </c>
      <c r="T235">
        <f>INDEX(참고!$C$5:$J$12, MATCH($J$2, 참고!$B$5:$B$12, 0), MATCH(T$2, 참고!$C$4:$J$4, 0))</f>
        <v>0</v>
      </c>
      <c r="U235">
        <f>INDEX(참고!$C$5:$J$12, MATCH($J$2, 참고!$B$5:$B$12, 0), MATCH(U$2, 참고!$C$4:$J$4, 0))</f>
        <v>0</v>
      </c>
    </row>
    <row r="236" spans="1:21">
      <c r="A236" t="s">
        <v>361</v>
      </c>
      <c r="B236" s="9">
        <v>280000</v>
      </c>
      <c r="C236">
        <f t="shared" si="3"/>
        <v>1399995</v>
      </c>
      <c r="O236">
        <f>INDEX(참고!$C$5:$J$12, MATCH("생명", 참고!$B$5:$B$12, 0), MATCH("HP", 참고!$C$4:$J$4, 0))*J236
+INDEX(참고!$C$5:$J$12, MATCH("힘", 참고!$B$5:$B$12, 0), MATCH("HP", 참고!$C$4:$J$4, 0))*K236
+INDEX(참고!$C$5:$J$12, MATCH("근력", 참고!$B$5:$B$12, 0), MATCH("HP", 참고!$C$4:$J$4, 0))*L236
+INDEX(참고!$C$5:$J$12, MATCH("숙련도", 참고!$B$5:$B$12, 0), MATCH("HP", 참고!$C$4:$J$4, 0))*M236
+INDEX(참고!$C$5:$J$12, MATCH("행운", 참고!$B$5:$B$12, 0), MATCH("HP", 참고!$C$4:$J$4, 0))*N236</f>
        <v>0</v>
      </c>
      <c r="P236">
        <f>INDEX(참고!$C$5:$J$12, MATCH($J$2, 참고!$B$5:$B$12, 0), MATCH(P$2, 참고!$C$4:$J$4, 0))</f>
        <v>3</v>
      </c>
      <c r="Q236">
        <f>INDEX(참고!$C$5:$J$12, MATCH($J$2, 참고!$B$5:$B$12, 0), MATCH(Q$2, 참고!$C$4:$J$4, 0))</f>
        <v>1</v>
      </c>
      <c r="R236">
        <f>INDEX(참고!$C$5:$J$12, MATCH($J$2, 참고!$B$5:$B$12, 0), MATCH(R$2, 참고!$C$4:$J$4, 0))</f>
        <v>0</v>
      </c>
      <c r="S236">
        <f>INDEX(참고!$C$5:$J$12, MATCH($J$2, 참고!$B$5:$B$12, 0), MATCH(S$2, 참고!$C$4:$J$4, 0))</f>
        <v>0</v>
      </c>
      <c r="T236">
        <f>INDEX(참고!$C$5:$J$12, MATCH($J$2, 참고!$B$5:$B$12, 0), MATCH(T$2, 참고!$C$4:$J$4, 0))</f>
        <v>0</v>
      </c>
      <c r="U236">
        <f>INDEX(참고!$C$5:$J$12, MATCH($J$2, 참고!$B$5:$B$12, 0), MATCH(U$2, 참고!$C$4:$J$4, 0))</f>
        <v>0</v>
      </c>
    </row>
    <row r="237" spans="1:21">
      <c r="A237" t="s">
        <v>362</v>
      </c>
      <c r="B237" s="9">
        <v>300000</v>
      </c>
      <c r="C237">
        <f t="shared" si="3"/>
        <v>1499995</v>
      </c>
      <c r="O237">
        <f>INDEX(참고!$C$5:$J$12, MATCH("생명", 참고!$B$5:$B$12, 0), MATCH("HP", 참고!$C$4:$J$4, 0))*J237
+INDEX(참고!$C$5:$J$12, MATCH("힘", 참고!$B$5:$B$12, 0), MATCH("HP", 참고!$C$4:$J$4, 0))*K237
+INDEX(참고!$C$5:$J$12, MATCH("근력", 참고!$B$5:$B$12, 0), MATCH("HP", 참고!$C$4:$J$4, 0))*L237
+INDEX(참고!$C$5:$J$12, MATCH("숙련도", 참고!$B$5:$B$12, 0), MATCH("HP", 참고!$C$4:$J$4, 0))*M237
+INDEX(참고!$C$5:$J$12, MATCH("행운", 참고!$B$5:$B$12, 0), MATCH("HP", 참고!$C$4:$J$4, 0))*N237</f>
        <v>0</v>
      </c>
      <c r="P237">
        <f>INDEX(참고!$C$5:$J$12, MATCH($J$2, 참고!$B$5:$B$12, 0), MATCH(P$2, 참고!$C$4:$J$4, 0))</f>
        <v>3</v>
      </c>
      <c r="Q237">
        <f>INDEX(참고!$C$5:$J$12, MATCH($J$2, 참고!$B$5:$B$12, 0), MATCH(Q$2, 참고!$C$4:$J$4, 0))</f>
        <v>1</v>
      </c>
      <c r="R237">
        <f>INDEX(참고!$C$5:$J$12, MATCH($J$2, 참고!$B$5:$B$12, 0), MATCH(R$2, 참고!$C$4:$J$4, 0))</f>
        <v>0</v>
      </c>
      <c r="S237">
        <f>INDEX(참고!$C$5:$J$12, MATCH($J$2, 참고!$B$5:$B$12, 0), MATCH(S$2, 참고!$C$4:$J$4, 0))</f>
        <v>0</v>
      </c>
      <c r="T237">
        <f>INDEX(참고!$C$5:$J$12, MATCH($J$2, 참고!$B$5:$B$12, 0), MATCH(T$2, 참고!$C$4:$J$4, 0))</f>
        <v>0</v>
      </c>
      <c r="U237">
        <f>INDEX(참고!$C$5:$J$12, MATCH($J$2, 참고!$B$5:$B$12, 0), MATCH(U$2, 참고!$C$4:$J$4, 0))</f>
        <v>0</v>
      </c>
    </row>
    <row r="238" spans="1:21">
      <c r="A238" t="s">
        <v>363</v>
      </c>
      <c r="B238" s="9">
        <v>330000</v>
      </c>
      <c r="C238">
        <f t="shared" si="3"/>
        <v>1649995</v>
      </c>
      <c r="O238">
        <f>INDEX(참고!$C$5:$J$12, MATCH("생명", 참고!$B$5:$B$12, 0), MATCH("HP", 참고!$C$4:$J$4, 0))*J238
+INDEX(참고!$C$5:$J$12, MATCH("힘", 참고!$B$5:$B$12, 0), MATCH("HP", 참고!$C$4:$J$4, 0))*K238
+INDEX(참고!$C$5:$J$12, MATCH("근력", 참고!$B$5:$B$12, 0), MATCH("HP", 참고!$C$4:$J$4, 0))*L238
+INDEX(참고!$C$5:$J$12, MATCH("숙련도", 참고!$B$5:$B$12, 0), MATCH("HP", 참고!$C$4:$J$4, 0))*M238
+INDEX(참고!$C$5:$J$12, MATCH("행운", 참고!$B$5:$B$12, 0), MATCH("HP", 참고!$C$4:$J$4, 0))*N238</f>
        <v>0</v>
      </c>
      <c r="P238">
        <f>INDEX(참고!$C$5:$J$12, MATCH($J$2, 참고!$B$5:$B$12, 0), MATCH(P$2, 참고!$C$4:$J$4, 0))</f>
        <v>3</v>
      </c>
      <c r="Q238">
        <f>INDEX(참고!$C$5:$J$12, MATCH($J$2, 참고!$B$5:$B$12, 0), MATCH(Q$2, 참고!$C$4:$J$4, 0))</f>
        <v>1</v>
      </c>
      <c r="R238">
        <f>INDEX(참고!$C$5:$J$12, MATCH($J$2, 참고!$B$5:$B$12, 0), MATCH(R$2, 참고!$C$4:$J$4, 0))</f>
        <v>0</v>
      </c>
      <c r="S238">
        <f>INDEX(참고!$C$5:$J$12, MATCH($J$2, 참고!$B$5:$B$12, 0), MATCH(S$2, 참고!$C$4:$J$4, 0))</f>
        <v>0</v>
      </c>
      <c r="T238">
        <f>INDEX(참고!$C$5:$J$12, MATCH($J$2, 참고!$B$5:$B$12, 0), MATCH(T$2, 참고!$C$4:$J$4, 0))</f>
        <v>0</v>
      </c>
      <c r="U238">
        <f>INDEX(참고!$C$5:$J$12, MATCH($J$2, 참고!$B$5:$B$12, 0), MATCH(U$2, 참고!$C$4:$J$4, 0))</f>
        <v>0</v>
      </c>
    </row>
    <row r="239" spans="1:21">
      <c r="A239" t="s">
        <v>364</v>
      </c>
      <c r="B239" s="9">
        <v>345000</v>
      </c>
      <c r="C239">
        <f t="shared" si="3"/>
        <v>1724995</v>
      </c>
      <c r="O239">
        <f>INDEX(참고!$C$5:$J$12, MATCH("생명", 참고!$B$5:$B$12, 0), MATCH("HP", 참고!$C$4:$J$4, 0))*J239
+INDEX(참고!$C$5:$J$12, MATCH("힘", 참고!$B$5:$B$12, 0), MATCH("HP", 참고!$C$4:$J$4, 0))*K239
+INDEX(참고!$C$5:$J$12, MATCH("근력", 참고!$B$5:$B$12, 0), MATCH("HP", 참고!$C$4:$J$4, 0))*L239
+INDEX(참고!$C$5:$J$12, MATCH("숙련도", 참고!$B$5:$B$12, 0), MATCH("HP", 참고!$C$4:$J$4, 0))*M239
+INDEX(참고!$C$5:$J$12, MATCH("행운", 참고!$B$5:$B$12, 0), MATCH("HP", 참고!$C$4:$J$4, 0))*N239</f>
        <v>0</v>
      </c>
      <c r="P239">
        <f>INDEX(참고!$C$5:$J$12, MATCH($J$2, 참고!$B$5:$B$12, 0), MATCH(P$2, 참고!$C$4:$J$4, 0))</f>
        <v>3</v>
      </c>
      <c r="Q239">
        <f>INDEX(참고!$C$5:$J$12, MATCH($J$2, 참고!$B$5:$B$12, 0), MATCH(Q$2, 참고!$C$4:$J$4, 0))</f>
        <v>1</v>
      </c>
      <c r="R239">
        <f>INDEX(참고!$C$5:$J$12, MATCH($J$2, 참고!$B$5:$B$12, 0), MATCH(R$2, 참고!$C$4:$J$4, 0))</f>
        <v>0</v>
      </c>
      <c r="S239">
        <f>INDEX(참고!$C$5:$J$12, MATCH($J$2, 참고!$B$5:$B$12, 0), MATCH(S$2, 참고!$C$4:$J$4, 0))</f>
        <v>0</v>
      </c>
      <c r="T239">
        <f>INDEX(참고!$C$5:$J$12, MATCH($J$2, 참고!$B$5:$B$12, 0), MATCH(T$2, 참고!$C$4:$J$4, 0))</f>
        <v>0</v>
      </c>
      <c r="U239">
        <f>INDEX(참고!$C$5:$J$12, MATCH($J$2, 참고!$B$5:$B$12, 0), MATCH(U$2, 참고!$C$4:$J$4, 0))</f>
        <v>0</v>
      </c>
    </row>
    <row r="240" spans="1:21">
      <c r="A240" t="s">
        <v>365</v>
      </c>
      <c r="B240" s="9">
        <v>360000</v>
      </c>
      <c r="C240">
        <f t="shared" si="3"/>
        <v>1799995</v>
      </c>
      <c r="O240">
        <f>INDEX(참고!$C$5:$J$12, MATCH("생명", 참고!$B$5:$B$12, 0), MATCH("HP", 참고!$C$4:$J$4, 0))*J240
+INDEX(참고!$C$5:$J$12, MATCH("힘", 참고!$B$5:$B$12, 0), MATCH("HP", 참고!$C$4:$J$4, 0))*K240
+INDEX(참고!$C$5:$J$12, MATCH("근력", 참고!$B$5:$B$12, 0), MATCH("HP", 참고!$C$4:$J$4, 0))*L240
+INDEX(참고!$C$5:$J$12, MATCH("숙련도", 참고!$B$5:$B$12, 0), MATCH("HP", 참고!$C$4:$J$4, 0))*M240
+INDEX(참고!$C$5:$J$12, MATCH("행운", 참고!$B$5:$B$12, 0), MATCH("HP", 참고!$C$4:$J$4, 0))*N240</f>
        <v>0</v>
      </c>
      <c r="P240">
        <f>INDEX(참고!$C$5:$J$12, MATCH($J$2, 참고!$B$5:$B$12, 0), MATCH(P$2, 참고!$C$4:$J$4, 0))</f>
        <v>3</v>
      </c>
      <c r="Q240">
        <f>INDEX(참고!$C$5:$J$12, MATCH($J$2, 참고!$B$5:$B$12, 0), MATCH(Q$2, 참고!$C$4:$J$4, 0))</f>
        <v>1</v>
      </c>
      <c r="R240">
        <f>INDEX(참고!$C$5:$J$12, MATCH($J$2, 참고!$B$5:$B$12, 0), MATCH(R$2, 참고!$C$4:$J$4, 0))</f>
        <v>0</v>
      </c>
      <c r="S240">
        <f>INDEX(참고!$C$5:$J$12, MATCH($J$2, 참고!$B$5:$B$12, 0), MATCH(S$2, 참고!$C$4:$J$4, 0))</f>
        <v>0</v>
      </c>
      <c r="T240">
        <f>INDEX(참고!$C$5:$J$12, MATCH($J$2, 참고!$B$5:$B$12, 0), MATCH(T$2, 참고!$C$4:$J$4, 0))</f>
        <v>0</v>
      </c>
      <c r="U240">
        <f>INDEX(참고!$C$5:$J$12, MATCH($J$2, 참고!$B$5:$B$12, 0), MATCH(U$2, 참고!$C$4:$J$4, 0))</f>
        <v>0</v>
      </c>
    </row>
    <row r="241" spans="1:21">
      <c r="A241" t="s">
        <v>366</v>
      </c>
      <c r="B241" s="9">
        <v>375000</v>
      </c>
      <c r="C241">
        <f t="shared" si="3"/>
        <v>1874995</v>
      </c>
      <c r="O241">
        <f>INDEX(참고!$C$5:$J$12, MATCH("생명", 참고!$B$5:$B$12, 0), MATCH("HP", 참고!$C$4:$J$4, 0))*J241
+INDEX(참고!$C$5:$J$12, MATCH("힘", 참고!$B$5:$B$12, 0), MATCH("HP", 참고!$C$4:$J$4, 0))*K241
+INDEX(참고!$C$5:$J$12, MATCH("근력", 참고!$B$5:$B$12, 0), MATCH("HP", 참고!$C$4:$J$4, 0))*L241
+INDEX(참고!$C$5:$J$12, MATCH("숙련도", 참고!$B$5:$B$12, 0), MATCH("HP", 참고!$C$4:$J$4, 0))*M241
+INDEX(참고!$C$5:$J$12, MATCH("행운", 참고!$B$5:$B$12, 0), MATCH("HP", 참고!$C$4:$J$4, 0))*N241</f>
        <v>0</v>
      </c>
      <c r="P241">
        <f>INDEX(참고!$C$5:$J$12, MATCH($J$2, 참고!$B$5:$B$12, 0), MATCH(P$2, 참고!$C$4:$J$4, 0))</f>
        <v>3</v>
      </c>
      <c r="Q241">
        <f>INDEX(참고!$C$5:$J$12, MATCH($J$2, 참고!$B$5:$B$12, 0), MATCH(Q$2, 참고!$C$4:$J$4, 0))</f>
        <v>1</v>
      </c>
      <c r="R241">
        <f>INDEX(참고!$C$5:$J$12, MATCH($J$2, 참고!$B$5:$B$12, 0), MATCH(R$2, 참고!$C$4:$J$4, 0))</f>
        <v>0</v>
      </c>
      <c r="S241">
        <f>INDEX(참고!$C$5:$J$12, MATCH($J$2, 참고!$B$5:$B$12, 0), MATCH(S$2, 참고!$C$4:$J$4, 0))</f>
        <v>0</v>
      </c>
      <c r="T241">
        <f>INDEX(참고!$C$5:$J$12, MATCH($J$2, 참고!$B$5:$B$12, 0), MATCH(T$2, 참고!$C$4:$J$4, 0))</f>
        <v>0</v>
      </c>
      <c r="U241">
        <f>INDEX(참고!$C$5:$J$12, MATCH($J$2, 참고!$B$5:$B$12, 0), MATCH(U$2, 참고!$C$4:$J$4, 0))</f>
        <v>0</v>
      </c>
    </row>
    <row r="242" spans="1:21">
      <c r="A242" t="s">
        <v>367</v>
      </c>
      <c r="B242" s="9">
        <v>390000</v>
      </c>
      <c r="C242">
        <f t="shared" si="3"/>
        <v>1949995</v>
      </c>
      <c r="O242">
        <f>INDEX(참고!$C$5:$J$12, MATCH("생명", 참고!$B$5:$B$12, 0), MATCH("HP", 참고!$C$4:$J$4, 0))*J242
+INDEX(참고!$C$5:$J$12, MATCH("힘", 참고!$B$5:$B$12, 0), MATCH("HP", 참고!$C$4:$J$4, 0))*K242
+INDEX(참고!$C$5:$J$12, MATCH("근력", 참고!$B$5:$B$12, 0), MATCH("HP", 참고!$C$4:$J$4, 0))*L242
+INDEX(참고!$C$5:$J$12, MATCH("숙련도", 참고!$B$5:$B$12, 0), MATCH("HP", 참고!$C$4:$J$4, 0))*M242
+INDEX(참고!$C$5:$J$12, MATCH("행운", 참고!$B$5:$B$12, 0), MATCH("HP", 참고!$C$4:$J$4, 0))*N242</f>
        <v>0</v>
      </c>
      <c r="P242">
        <f>INDEX(참고!$C$5:$J$12, MATCH($J$2, 참고!$B$5:$B$12, 0), MATCH(P$2, 참고!$C$4:$J$4, 0))</f>
        <v>3</v>
      </c>
      <c r="Q242">
        <f>INDEX(참고!$C$5:$J$12, MATCH($J$2, 참고!$B$5:$B$12, 0), MATCH(Q$2, 참고!$C$4:$J$4, 0))</f>
        <v>1</v>
      </c>
      <c r="R242">
        <f>INDEX(참고!$C$5:$J$12, MATCH($J$2, 참고!$B$5:$B$12, 0), MATCH(R$2, 참고!$C$4:$J$4, 0))</f>
        <v>0</v>
      </c>
      <c r="S242">
        <f>INDEX(참고!$C$5:$J$12, MATCH($J$2, 참고!$B$5:$B$12, 0), MATCH(S$2, 참고!$C$4:$J$4, 0))</f>
        <v>0</v>
      </c>
      <c r="T242">
        <f>INDEX(참고!$C$5:$J$12, MATCH($J$2, 참고!$B$5:$B$12, 0), MATCH(T$2, 참고!$C$4:$J$4, 0))</f>
        <v>0</v>
      </c>
      <c r="U242">
        <f>INDEX(참고!$C$5:$J$12, MATCH($J$2, 참고!$B$5:$B$12, 0), MATCH(U$2, 참고!$C$4:$J$4, 0))</f>
        <v>0</v>
      </c>
    </row>
    <row r="243" spans="1:21">
      <c r="A243" t="s">
        <v>368</v>
      </c>
      <c r="B243" s="9">
        <v>400000</v>
      </c>
      <c r="C243">
        <f t="shared" si="3"/>
        <v>1999995</v>
      </c>
      <c r="O243">
        <f>INDEX(참고!$C$5:$J$12, MATCH("생명", 참고!$B$5:$B$12, 0), MATCH("HP", 참고!$C$4:$J$4, 0))*J243
+INDEX(참고!$C$5:$J$12, MATCH("힘", 참고!$B$5:$B$12, 0), MATCH("HP", 참고!$C$4:$J$4, 0))*K243
+INDEX(참고!$C$5:$J$12, MATCH("근력", 참고!$B$5:$B$12, 0), MATCH("HP", 참고!$C$4:$J$4, 0))*L243
+INDEX(참고!$C$5:$J$12, MATCH("숙련도", 참고!$B$5:$B$12, 0), MATCH("HP", 참고!$C$4:$J$4, 0))*M243
+INDEX(참고!$C$5:$J$12, MATCH("행운", 참고!$B$5:$B$12, 0), MATCH("HP", 참고!$C$4:$J$4, 0))*N243</f>
        <v>0</v>
      </c>
      <c r="P243">
        <f>INDEX(참고!$C$5:$J$12, MATCH($J$2, 참고!$B$5:$B$12, 0), MATCH(P$2, 참고!$C$4:$J$4, 0))</f>
        <v>3</v>
      </c>
      <c r="Q243">
        <f>INDEX(참고!$C$5:$J$12, MATCH($J$2, 참고!$B$5:$B$12, 0), MATCH(Q$2, 참고!$C$4:$J$4, 0))</f>
        <v>1</v>
      </c>
      <c r="R243">
        <f>INDEX(참고!$C$5:$J$12, MATCH($J$2, 참고!$B$5:$B$12, 0), MATCH(R$2, 참고!$C$4:$J$4, 0))</f>
        <v>0</v>
      </c>
      <c r="S243">
        <f>INDEX(참고!$C$5:$J$12, MATCH($J$2, 참고!$B$5:$B$12, 0), MATCH(S$2, 참고!$C$4:$J$4, 0))</f>
        <v>0</v>
      </c>
      <c r="T243">
        <f>INDEX(참고!$C$5:$J$12, MATCH($J$2, 참고!$B$5:$B$12, 0), MATCH(T$2, 참고!$C$4:$J$4, 0))</f>
        <v>0</v>
      </c>
      <c r="U243">
        <f>INDEX(참고!$C$5:$J$12, MATCH($J$2, 참고!$B$5:$B$12, 0), MATCH(U$2, 참고!$C$4:$J$4, 0))</f>
        <v>0</v>
      </c>
    </row>
    <row r="244" spans="1:21">
      <c r="A244" t="s">
        <v>369</v>
      </c>
      <c r="B244" s="9">
        <v>415000</v>
      </c>
      <c r="C244">
        <f t="shared" si="3"/>
        <v>2074995</v>
      </c>
      <c r="O244">
        <f>INDEX(참고!$C$5:$J$12, MATCH("생명", 참고!$B$5:$B$12, 0), MATCH("HP", 참고!$C$4:$J$4, 0))*J244
+INDEX(참고!$C$5:$J$12, MATCH("힘", 참고!$B$5:$B$12, 0), MATCH("HP", 참고!$C$4:$J$4, 0))*K244
+INDEX(참고!$C$5:$J$12, MATCH("근력", 참고!$B$5:$B$12, 0), MATCH("HP", 참고!$C$4:$J$4, 0))*L244
+INDEX(참고!$C$5:$J$12, MATCH("숙련도", 참고!$B$5:$B$12, 0), MATCH("HP", 참고!$C$4:$J$4, 0))*M244
+INDEX(참고!$C$5:$J$12, MATCH("행운", 참고!$B$5:$B$12, 0), MATCH("HP", 참고!$C$4:$J$4, 0))*N244</f>
        <v>0</v>
      </c>
      <c r="P244">
        <f>INDEX(참고!$C$5:$J$12, MATCH($J$2, 참고!$B$5:$B$12, 0), MATCH(P$2, 참고!$C$4:$J$4, 0))</f>
        <v>3</v>
      </c>
      <c r="Q244">
        <f>INDEX(참고!$C$5:$J$12, MATCH($J$2, 참고!$B$5:$B$12, 0), MATCH(Q$2, 참고!$C$4:$J$4, 0))</f>
        <v>1</v>
      </c>
      <c r="R244">
        <f>INDEX(참고!$C$5:$J$12, MATCH($J$2, 참고!$B$5:$B$12, 0), MATCH(R$2, 참고!$C$4:$J$4, 0))</f>
        <v>0</v>
      </c>
      <c r="S244">
        <f>INDEX(참고!$C$5:$J$12, MATCH($J$2, 참고!$B$5:$B$12, 0), MATCH(S$2, 참고!$C$4:$J$4, 0))</f>
        <v>0</v>
      </c>
      <c r="T244">
        <f>INDEX(참고!$C$5:$J$12, MATCH($J$2, 참고!$B$5:$B$12, 0), MATCH(T$2, 참고!$C$4:$J$4, 0))</f>
        <v>0</v>
      </c>
      <c r="U244">
        <f>INDEX(참고!$C$5:$J$12, MATCH($J$2, 참고!$B$5:$B$12, 0), MATCH(U$2, 참고!$C$4:$J$4, 0))</f>
        <v>0</v>
      </c>
    </row>
    <row r="245" spans="1:21">
      <c r="A245" t="s">
        <v>370</v>
      </c>
      <c r="B245" s="9">
        <v>450000</v>
      </c>
      <c r="C245">
        <f t="shared" si="3"/>
        <v>2249995</v>
      </c>
      <c r="O245">
        <f>INDEX(참고!$C$5:$J$12, MATCH("생명", 참고!$B$5:$B$12, 0), MATCH("HP", 참고!$C$4:$J$4, 0))*J245
+INDEX(참고!$C$5:$J$12, MATCH("힘", 참고!$B$5:$B$12, 0), MATCH("HP", 참고!$C$4:$J$4, 0))*K245
+INDEX(참고!$C$5:$J$12, MATCH("근력", 참고!$B$5:$B$12, 0), MATCH("HP", 참고!$C$4:$J$4, 0))*L245
+INDEX(참고!$C$5:$J$12, MATCH("숙련도", 참고!$B$5:$B$12, 0), MATCH("HP", 참고!$C$4:$J$4, 0))*M245
+INDEX(참고!$C$5:$J$12, MATCH("행운", 참고!$B$5:$B$12, 0), MATCH("HP", 참고!$C$4:$J$4, 0))*N245</f>
        <v>0</v>
      </c>
      <c r="P245">
        <f>INDEX(참고!$C$5:$J$12, MATCH($J$2, 참고!$B$5:$B$12, 0), MATCH(P$2, 참고!$C$4:$J$4, 0))</f>
        <v>3</v>
      </c>
      <c r="Q245">
        <f>INDEX(참고!$C$5:$J$12, MATCH($J$2, 참고!$B$5:$B$12, 0), MATCH(Q$2, 참고!$C$4:$J$4, 0))</f>
        <v>1</v>
      </c>
      <c r="R245">
        <f>INDEX(참고!$C$5:$J$12, MATCH($J$2, 참고!$B$5:$B$12, 0), MATCH(R$2, 참고!$C$4:$J$4, 0))</f>
        <v>0</v>
      </c>
      <c r="S245">
        <f>INDEX(참고!$C$5:$J$12, MATCH($J$2, 참고!$B$5:$B$12, 0), MATCH(S$2, 참고!$C$4:$J$4, 0))</f>
        <v>0</v>
      </c>
      <c r="T245">
        <f>INDEX(참고!$C$5:$J$12, MATCH($J$2, 참고!$B$5:$B$12, 0), MATCH(T$2, 참고!$C$4:$J$4, 0))</f>
        <v>0</v>
      </c>
      <c r="U245">
        <f>INDEX(참고!$C$5:$J$12, MATCH($J$2, 참고!$B$5:$B$12, 0), MATCH(U$2, 참고!$C$4:$J$4, 0))</f>
        <v>0</v>
      </c>
    </row>
    <row r="246" spans="1:21">
      <c r="A246" t="s">
        <v>371</v>
      </c>
      <c r="B246" s="9">
        <v>475000</v>
      </c>
      <c r="C246">
        <f t="shared" si="3"/>
        <v>2374995</v>
      </c>
      <c r="O246">
        <f>INDEX(참고!$C$5:$J$12, MATCH("생명", 참고!$B$5:$B$12, 0), MATCH("HP", 참고!$C$4:$J$4, 0))*J246
+INDEX(참고!$C$5:$J$12, MATCH("힘", 참고!$B$5:$B$12, 0), MATCH("HP", 참고!$C$4:$J$4, 0))*K246
+INDEX(참고!$C$5:$J$12, MATCH("근력", 참고!$B$5:$B$12, 0), MATCH("HP", 참고!$C$4:$J$4, 0))*L246
+INDEX(참고!$C$5:$J$12, MATCH("숙련도", 참고!$B$5:$B$12, 0), MATCH("HP", 참고!$C$4:$J$4, 0))*M246
+INDEX(참고!$C$5:$J$12, MATCH("행운", 참고!$B$5:$B$12, 0), MATCH("HP", 참고!$C$4:$J$4, 0))*N246</f>
        <v>0</v>
      </c>
      <c r="P246">
        <f>INDEX(참고!$C$5:$J$12, MATCH($J$2, 참고!$B$5:$B$12, 0), MATCH(P$2, 참고!$C$4:$J$4, 0))</f>
        <v>3</v>
      </c>
      <c r="Q246">
        <f>INDEX(참고!$C$5:$J$12, MATCH($J$2, 참고!$B$5:$B$12, 0), MATCH(Q$2, 참고!$C$4:$J$4, 0))</f>
        <v>1</v>
      </c>
      <c r="R246">
        <f>INDEX(참고!$C$5:$J$12, MATCH($J$2, 참고!$B$5:$B$12, 0), MATCH(R$2, 참고!$C$4:$J$4, 0))</f>
        <v>0</v>
      </c>
      <c r="S246">
        <f>INDEX(참고!$C$5:$J$12, MATCH($J$2, 참고!$B$5:$B$12, 0), MATCH(S$2, 참고!$C$4:$J$4, 0))</f>
        <v>0</v>
      </c>
      <c r="T246">
        <f>INDEX(참고!$C$5:$J$12, MATCH($J$2, 참고!$B$5:$B$12, 0), MATCH(T$2, 참고!$C$4:$J$4, 0))</f>
        <v>0</v>
      </c>
      <c r="U246">
        <f>INDEX(참고!$C$5:$J$12, MATCH($J$2, 참고!$B$5:$B$12, 0), MATCH(U$2, 참고!$C$4:$J$4, 0))</f>
        <v>0</v>
      </c>
    </row>
    <row r="247" spans="1:21">
      <c r="A247" t="s">
        <v>372</v>
      </c>
      <c r="B247" s="9">
        <v>480000</v>
      </c>
      <c r="C247">
        <f t="shared" si="3"/>
        <v>2399995</v>
      </c>
      <c r="O247">
        <f>INDEX(참고!$C$5:$J$12, MATCH("생명", 참고!$B$5:$B$12, 0), MATCH("HP", 참고!$C$4:$J$4, 0))*J247
+INDEX(참고!$C$5:$J$12, MATCH("힘", 참고!$B$5:$B$12, 0), MATCH("HP", 참고!$C$4:$J$4, 0))*K247
+INDEX(참고!$C$5:$J$12, MATCH("근력", 참고!$B$5:$B$12, 0), MATCH("HP", 참고!$C$4:$J$4, 0))*L247
+INDEX(참고!$C$5:$J$12, MATCH("숙련도", 참고!$B$5:$B$12, 0), MATCH("HP", 참고!$C$4:$J$4, 0))*M247
+INDEX(참고!$C$5:$J$12, MATCH("행운", 참고!$B$5:$B$12, 0), MATCH("HP", 참고!$C$4:$J$4, 0))*N247</f>
        <v>0</v>
      </c>
      <c r="P247">
        <f>INDEX(참고!$C$5:$J$12, MATCH($J$2, 참고!$B$5:$B$12, 0), MATCH(P$2, 참고!$C$4:$J$4, 0))</f>
        <v>3</v>
      </c>
      <c r="Q247">
        <f>INDEX(참고!$C$5:$J$12, MATCH($J$2, 참고!$B$5:$B$12, 0), MATCH(Q$2, 참고!$C$4:$J$4, 0))</f>
        <v>1</v>
      </c>
      <c r="R247">
        <f>INDEX(참고!$C$5:$J$12, MATCH($J$2, 참고!$B$5:$B$12, 0), MATCH(R$2, 참고!$C$4:$J$4, 0))</f>
        <v>0</v>
      </c>
      <c r="S247">
        <f>INDEX(참고!$C$5:$J$12, MATCH($J$2, 참고!$B$5:$B$12, 0), MATCH(S$2, 참고!$C$4:$J$4, 0))</f>
        <v>0</v>
      </c>
      <c r="T247">
        <f>INDEX(참고!$C$5:$J$12, MATCH($J$2, 참고!$B$5:$B$12, 0), MATCH(T$2, 참고!$C$4:$J$4, 0))</f>
        <v>0</v>
      </c>
      <c r="U247">
        <f>INDEX(참고!$C$5:$J$12, MATCH($J$2, 참고!$B$5:$B$12, 0), MATCH(U$2, 참고!$C$4:$J$4, 0))</f>
        <v>0</v>
      </c>
    </row>
    <row r="248" spans="1:21">
      <c r="A248" t="s">
        <v>373</v>
      </c>
      <c r="B248" s="9">
        <v>500000</v>
      </c>
      <c r="C248">
        <f t="shared" si="3"/>
        <v>2499995</v>
      </c>
      <c r="O248">
        <f>INDEX(참고!$C$5:$J$12, MATCH("생명", 참고!$B$5:$B$12, 0), MATCH("HP", 참고!$C$4:$J$4, 0))*J248
+INDEX(참고!$C$5:$J$12, MATCH("힘", 참고!$B$5:$B$12, 0), MATCH("HP", 참고!$C$4:$J$4, 0))*K248
+INDEX(참고!$C$5:$J$12, MATCH("근력", 참고!$B$5:$B$12, 0), MATCH("HP", 참고!$C$4:$J$4, 0))*L248
+INDEX(참고!$C$5:$J$12, MATCH("숙련도", 참고!$B$5:$B$12, 0), MATCH("HP", 참고!$C$4:$J$4, 0))*M248
+INDEX(참고!$C$5:$J$12, MATCH("행운", 참고!$B$5:$B$12, 0), MATCH("HP", 참고!$C$4:$J$4, 0))*N248</f>
        <v>0</v>
      </c>
      <c r="P248">
        <f>INDEX(참고!$C$5:$J$12, MATCH($J$2, 참고!$B$5:$B$12, 0), MATCH(P$2, 참고!$C$4:$J$4, 0))</f>
        <v>3</v>
      </c>
      <c r="Q248">
        <f>INDEX(참고!$C$5:$J$12, MATCH($J$2, 참고!$B$5:$B$12, 0), MATCH(Q$2, 참고!$C$4:$J$4, 0))</f>
        <v>1</v>
      </c>
      <c r="R248">
        <f>INDEX(참고!$C$5:$J$12, MATCH($J$2, 참고!$B$5:$B$12, 0), MATCH(R$2, 참고!$C$4:$J$4, 0))</f>
        <v>0</v>
      </c>
      <c r="S248">
        <f>INDEX(참고!$C$5:$J$12, MATCH($J$2, 참고!$B$5:$B$12, 0), MATCH(S$2, 참고!$C$4:$J$4, 0))</f>
        <v>0</v>
      </c>
      <c r="T248">
        <f>INDEX(참고!$C$5:$J$12, MATCH($J$2, 참고!$B$5:$B$12, 0), MATCH(T$2, 참고!$C$4:$J$4, 0))</f>
        <v>0</v>
      </c>
      <c r="U248">
        <f>INDEX(참고!$C$5:$J$12, MATCH($J$2, 참고!$B$5:$B$12, 0), MATCH(U$2, 참고!$C$4:$J$4, 0))</f>
        <v>0</v>
      </c>
    </row>
    <row r="249" spans="1:21">
      <c r="A249" t="s">
        <v>374</v>
      </c>
      <c r="B249" s="9">
        <v>525000</v>
      </c>
      <c r="C249">
        <f t="shared" si="3"/>
        <v>2624995</v>
      </c>
      <c r="O249">
        <f>INDEX(참고!$C$5:$J$12, MATCH("생명", 참고!$B$5:$B$12, 0), MATCH("HP", 참고!$C$4:$J$4, 0))*J249
+INDEX(참고!$C$5:$J$12, MATCH("힘", 참고!$B$5:$B$12, 0), MATCH("HP", 참고!$C$4:$J$4, 0))*K249
+INDEX(참고!$C$5:$J$12, MATCH("근력", 참고!$B$5:$B$12, 0), MATCH("HP", 참고!$C$4:$J$4, 0))*L249
+INDEX(참고!$C$5:$J$12, MATCH("숙련도", 참고!$B$5:$B$12, 0), MATCH("HP", 참고!$C$4:$J$4, 0))*M249
+INDEX(참고!$C$5:$J$12, MATCH("행운", 참고!$B$5:$B$12, 0), MATCH("HP", 참고!$C$4:$J$4, 0))*N249</f>
        <v>0</v>
      </c>
      <c r="P249">
        <f>INDEX(참고!$C$5:$J$12, MATCH($J$2, 참고!$B$5:$B$12, 0), MATCH(P$2, 참고!$C$4:$J$4, 0))</f>
        <v>3</v>
      </c>
      <c r="Q249">
        <f>INDEX(참고!$C$5:$J$12, MATCH($J$2, 참고!$B$5:$B$12, 0), MATCH(Q$2, 참고!$C$4:$J$4, 0))</f>
        <v>1</v>
      </c>
      <c r="R249">
        <f>INDEX(참고!$C$5:$J$12, MATCH($J$2, 참고!$B$5:$B$12, 0), MATCH(R$2, 참고!$C$4:$J$4, 0))</f>
        <v>0</v>
      </c>
      <c r="S249">
        <f>INDEX(참고!$C$5:$J$12, MATCH($J$2, 참고!$B$5:$B$12, 0), MATCH(S$2, 참고!$C$4:$J$4, 0))</f>
        <v>0</v>
      </c>
      <c r="T249">
        <f>INDEX(참고!$C$5:$J$12, MATCH($J$2, 참고!$B$5:$B$12, 0), MATCH(T$2, 참고!$C$4:$J$4, 0))</f>
        <v>0</v>
      </c>
      <c r="U249">
        <f>INDEX(참고!$C$5:$J$12, MATCH($J$2, 참고!$B$5:$B$12, 0), MATCH(U$2, 참고!$C$4:$J$4, 0))</f>
        <v>0</v>
      </c>
    </row>
    <row r="250" spans="1:21">
      <c r="A250" t="s">
        <v>375</v>
      </c>
      <c r="B250" s="9">
        <v>550000</v>
      </c>
      <c r="C250">
        <f t="shared" si="3"/>
        <v>2749995</v>
      </c>
      <c r="O250">
        <f>INDEX(참고!$C$5:$J$12, MATCH("생명", 참고!$B$5:$B$12, 0), MATCH("HP", 참고!$C$4:$J$4, 0))*J250
+INDEX(참고!$C$5:$J$12, MATCH("힘", 참고!$B$5:$B$12, 0), MATCH("HP", 참고!$C$4:$J$4, 0))*K250
+INDEX(참고!$C$5:$J$12, MATCH("근력", 참고!$B$5:$B$12, 0), MATCH("HP", 참고!$C$4:$J$4, 0))*L250
+INDEX(참고!$C$5:$J$12, MATCH("숙련도", 참고!$B$5:$B$12, 0), MATCH("HP", 참고!$C$4:$J$4, 0))*M250
+INDEX(참고!$C$5:$J$12, MATCH("행운", 참고!$B$5:$B$12, 0), MATCH("HP", 참고!$C$4:$J$4, 0))*N250</f>
        <v>0</v>
      </c>
      <c r="P250">
        <f>INDEX(참고!$C$5:$J$12, MATCH($J$2, 참고!$B$5:$B$12, 0), MATCH(P$2, 참고!$C$4:$J$4, 0))</f>
        <v>3</v>
      </c>
      <c r="Q250">
        <f>INDEX(참고!$C$5:$J$12, MATCH($J$2, 참고!$B$5:$B$12, 0), MATCH(Q$2, 참고!$C$4:$J$4, 0))</f>
        <v>1</v>
      </c>
      <c r="R250">
        <f>INDEX(참고!$C$5:$J$12, MATCH($J$2, 참고!$B$5:$B$12, 0), MATCH(R$2, 참고!$C$4:$J$4, 0))</f>
        <v>0</v>
      </c>
      <c r="S250">
        <f>INDEX(참고!$C$5:$J$12, MATCH($J$2, 참고!$B$5:$B$12, 0), MATCH(S$2, 참고!$C$4:$J$4, 0))</f>
        <v>0</v>
      </c>
      <c r="T250">
        <f>INDEX(참고!$C$5:$J$12, MATCH($J$2, 참고!$B$5:$B$12, 0), MATCH(T$2, 참고!$C$4:$J$4, 0))</f>
        <v>0</v>
      </c>
      <c r="U250">
        <f>INDEX(참고!$C$5:$J$12, MATCH($J$2, 참고!$B$5:$B$12, 0), MATCH(U$2, 참고!$C$4:$J$4, 0))</f>
        <v>0</v>
      </c>
    </row>
    <row r="251" spans="1:21">
      <c r="A251" t="s">
        <v>376</v>
      </c>
      <c r="B251" s="9">
        <v>575000</v>
      </c>
      <c r="C251">
        <f t="shared" si="3"/>
        <v>2874995</v>
      </c>
      <c r="O251">
        <f>INDEX(참고!$C$5:$J$12, MATCH("생명", 참고!$B$5:$B$12, 0), MATCH("HP", 참고!$C$4:$J$4, 0))*J251
+INDEX(참고!$C$5:$J$12, MATCH("힘", 참고!$B$5:$B$12, 0), MATCH("HP", 참고!$C$4:$J$4, 0))*K251
+INDEX(참고!$C$5:$J$12, MATCH("근력", 참고!$B$5:$B$12, 0), MATCH("HP", 참고!$C$4:$J$4, 0))*L251
+INDEX(참고!$C$5:$J$12, MATCH("숙련도", 참고!$B$5:$B$12, 0), MATCH("HP", 참고!$C$4:$J$4, 0))*M251
+INDEX(참고!$C$5:$J$12, MATCH("행운", 참고!$B$5:$B$12, 0), MATCH("HP", 참고!$C$4:$J$4, 0))*N251</f>
        <v>0</v>
      </c>
      <c r="P251">
        <f>INDEX(참고!$C$5:$J$12, MATCH($J$2, 참고!$B$5:$B$12, 0), MATCH(P$2, 참고!$C$4:$J$4, 0))</f>
        <v>3</v>
      </c>
      <c r="Q251">
        <f>INDEX(참고!$C$5:$J$12, MATCH($J$2, 참고!$B$5:$B$12, 0), MATCH(Q$2, 참고!$C$4:$J$4, 0))</f>
        <v>1</v>
      </c>
      <c r="R251">
        <f>INDEX(참고!$C$5:$J$12, MATCH($J$2, 참고!$B$5:$B$12, 0), MATCH(R$2, 참고!$C$4:$J$4, 0))</f>
        <v>0</v>
      </c>
      <c r="S251">
        <f>INDEX(참고!$C$5:$J$12, MATCH($J$2, 참고!$B$5:$B$12, 0), MATCH(S$2, 참고!$C$4:$J$4, 0))</f>
        <v>0</v>
      </c>
      <c r="T251">
        <f>INDEX(참고!$C$5:$J$12, MATCH($J$2, 참고!$B$5:$B$12, 0), MATCH(T$2, 참고!$C$4:$J$4, 0))</f>
        <v>0</v>
      </c>
      <c r="U251">
        <f>INDEX(참고!$C$5:$J$12, MATCH($J$2, 참고!$B$5:$B$12, 0), MATCH(U$2, 참고!$C$4:$J$4, 0))</f>
        <v>0</v>
      </c>
    </row>
    <row r="252" spans="1:21">
      <c r="A252" t="s">
        <v>377</v>
      </c>
      <c r="B252" s="9">
        <v>600000</v>
      </c>
      <c r="C252">
        <f t="shared" si="3"/>
        <v>2999995</v>
      </c>
      <c r="O252">
        <f>INDEX(참고!$C$5:$J$12, MATCH("생명", 참고!$B$5:$B$12, 0), MATCH("HP", 참고!$C$4:$J$4, 0))*J252
+INDEX(참고!$C$5:$J$12, MATCH("힘", 참고!$B$5:$B$12, 0), MATCH("HP", 참고!$C$4:$J$4, 0))*K252
+INDEX(참고!$C$5:$J$12, MATCH("근력", 참고!$B$5:$B$12, 0), MATCH("HP", 참고!$C$4:$J$4, 0))*L252
+INDEX(참고!$C$5:$J$12, MATCH("숙련도", 참고!$B$5:$B$12, 0), MATCH("HP", 참고!$C$4:$J$4, 0))*M252
+INDEX(참고!$C$5:$J$12, MATCH("행운", 참고!$B$5:$B$12, 0), MATCH("HP", 참고!$C$4:$J$4, 0))*N252</f>
        <v>0</v>
      </c>
      <c r="P252">
        <f>INDEX(참고!$C$5:$J$12, MATCH($J$2, 참고!$B$5:$B$12, 0), MATCH(P$2, 참고!$C$4:$J$4, 0))</f>
        <v>3</v>
      </c>
      <c r="Q252">
        <f>INDEX(참고!$C$5:$J$12, MATCH($J$2, 참고!$B$5:$B$12, 0), MATCH(Q$2, 참고!$C$4:$J$4, 0))</f>
        <v>1</v>
      </c>
      <c r="R252">
        <f>INDEX(참고!$C$5:$J$12, MATCH($J$2, 참고!$B$5:$B$12, 0), MATCH(R$2, 참고!$C$4:$J$4, 0))</f>
        <v>0</v>
      </c>
      <c r="S252">
        <f>INDEX(참고!$C$5:$J$12, MATCH($J$2, 참고!$B$5:$B$12, 0), MATCH(S$2, 참고!$C$4:$J$4, 0))</f>
        <v>0</v>
      </c>
      <c r="T252">
        <f>INDEX(참고!$C$5:$J$12, MATCH($J$2, 참고!$B$5:$B$12, 0), MATCH(T$2, 참고!$C$4:$J$4, 0))</f>
        <v>0</v>
      </c>
      <c r="U252">
        <f>INDEX(참고!$C$5:$J$12, MATCH($J$2, 참고!$B$5:$B$12, 0), MATCH(U$2, 참고!$C$4:$J$4, 0))</f>
        <v>0</v>
      </c>
    </row>
    <row r="253" spans="1:21">
      <c r="A253" t="s">
        <v>378</v>
      </c>
      <c r="B253" s="9">
        <v>700000</v>
      </c>
      <c r="C253">
        <f t="shared" si="3"/>
        <v>3499995</v>
      </c>
      <c r="O253">
        <f>INDEX(참고!$C$5:$J$12, MATCH("생명", 참고!$B$5:$B$12, 0), MATCH("HP", 참고!$C$4:$J$4, 0))*J253
+INDEX(참고!$C$5:$J$12, MATCH("힘", 참고!$B$5:$B$12, 0), MATCH("HP", 참고!$C$4:$J$4, 0))*K253
+INDEX(참고!$C$5:$J$12, MATCH("근력", 참고!$B$5:$B$12, 0), MATCH("HP", 참고!$C$4:$J$4, 0))*L253
+INDEX(참고!$C$5:$J$12, MATCH("숙련도", 참고!$B$5:$B$12, 0), MATCH("HP", 참고!$C$4:$J$4, 0))*M253
+INDEX(참고!$C$5:$J$12, MATCH("행운", 참고!$B$5:$B$12, 0), MATCH("HP", 참고!$C$4:$J$4, 0))*N253</f>
        <v>0</v>
      </c>
      <c r="P253">
        <f>INDEX(참고!$C$5:$J$12, MATCH($J$2, 참고!$B$5:$B$12, 0), MATCH(P$2, 참고!$C$4:$J$4, 0))</f>
        <v>3</v>
      </c>
      <c r="Q253">
        <f>INDEX(참고!$C$5:$J$12, MATCH($J$2, 참고!$B$5:$B$12, 0), MATCH(Q$2, 참고!$C$4:$J$4, 0))</f>
        <v>1</v>
      </c>
      <c r="R253">
        <f>INDEX(참고!$C$5:$J$12, MATCH($J$2, 참고!$B$5:$B$12, 0), MATCH(R$2, 참고!$C$4:$J$4, 0))</f>
        <v>0</v>
      </c>
      <c r="S253">
        <f>INDEX(참고!$C$5:$J$12, MATCH($J$2, 참고!$B$5:$B$12, 0), MATCH(S$2, 참고!$C$4:$J$4, 0))</f>
        <v>0</v>
      </c>
      <c r="T253">
        <f>INDEX(참고!$C$5:$J$12, MATCH($J$2, 참고!$B$5:$B$12, 0), MATCH(T$2, 참고!$C$4:$J$4, 0))</f>
        <v>0</v>
      </c>
      <c r="U253">
        <f>INDEX(참고!$C$5:$J$12, MATCH($J$2, 참고!$B$5:$B$12, 0), MATCH(U$2, 참고!$C$4:$J$4, 0))</f>
        <v>0</v>
      </c>
    </row>
    <row r="254" spans="1:21">
      <c r="A254" t="s">
        <v>379</v>
      </c>
      <c r="B254" s="9">
        <v>750000</v>
      </c>
      <c r="C254">
        <f t="shared" si="3"/>
        <v>3749995</v>
      </c>
      <c r="O254">
        <f>INDEX(참고!$C$5:$J$12, MATCH("생명", 참고!$B$5:$B$12, 0), MATCH("HP", 참고!$C$4:$J$4, 0))*J254
+INDEX(참고!$C$5:$J$12, MATCH("힘", 참고!$B$5:$B$12, 0), MATCH("HP", 참고!$C$4:$J$4, 0))*K254
+INDEX(참고!$C$5:$J$12, MATCH("근력", 참고!$B$5:$B$12, 0), MATCH("HP", 참고!$C$4:$J$4, 0))*L254
+INDEX(참고!$C$5:$J$12, MATCH("숙련도", 참고!$B$5:$B$12, 0), MATCH("HP", 참고!$C$4:$J$4, 0))*M254
+INDEX(참고!$C$5:$J$12, MATCH("행운", 참고!$B$5:$B$12, 0), MATCH("HP", 참고!$C$4:$J$4, 0))*N254</f>
        <v>0</v>
      </c>
      <c r="P254">
        <f>INDEX(참고!$C$5:$J$12, MATCH($J$2, 참고!$B$5:$B$12, 0), MATCH(P$2, 참고!$C$4:$J$4, 0))</f>
        <v>3</v>
      </c>
      <c r="Q254">
        <f>INDEX(참고!$C$5:$J$12, MATCH($J$2, 참고!$B$5:$B$12, 0), MATCH(Q$2, 참고!$C$4:$J$4, 0))</f>
        <v>1</v>
      </c>
      <c r="R254">
        <f>INDEX(참고!$C$5:$J$12, MATCH($J$2, 참고!$B$5:$B$12, 0), MATCH(R$2, 참고!$C$4:$J$4, 0))</f>
        <v>0</v>
      </c>
      <c r="S254">
        <f>INDEX(참고!$C$5:$J$12, MATCH($J$2, 참고!$B$5:$B$12, 0), MATCH(S$2, 참고!$C$4:$J$4, 0))</f>
        <v>0</v>
      </c>
      <c r="T254">
        <f>INDEX(참고!$C$5:$J$12, MATCH($J$2, 참고!$B$5:$B$12, 0), MATCH(T$2, 참고!$C$4:$J$4, 0))</f>
        <v>0</v>
      </c>
      <c r="U254">
        <f>INDEX(참고!$C$5:$J$12, MATCH($J$2, 참고!$B$5:$B$12, 0), MATCH(U$2, 참고!$C$4:$J$4, 0))</f>
        <v>0</v>
      </c>
    </row>
    <row r="255" spans="1:21">
      <c r="A255" t="s">
        <v>380</v>
      </c>
      <c r="B255" s="9">
        <v>800000</v>
      </c>
      <c r="C255">
        <f t="shared" si="3"/>
        <v>3999995</v>
      </c>
      <c r="O255">
        <f>INDEX(참고!$C$5:$J$12, MATCH("생명", 참고!$B$5:$B$12, 0), MATCH("HP", 참고!$C$4:$J$4, 0))*J255
+INDEX(참고!$C$5:$J$12, MATCH("힘", 참고!$B$5:$B$12, 0), MATCH("HP", 참고!$C$4:$J$4, 0))*K255
+INDEX(참고!$C$5:$J$12, MATCH("근력", 참고!$B$5:$B$12, 0), MATCH("HP", 참고!$C$4:$J$4, 0))*L255
+INDEX(참고!$C$5:$J$12, MATCH("숙련도", 참고!$B$5:$B$12, 0), MATCH("HP", 참고!$C$4:$J$4, 0))*M255
+INDEX(참고!$C$5:$J$12, MATCH("행운", 참고!$B$5:$B$12, 0), MATCH("HP", 참고!$C$4:$J$4, 0))*N255</f>
        <v>0</v>
      </c>
      <c r="P255">
        <f>INDEX(참고!$C$5:$J$12, MATCH($J$2, 참고!$B$5:$B$12, 0), MATCH(P$2, 참고!$C$4:$J$4, 0))</f>
        <v>3</v>
      </c>
      <c r="Q255">
        <f>INDEX(참고!$C$5:$J$12, MATCH($J$2, 참고!$B$5:$B$12, 0), MATCH(Q$2, 참고!$C$4:$J$4, 0))</f>
        <v>1</v>
      </c>
      <c r="R255">
        <f>INDEX(참고!$C$5:$J$12, MATCH($J$2, 참고!$B$5:$B$12, 0), MATCH(R$2, 참고!$C$4:$J$4, 0))</f>
        <v>0</v>
      </c>
      <c r="S255">
        <f>INDEX(참고!$C$5:$J$12, MATCH($J$2, 참고!$B$5:$B$12, 0), MATCH(S$2, 참고!$C$4:$J$4, 0))</f>
        <v>0</v>
      </c>
      <c r="T255">
        <f>INDEX(참고!$C$5:$J$12, MATCH($J$2, 참고!$B$5:$B$12, 0), MATCH(T$2, 참고!$C$4:$J$4, 0))</f>
        <v>0</v>
      </c>
      <c r="U255">
        <f>INDEX(참고!$C$5:$J$12, MATCH($J$2, 참고!$B$5:$B$12, 0), MATCH(U$2, 참고!$C$4:$J$4, 0))</f>
        <v>0</v>
      </c>
    </row>
    <row r="256" spans="1:21">
      <c r="A256" t="s">
        <v>381</v>
      </c>
      <c r="B256" s="9">
        <v>850000</v>
      </c>
      <c r="C256">
        <f t="shared" si="3"/>
        <v>4249995</v>
      </c>
      <c r="O256">
        <f>INDEX(참고!$C$5:$J$12, MATCH("생명", 참고!$B$5:$B$12, 0), MATCH("HP", 참고!$C$4:$J$4, 0))*J256
+INDEX(참고!$C$5:$J$12, MATCH("힘", 참고!$B$5:$B$12, 0), MATCH("HP", 참고!$C$4:$J$4, 0))*K256
+INDEX(참고!$C$5:$J$12, MATCH("근력", 참고!$B$5:$B$12, 0), MATCH("HP", 참고!$C$4:$J$4, 0))*L256
+INDEX(참고!$C$5:$J$12, MATCH("숙련도", 참고!$B$5:$B$12, 0), MATCH("HP", 참고!$C$4:$J$4, 0))*M256
+INDEX(참고!$C$5:$J$12, MATCH("행운", 참고!$B$5:$B$12, 0), MATCH("HP", 참고!$C$4:$J$4, 0))*N256</f>
        <v>0</v>
      </c>
      <c r="P256">
        <f>INDEX(참고!$C$5:$J$12, MATCH($J$2, 참고!$B$5:$B$12, 0), MATCH(P$2, 참고!$C$4:$J$4, 0))</f>
        <v>3</v>
      </c>
      <c r="Q256">
        <f>INDEX(참고!$C$5:$J$12, MATCH($J$2, 참고!$B$5:$B$12, 0), MATCH(Q$2, 참고!$C$4:$J$4, 0))</f>
        <v>1</v>
      </c>
      <c r="R256">
        <f>INDEX(참고!$C$5:$J$12, MATCH($J$2, 참고!$B$5:$B$12, 0), MATCH(R$2, 참고!$C$4:$J$4, 0))</f>
        <v>0</v>
      </c>
      <c r="S256">
        <f>INDEX(참고!$C$5:$J$12, MATCH($J$2, 참고!$B$5:$B$12, 0), MATCH(S$2, 참고!$C$4:$J$4, 0))</f>
        <v>0</v>
      </c>
      <c r="T256">
        <f>INDEX(참고!$C$5:$J$12, MATCH($J$2, 참고!$B$5:$B$12, 0), MATCH(T$2, 참고!$C$4:$J$4, 0))</f>
        <v>0</v>
      </c>
      <c r="U256">
        <f>INDEX(참고!$C$5:$J$12, MATCH($J$2, 참고!$B$5:$B$12, 0), MATCH(U$2, 참고!$C$4:$J$4, 0))</f>
        <v>0</v>
      </c>
    </row>
    <row r="257" spans="1:21">
      <c r="A257" t="s">
        <v>382</v>
      </c>
      <c r="B257" s="9">
        <v>900000</v>
      </c>
      <c r="C257">
        <f t="shared" si="3"/>
        <v>4499995</v>
      </c>
      <c r="O257">
        <f>INDEX(참고!$C$5:$J$12, MATCH("생명", 참고!$B$5:$B$12, 0), MATCH("HP", 참고!$C$4:$J$4, 0))*J257
+INDEX(참고!$C$5:$J$12, MATCH("힘", 참고!$B$5:$B$12, 0), MATCH("HP", 참고!$C$4:$J$4, 0))*K257
+INDEX(참고!$C$5:$J$12, MATCH("근력", 참고!$B$5:$B$12, 0), MATCH("HP", 참고!$C$4:$J$4, 0))*L257
+INDEX(참고!$C$5:$J$12, MATCH("숙련도", 참고!$B$5:$B$12, 0), MATCH("HP", 참고!$C$4:$J$4, 0))*M257
+INDEX(참고!$C$5:$J$12, MATCH("행운", 참고!$B$5:$B$12, 0), MATCH("HP", 참고!$C$4:$J$4, 0))*N257</f>
        <v>0</v>
      </c>
      <c r="P257">
        <f>INDEX(참고!$C$5:$J$12, MATCH($J$2, 참고!$B$5:$B$12, 0), MATCH(P$2, 참고!$C$4:$J$4, 0))</f>
        <v>3</v>
      </c>
      <c r="Q257">
        <f>INDEX(참고!$C$5:$J$12, MATCH($J$2, 참고!$B$5:$B$12, 0), MATCH(Q$2, 참고!$C$4:$J$4, 0))</f>
        <v>1</v>
      </c>
      <c r="R257">
        <f>INDEX(참고!$C$5:$J$12, MATCH($J$2, 참고!$B$5:$B$12, 0), MATCH(R$2, 참고!$C$4:$J$4, 0))</f>
        <v>0</v>
      </c>
      <c r="S257">
        <f>INDEX(참고!$C$5:$J$12, MATCH($J$2, 참고!$B$5:$B$12, 0), MATCH(S$2, 참고!$C$4:$J$4, 0))</f>
        <v>0</v>
      </c>
      <c r="T257">
        <f>INDEX(참고!$C$5:$J$12, MATCH($J$2, 참고!$B$5:$B$12, 0), MATCH(T$2, 참고!$C$4:$J$4, 0))</f>
        <v>0</v>
      </c>
      <c r="U257">
        <f>INDEX(참고!$C$5:$J$12, MATCH($J$2, 참고!$B$5:$B$12, 0), MATCH(U$2, 참고!$C$4:$J$4, 0))</f>
        <v>0</v>
      </c>
    </row>
    <row r="258" spans="1:21">
      <c r="A258" t="s">
        <v>383</v>
      </c>
      <c r="B258" s="9">
        <v>950000</v>
      </c>
      <c r="C258">
        <f t="shared" si="3"/>
        <v>4749995</v>
      </c>
      <c r="O258">
        <f>INDEX(참고!$C$5:$J$12, MATCH("생명", 참고!$B$5:$B$12, 0), MATCH("HP", 참고!$C$4:$J$4, 0))*J258
+INDEX(참고!$C$5:$J$12, MATCH("힘", 참고!$B$5:$B$12, 0), MATCH("HP", 참고!$C$4:$J$4, 0))*K258
+INDEX(참고!$C$5:$J$12, MATCH("근력", 참고!$B$5:$B$12, 0), MATCH("HP", 참고!$C$4:$J$4, 0))*L258
+INDEX(참고!$C$5:$J$12, MATCH("숙련도", 참고!$B$5:$B$12, 0), MATCH("HP", 참고!$C$4:$J$4, 0))*M258
+INDEX(참고!$C$5:$J$12, MATCH("행운", 참고!$B$5:$B$12, 0), MATCH("HP", 참고!$C$4:$J$4, 0))*N258</f>
        <v>0</v>
      </c>
      <c r="P258">
        <f>INDEX(참고!$C$5:$J$12, MATCH($J$2, 참고!$B$5:$B$12, 0), MATCH(P$2, 참고!$C$4:$J$4, 0))</f>
        <v>3</v>
      </c>
      <c r="Q258">
        <f>INDEX(참고!$C$5:$J$12, MATCH($J$2, 참고!$B$5:$B$12, 0), MATCH(Q$2, 참고!$C$4:$J$4, 0))</f>
        <v>1</v>
      </c>
      <c r="R258">
        <f>INDEX(참고!$C$5:$J$12, MATCH($J$2, 참고!$B$5:$B$12, 0), MATCH(R$2, 참고!$C$4:$J$4, 0))</f>
        <v>0</v>
      </c>
      <c r="S258">
        <f>INDEX(참고!$C$5:$J$12, MATCH($J$2, 참고!$B$5:$B$12, 0), MATCH(S$2, 참고!$C$4:$J$4, 0))</f>
        <v>0</v>
      </c>
      <c r="T258">
        <f>INDEX(참고!$C$5:$J$12, MATCH($J$2, 참고!$B$5:$B$12, 0), MATCH(T$2, 참고!$C$4:$J$4, 0))</f>
        <v>0</v>
      </c>
      <c r="U258">
        <f>INDEX(참고!$C$5:$J$12, MATCH($J$2, 참고!$B$5:$B$12, 0), MATCH(U$2, 참고!$C$4:$J$4, 0))</f>
        <v>0</v>
      </c>
    </row>
    <row r="259" spans="1:21">
      <c r="A259" t="s">
        <v>384</v>
      </c>
      <c r="B259" s="9">
        <v>1000000</v>
      </c>
      <c r="C259">
        <f t="shared" si="3"/>
        <v>4999995</v>
      </c>
      <c r="O259">
        <f>INDEX(참고!$C$5:$J$12, MATCH("생명", 참고!$B$5:$B$12, 0), MATCH("HP", 참고!$C$4:$J$4, 0))*J259
+INDEX(참고!$C$5:$J$12, MATCH("힘", 참고!$B$5:$B$12, 0), MATCH("HP", 참고!$C$4:$J$4, 0))*K259
+INDEX(참고!$C$5:$J$12, MATCH("근력", 참고!$B$5:$B$12, 0), MATCH("HP", 참고!$C$4:$J$4, 0))*L259
+INDEX(참고!$C$5:$J$12, MATCH("숙련도", 참고!$B$5:$B$12, 0), MATCH("HP", 참고!$C$4:$J$4, 0))*M259
+INDEX(참고!$C$5:$J$12, MATCH("행운", 참고!$B$5:$B$12, 0), MATCH("HP", 참고!$C$4:$J$4, 0))*N259</f>
        <v>0</v>
      </c>
      <c r="P259">
        <f>INDEX(참고!$C$5:$J$12, MATCH($J$2, 참고!$B$5:$B$12, 0), MATCH(P$2, 참고!$C$4:$J$4, 0))</f>
        <v>3</v>
      </c>
      <c r="Q259">
        <f>INDEX(참고!$C$5:$J$12, MATCH($J$2, 참고!$B$5:$B$12, 0), MATCH(Q$2, 참고!$C$4:$J$4, 0))</f>
        <v>1</v>
      </c>
      <c r="R259">
        <f>INDEX(참고!$C$5:$J$12, MATCH($J$2, 참고!$B$5:$B$12, 0), MATCH(R$2, 참고!$C$4:$J$4, 0))</f>
        <v>0</v>
      </c>
      <c r="S259">
        <f>INDEX(참고!$C$5:$J$12, MATCH($J$2, 참고!$B$5:$B$12, 0), MATCH(S$2, 참고!$C$4:$J$4, 0))</f>
        <v>0</v>
      </c>
      <c r="T259">
        <f>INDEX(참고!$C$5:$J$12, MATCH($J$2, 참고!$B$5:$B$12, 0), MATCH(T$2, 참고!$C$4:$J$4, 0))</f>
        <v>0</v>
      </c>
      <c r="U259">
        <f>INDEX(참고!$C$5:$J$12, MATCH($J$2, 참고!$B$5:$B$12, 0), MATCH(U$2, 참고!$C$4:$J$4, 0))</f>
        <v>0</v>
      </c>
    </row>
    <row r="260" spans="1:21">
      <c r="A260" t="s">
        <v>385</v>
      </c>
      <c r="B260" s="9">
        <v>1100000</v>
      </c>
      <c r="C260">
        <f t="shared" ref="C260:C292" si="4">(B260-1)*$B$1</f>
        <v>5499995</v>
      </c>
      <c r="O260">
        <f>INDEX(참고!$C$5:$J$12, MATCH("생명", 참고!$B$5:$B$12, 0), MATCH("HP", 참고!$C$4:$J$4, 0))*J260
+INDEX(참고!$C$5:$J$12, MATCH("힘", 참고!$B$5:$B$12, 0), MATCH("HP", 참고!$C$4:$J$4, 0))*K260
+INDEX(참고!$C$5:$J$12, MATCH("근력", 참고!$B$5:$B$12, 0), MATCH("HP", 참고!$C$4:$J$4, 0))*L260
+INDEX(참고!$C$5:$J$12, MATCH("숙련도", 참고!$B$5:$B$12, 0), MATCH("HP", 참고!$C$4:$J$4, 0))*M260
+INDEX(참고!$C$5:$J$12, MATCH("행운", 참고!$B$5:$B$12, 0), MATCH("HP", 참고!$C$4:$J$4, 0))*N260</f>
        <v>0</v>
      </c>
      <c r="P260">
        <f>INDEX(참고!$C$5:$J$12, MATCH($J$2, 참고!$B$5:$B$12, 0), MATCH(P$2, 참고!$C$4:$J$4, 0))</f>
        <v>3</v>
      </c>
      <c r="Q260">
        <f>INDEX(참고!$C$5:$J$12, MATCH($J$2, 참고!$B$5:$B$12, 0), MATCH(Q$2, 참고!$C$4:$J$4, 0))</f>
        <v>1</v>
      </c>
      <c r="R260">
        <f>INDEX(참고!$C$5:$J$12, MATCH($J$2, 참고!$B$5:$B$12, 0), MATCH(R$2, 참고!$C$4:$J$4, 0))</f>
        <v>0</v>
      </c>
      <c r="S260">
        <f>INDEX(참고!$C$5:$J$12, MATCH($J$2, 참고!$B$5:$B$12, 0), MATCH(S$2, 참고!$C$4:$J$4, 0))</f>
        <v>0</v>
      </c>
      <c r="T260">
        <f>INDEX(참고!$C$5:$J$12, MATCH($J$2, 참고!$B$5:$B$12, 0), MATCH(T$2, 참고!$C$4:$J$4, 0))</f>
        <v>0</v>
      </c>
      <c r="U260">
        <f>INDEX(참고!$C$5:$J$12, MATCH($J$2, 참고!$B$5:$B$12, 0), MATCH(U$2, 참고!$C$4:$J$4, 0))</f>
        <v>0</v>
      </c>
    </row>
    <row r="261" spans="1:21">
      <c r="A261" t="s">
        <v>386</v>
      </c>
      <c r="B261" s="9">
        <v>1150000</v>
      </c>
      <c r="C261">
        <f t="shared" si="4"/>
        <v>5749995</v>
      </c>
      <c r="O261">
        <f>INDEX(참고!$C$5:$J$12, MATCH("생명", 참고!$B$5:$B$12, 0), MATCH("HP", 참고!$C$4:$J$4, 0))*J261
+INDEX(참고!$C$5:$J$12, MATCH("힘", 참고!$B$5:$B$12, 0), MATCH("HP", 참고!$C$4:$J$4, 0))*K261
+INDEX(참고!$C$5:$J$12, MATCH("근력", 참고!$B$5:$B$12, 0), MATCH("HP", 참고!$C$4:$J$4, 0))*L261
+INDEX(참고!$C$5:$J$12, MATCH("숙련도", 참고!$B$5:$B$12, 0), MATCH("HP", 참고!$C$4:$J$4, 0))*M261
+INDEX(참고!$C$5:$J$12, MATCH("행운", 참고!$B$5:$B$12, 0), MATCH("HP", 참고!$C$4:$J$4, 0))*N261</f>
        <v>0</v>
      </c>
      <c r="P261">
        <f>INDEX(참고!$C$5:$J$12, MATCH($J$2, 참고!$B$5:$B$12, 0), MATCH(P$2, 참고!$C$4:$J$4, 0))</f>
        <v>3</v>
      </c>
      <c r="Q261">
        <f>INDEX(참고!$C$5:$J$12, MATCH($J$2, 참고!$B$5:$B$12, 0), MATCH(Q$2, 참고!$C$4:$J$4, 0))</f>
        <v>1</v>
      </c>
      <c r="R261">
        <f>INDEX(참고!$C$5:$J$12, MATCH($J$2, 참고!$B$5:$B$12, 0), MATCH(R$2, 참고!$C$4:$J$4, 0))</f>
        <v>0</v>
      </c>
      <c r="S261">
        <f>INDEX(참고!$C$5:$J$12, MATCH($J$2, 참고!$B$5:$B$12, 0), MATCH(S$2, 참고!$C$4:$J$4, 0))</f>
        <v>0</v>
      </c>
      <c r="T261">
        <f>INDEX(참고!$C$5:$J$12, MATCH($J$2, 참고!$B$5:$B$12, 0), MATCH(T$2, 참고!$C$4:$J$4, 0))</f>
        <v>0</v>
      </c>
      <c r="U261">
        <f>INDEX(참고!$C$5:$J$12, MATCH($J$2, 참고!$B$5:$B$12, 0), MATCH(U$2, 참고!$C$4:$J$4, 0))</f>
        <v>0</v>
      </c>
    </row>
    <row r="262" spans="1:21">
      <c r="A262" t="s">
        <v>387</v>
      </c>
      <c r="B262" s="9">
        <v>1150000</v>
      </c>
      <c r="C262">
        <f t="shared" si="4"/>
        <v>5749995</v>
      </c>
      <c r="O262">
        <f>INDEX(참고!$C$5:$J$12, MATCH("생명", 참고!$B$5:$B$12, 0), MATCH("HP", 참고!$C$4:$J$4, 0))*J262
+INDEX(참고!$C$5:$J$12, MATCH("힘", 참고!$B$5:$B$12, 0), MATCH("HP", 참고!$C$4:$J$4, 0))*K262
+INDEX(참고!$C$5:$J$12, MATCH("근력", 참고!$B$5:$B$12, 0), MATCH("HP", 참고!$C$4:$J$4, 0))*L262
+INDEX(참고!$C$5:$J$12, MATCH("숙련도", 참고!$B$5:$B$12, 0), MATCH("HP", 참고!$C$4:$J$4, 0))*M262
+INDEX(참고!$C$5:$J$12, MATCH("행운", 참고!$B$5:$B$12, 0), MATCH("HP", 참고!$C$4:$J$4, 0))*N262</f>
        <v>0</v>
      </c>
      <c r="P262">
        <f>INDEX(참고!$C$5:$J$12, MATCH($J$2, 참고!$B$5:$B$12, 0), MATCH(P$2, 참고!$C$4:$J$4, 0))</f>
        <v>3</v>
      </c>
      <c r="Q262">
        <f>INDEX(참고!$C$5:$J$12, MATCH($J$2, 참고!$B$5:$B$12, 0), MATCH(Q$2, 참고!$C$4:$J$4, 0))</f>
        <v>1</v>
      </c>
      <c r="R262">
        <f>INDEX(참고!$C$5:$J$12, MATCH($J$2, 참고!$B$5:$B$12, 0), MATCH(R$2, 참고!$C$4:$J$4, 0))</f>
        <v>0</v>
      </c>
      <c r="S262">
        <f>INDEX(참고!$C$5:$J$12, MATCH($J$2, 참고!$B$5:$B$12, 0), MATCH(S$2, 참고!$C$4:$J$4, 0))</f>
        <v>0</v>
      </c>
      <c r="T262">
        <f>INDEX(참고!$C$5:$J$12, MATCH($J$2, 참고!$B$5:$B$12, 0), MATCH(T$2, 참고!$C$4:$J$4, 0))</f>
        <v>0</v>
      </c>
      <c r="U262">
        <f>INDEX(참고!$C$5:$J$12, MATCH($J$2, 참고!$B$5:$B$12, 0), MATCH(U$2, 참고!$C$4:$J$4, 0))</f>
        <v>0</v>
      </c>
    </row>
    <row r="263" spans="1:21">
      <c r="A263" t="s">
        <v>388</v>
      </c>
      <c r="B263" s="9">
        <v>1250000</v>
      </c>
      <c r="C263">
        <f t="shared" si="4"/>
        <v>6249995</v>
      </c>
      <c r="O263">
        <f>INDEX(참고!$C$5:$J$12, MATCH("생명", 참고!$B$5:$B$12, 0), MATCH("HP", 참고!$C$4:$J$4, 0))*J263
+INDEX(참고!$C$5:$J$12, MATCH("힘", 참고!$B$5:$B$12, 0), MATCH("HP", 참고!$C$4:$J$4, 0))*K263
+INDEX(참고!$C$5:$J$12, MATCH("근력", 참고!$B$5:$B$12, 0), MATCH("HP", 참고!$C$4:$J$4, 0))*L263
+INDEX(참고!$C$5:$J$12, MATCH("숙련도", 참고!$B$5:$B$12, 0), MATCH("HP", 참고!$C$4:$J$4, 0))*M263
+INDEX(참고!$C$5:$J$12, MATCH("행운", 참고!$B$5:$B$12, 0), MATCH("HP", 참고!$C$4:$J$4, 0))*N263</f>
        <v>0</v>
      </c>
      <c r="P263">
        <f>INDEX(참고!$C$5:$J$12, MATCH($J$2, 참고!$B$5:$B$12, 0), MATCH(P$2, 참고!$C$4:$J$4, 0))</f>
        <v>3</v>
      </c>
      <c r="Q263">
        <f>INDEX(참고!$C$5:$J$12, MATCH($J$2, 참고!$B$5:$B$12, 0), MATCH(Q$2, 참고!$C$4:$J$4, 0))</f>
        <v>1</v>
      </c>
      <c r="R263">
        <f>INDEX(참고!$C$5:$J$12, MATCH($J$2, 참고!$B$5:$B$12, 0), MATCH(R$2, 참고!$C$4:$J$4, 0))</f>
        <v>0</v>
      </c>
      <c r="S263">
        <f>INDEX(참고!$C$5:$J$12, MATCH($J$2, 참고!$B$5:$B$12, 0), MATCH(S$2, 참고!$C$4:$J$4, 0))</f>
        <v>0</v>
      </c>
      <c r="T263">
        <f>INDEX(참고!$C$5:$J$12, MATCH($J$2, 참고!$B$5:$B$12, 0), MATCH(T$2, 참고!$C$4:$J$4, 0))</f>
        <v>0</v>
      </c>
      <c r="U263">
        <f>INDEX(참고!$C$5:$J$12, MATCH($J$2, 참고!$B$5:$B$12, 0), MATCH(U$2, 참고!$C$4:$J$4, 0))</f>
        <v>0</v>
      </c>
    </row>
    <row r="264" spans="1:21">
      <c r="A264" t="s">
        <v>389</v>
      </c>
      <c r="B264" s="9">
        <v>1300000</v>
      </c>
      <c r="C264">
        <f t="shared" si="4"/>
        <v>6499995</v>
      </c>
      <c r="O264">
        <f>INDEX(참고!$C$5:$J$12, MATCH("생명", 참고!$B$5:$B$12, 0), MATCH("HP", 참고!$C$4:$J$4, 0))*J264
+INDEX(참고!$C$5:$J$12, MATCH("힘", 참고!$B$5:$B$12, 0), MATCH("HP", 참고!$C$4:$J$4, 0))*K264
+INDEX(참고!$C$5:$J$12, MATCH("근력", 참고!$B$5:$B$12, 0), MATCH("HP", 참고!$C$4:$J$4, 0))*L264
+INDEX(참고!$C$5:$J$12, MATCH("숙련도", 참고!$B$5:$B$12, 0), MATCH("HP", 참고!$C$4:$J$4, 0))*M264
+INDEX(참고!$C$5:$J$12, MATCH("행운", 참고!$B$5:$B$12, 0), MATCH("HP", 참고!$C$4:$J$4, 0))*N264</f>
        <v>0</v>
      </c>
      <c r="P264">
        <f>INDEX(참고!$C$5:$J$12, MATCH($J$2, 참고!$B$5:$B$12, 0), MATCH(P$2, 참고!$C$4:$J$4, 0))</f>
        <v>3</v>
      </c>
      <c r="Q264">
        <f>INDEX(참고!$C$5:$J$12, MATCH($J$2, 참고!$B$5:$B$12, 0), MATCH(Q$2, 참고!$C$4:$J$4, 0))</f>
        <v>1</v>
      </c>
      <c r="R264">
        <f>INDEX(참고!$C$5:$J$12, MATCH($J$2, 참고!$B$5:$B$12, 0), MATCH(R$2, 참고!$C$4:$J$4, 0))</f>
        <v>0</v>
      </c>
      <c r="S264">
        <f>INDEX(참고!$C$5:$J$12, MATCH($J$2, 참고!$B$5:$B$12, 0), MATCH(S$2, 참고!$C$4:$J$4, 0))</f>
        <v>0</v>
      </c>
      <c r="T264">
        <f>INDEX(참고!$C$5:$J$12, MATCH($J$2, 참고!$B$5:$B$12, 0), MATCH(T$2, 참고!$C$4:$J$4, 0))</f>
        <v>0</v>
      </c>
      <c r="U264">
        <f>INDEX(참고!$C$5:$J$12, MATCH($J$2, 참고!$B$5:$B$12, 0), MATCH(U$2, 참고!$C$4:$J$4, 0))</f>
        <v>0</v>
      </c>
    </row>
    <row r="265" spans="1:21">
      <c r="A265" t="s">
        <v>390</v>
      </c>
      <c r="B265" s="9">
        <v>1350000</v>
      </c>
      <c r="C265">
        <f t="shared" si="4"/>
        <v>6749995</v>
      </c>
      <c r="O265">
        <f>INDEX(참고!$C$5:$J$12, MATCH("생명", 참고!$B$5:$B$12, 0), MATCH("HP", 참고!$C$4:$J$4, 0))*J265
+INDEX(참고!$C$5:$J$12, MATCH("힘", 참고!$B$5:$B$12, 0), MATCH("HP", 참고!$C$4:$J$4, 0))*K265
+INDEX(참고!$C$5:$J$12, MATCH("근력", 참고!$B$5:$B$12, 0), MATCH("HP", 참고!$C$4:$J$4, 0))*L265
+INDEX(참고!$C$5:$J$12, MATCH("숙련도", 참고!$B$5:$B$12, 0), MATCH("HP", 참고!$C$4:$J$4, 0))*M265
+INDEX(참고!$C$5:$J$12, MATCH("행운", 참고!$B$5:$B$12, 0), MATCH("HP", 참고!$C$4:$J$4, 0))*N265</f>
        <v>0</v>
      </c>
      <c r="P265">
        <f>INDEX(참고!$C$5:$J$12, MATCH($J$2, 참고!$B$5:$B$12, 0), MATCH(P$2, 참고!$C$4:$J$4, 0))</f>
        <v>3</v>
      </c>
      <c r="Q265">
        <f>INDEX(참고!$C$5:$J$12, MATCH($J$2, 참고!$B$5:$B$12, 0), MATCH(Q$2, 참고!$C$4:$J$4, 0))</f>
        <v>1</v>
      </c>
      <c r="R265">
        <f>INDEX(참고!$C$5:$J$12, MATCH($J$2, 참고!$B$5:$B$12, 0), MATCH(R$2, 참고!$C$4:$J$4, 0))</f>
        <v>0</v>
      </c>
      <c r="S265">
        <f>INDEX(참고!$C$5:$J$12, MATCH($J$2, 참고!$B$5:$B$12, 0), MATCH(S$2, 참고!$C$4:$J$4, 0))</f>
        <v>0</v>
      </c>
      <c r="T265">
        <f>INDEX(참고!$C$5:$J$12, MATCH($J$2, 참고!$B$5:$B$12, 0), MATCH(T$2, 참고!$C$4:$J$4, 0))</f>
        <v>0</v>
      </c>
      <c r="U265">
        <f>INDEX(참고!$C$5:$J$12, MATCH($J$2, 참고!$B$5:$B$12, 0), MATCH(U$2, 참고!$C$4:$J$4, 0))</f>
        <v>0</v>
      </c>
    </row>
    <row r="266" spans="1:21">
      <c r="A266" t="s">
        <v>391</v>
      </c>
      <c r="B266" s="9">
        <v>1400000</v>
      </c>
      <c r="C266">
        <f t="shared" si="4"/>
        <v>6999995</v>
      </c>
      <c r="O266">
        <f>INDEX(참고!$C$5:$J$12, MATCH("생명", 참고!$B$5:$B$12, 0), MATCH("HP", 참고!$C$4:$J$4, 0))*J266
+INDEX(참고!$C$5:$J$12, MATCH("힘", 참고!$B$5:$B$12, 0), MATCH("HP", 참고!$C$4:$J$4, 0))*K266
+INDEX(참고!$C$5:$J$12, MATCH("근력", 참고!$B$5:$B$12, 0), MATCH("HP", 참고!$C$4:$J$4, 0))*L266
+INDEX(참고!$C$5:$J$12, MATCH("숙련도", 참고!$B$5:$B$12, 0), MATCH("HP", 참고!$C$4:$J$4, 0))*M266
+INDEX(참고!$C$5:$J$12, MATCH("행운", 참고!$B$5:$B$12, 0), MATCH("HP", 참고!$C$4:$J$4, 0))*N266</f>
        <v>0</v>
      </c>
      <c r="P266">
        <f>INDEX(참고!$C$5:$J$12, MATCH($J$2, 참고!$B$5:$B$12, 0), MATCH(P$2, 참고!$C$4:$J$4, 0))</f>
        <v>3</v>
      </c>
      <c r="Q266">
        <f>INDEX(참고!$C$5:$J$12, MATCH($J$2, 참고!$B$5:$B$12, 0), MATCH(Q$2, 참고!$C$4:$J$4, 0))</f>
        <v>1</v>
      </c>
      <c r="R266">
        <f>INDEX(참고!$C$5:$J$12, MATCH($J$2, 참고!$B$5:$B$12, 0), MATCH(R$2, 참고!$C$4:$J$4, 0))</f>
        <v>0</v>
      </c>
      <c r="S266">
        <f>INDEX(참고!$C$5:$J$12, MATCH($J$2, 참고!$B$5:$B$12, 0), MATCH(S$2, 참고!$C$4:$J$4, 0))</f>
        <v>0</v>
      </c>
      <c r="T266">
        <f>INDEX(참고!$C$5:$J$12, MATCH($J$2, 참고!$B$5:$B$12, 0), MATCH(T$2, 참고!$C$4:$J$4, 0))</f>
        <v>0</v>
      </c>
      <c r="U266">
        <f>INDEX(참고!$C$5:$J$12, MATCH($J$2, 참고!$B$5:$B$12, 0), MATCH(U$2, 참고!$C$4:$J$4, 0))</f>
        <v>0</v>
      </c>
    </row>
    <row r="267" spans="1:21">
      <c r="A267" t="s">
        <v>392</v>
      </c>
      <c r="B267" s="9">
        <v>1450000</v>
      </c>
      <c r="C267">
        <f t="shared" si="4"/>
        <v>7249995</v>
      </c>
      <c r="O267">
        <f>INDEX(참고!$C$5:$J$12, MATCH("생명", 참고!$B$5:$B$12, 0), MATCH("HP", 참고!$C$4:$J$4, 0))*J267
+INDEX(참고!$C$5:$J$12, MATCH("힘", 참고!$B$5:$B$12, 0), MATCH("HP", 참고!$C$4:$J$4, 0))*K267
+INDEX(참고!$C$5:$J$12, MATCH("근력", 참고!$B$5:$B$12, 0), MATCH("HP", 참고!$C$4:$J$4, 0))*L267
+INDEX(참고!$C$5:$J$12, MATCH("숙련도", 참고!$B$5:$B$12, 0), MATCH("HP", 참고!$C$4:$J$4, 0))*M267
+INDEX(참고!$C$5:$J$12, MATCH("행운", 참고!$B$5:$B$12, 0), MATCH("HP", 참고!$C$4:$J$4, 0))*N267</f>
        <v>0</v>
      </c>
      <c r="P267">
        <f>INDEX(참고!$C$5:$J$12, MATCH($J$2, 참고!$B$5:$B$12, 0), MATCH(P$2, 참고!$C$4:$J$4, 0))</f>
        <v>3</v>
      </c>
      <c r="Q267">
        <f>INDEX(참고!$C$5:$J$12, MATCH($J$2, 참고!$B$5:$B$12, 0), MATCH(Q$2, 참고!$C$4:$J$4, 0))</f>
        <v>1</v>
      </c>
      <c r="R267">
        <f>INDEX(참고!$C$5:$J$12, MATCH($J$2, 참고!$B$5:$B$12, 0), MATCH(R$2, 참고!$C$4:$J$4, 0))</f>
        <v>0</v>
      </c>
      <c r="S267">
        <f>INDEX(참고!$C$5:$J$12, MATCH($J$2, 참고!$B$5:$B$12, 0), MATCH(S$2, 참고!$C$4:$J$4, 0))</f>
        <v>0</v>
      </c>
      <c r="T267">
        <f>INDEX(참고!$C$5:$J$12, MATCH($J$2, 참고!$B$5:$B$12, 0), MATCH(T$2, 참고!$C$4:$J$4, 0))</f>
        <v>0</v>
      </c>
      <c r="U267">
        <f>INDEX(참고!$C$5:$J$12, MATCH($J$2, 참고!$B$5:$B$12, 0), MATCH(U$2, 참고!$C$4:$J$4, 0))</f>
        <v>0</v>
      </c>
    </row>
    <row r="268" spans="1:21">
      <c r="A268" t="s">
        <v>393</v>
      </c>
      <c r="B268" s="9">
        <v>1500000</v>
      </c>
      <c r="C268">
        <f t="shared" si="4"/>
        <v>7499995</v>
      </c>
      <c r="O268">
        <f>INDEX(참고!$C$5:$J$12, MATCH("생명", 참고!$B$5:$B$12, 0), MATCH("HP", 참고!$C$4:$J$4, 0))*J268
+INDEX(참고!$C$5:$J$12, MATCH("힘", 참고!$B$5:$B$12, 0), MATCH("HP", 참고!$C$4:$J$4, 0))*K268
+INDEX(참고!$C$5:$J$12, MATCH("근력", 참고!$B$5:$B$12, 0), MATCH("HP", 참고!$C$4:$J$4, 0))*L268
+INDEX(참고!$C$5:$J$12, MATCH("숙련도", 참고!$B$5:$B$12, 0), MATCH("HP", 참고!$C$4:$J$4, 0))*M268
+INDEX(참고!$C$5:$J$12, MATCH("행운", 참고!$B$5:$B$12, 0), MATCH("HP", 참고!$C$4:$J$4, 0))*N268</f>
        <v>0</v>
      </c>
      <c r="P268">
        <f>INDEX(참고!$C$5:$J$12, MATCH($J$2, 참고!$B$5:$B$12, 0), MATCH(P$2, 참고!$C$4:$J$4, 0))</f>
        <v>3</v>
      </c>
      <c r="Q268">
        <f>INDEX(참고!$C$5:$J$12, MATCH($J$2, 참고!$B$5:$B$12, 0), MATCH(Q$2, 참고!$C$4:$J$4, 0))</f>
        <v>1</v>
      </c>
      <c r="R268">
        <f>INDEX(참고!$C$5:$J$12, MATCH($J$2, 참고!$B$5:$B$12, 0), MATCH(R$2, 참고!$C$4:$J$4, 0))</f>
        <v>0</v>
      </c>
      <c r="S268">
        <f>INDEX(참고!$C$5:$J$12, MATCH($J$2, 참고!$B$5:$B$12, 0), MATCH(S$2, 참고!$C$4:$J$4, 0))</f>
        <v>0</v>
      </c>
      <c r="T268">
        <f>INDEX(참고!$C$5:$J$12, MATCH($J$2, 참고!$B$5:$B$12, 0), MATCH(T$2, 참고!$C$4:$J$4, 0))</f>
        <v>0</v>
      </c>
      <c r="U268">
        <f>INDEX(참고!$C$5:$J$12, MATCH($J$2, 참고!$B$5:$B$12, 0), MATCH(U$2, 참고!$C$4:$J$4, 0))</f>
        <v>0</v>
      </c>
    </row>
    <row r="269" spans="1:21">
      <c r="A269" t="s">
        <v>394</v>
      </c>
      <c r="B269" s="9">
        <v>1525000</v>
      </c>
      <c r="C269">
        <f t="shared" si="4"/>
        <v>7624995</v>
      </c>
      <c r="O269">
        <f>INDEX(참고!$C$5:$J$12, MATCH("생명", 참고!$B$5:$B$12, 0), MATCH("HP", 참고!$C$4:$J$4, 0))*J269
+INDEX(참고!$C$5:$J$12, MATCH("힘", 참고!$B$5:$B$12, 0), MATCH("HP", 참고!$C$4:$J$4, 0))*K269
+INDEX(참고!$C$5:$J$12, MATCH("근력", 참고!$B$5:$B$12, 0), MATCH("HP", 참고!$C$4:$J$4, 0))*L269
+INDEX(참고!$C$5:$J$12, MATCH("숙련도", 참고!$B$5:$B$12, 0), MATCH("HP", 참고!$C$4:$J$4, 0))*M269
+INDEX(참고!$C$5:$J$12, MATCH("행운", 참고!$B$5:$B$12, 0), MATCH("HP", 참고!$C$4:$J$4, 0))*N269</f>
        <v>0</v>
      </c>
      <c r="P269">
        <f>INDEX(참고!$C$5:$J$12, MATCH($J$2, 참고!$B$5:$B$12, 0), MATCH(P$2, 참고!$C$4:$J$4, 0))</f>
        <v>3</v>
      </c>
      <c r="Q269">
        <f>INDEX(참고!$C$5:$J$12, MATCH($J$2, 참고!$B$5:$B$12, 0), MATCH(Q$2, 참고!$C$4:$J$4, 0))</f>
        <v>1</v>
      </c>
      <c r="R269">
        <f>INDEX(참고!$C$5:$J$12, MATCH($J$2, 참고!$B$5:$B$12, 0), MATCH(R$2, 참고!$C$4:$J$4, 0))</f>
        <v>0</v>
      </c>
      <c r="S269">
        <f>INDEX(참고!$C$5:$J$12, MATCH($J$2, 참고!$B$5:$B$12, 0), MATCH(S$2, 참고!$C$4:$J$4, 0))</f>
        <v>0</v>
      </c>
      <c r="T269">
        <f>INDEX(참고!$C$5:$J$12, MATCH($J$2, 참고!$B$5:$B$12, 0), MATCH(T$2, 참고!$C$4:$J$4, 0))</f>
        <v>0</v>
      </c>
      <c r="U269">
        <f>INDEX(참고!$C$5:$J$12, MATCH($J$2, 참고!$B$5:$B$12, 0), MATCH(U$2, 참고!$C$4:$J$4, 0))</f>
        <v>0</v>
      </c>
    </row>
    <row r="270" spans="1:21">
      <c r="A270" t="s">
        <v>395</v>
      </c>
      <c r="B270" s="9">
        <v>1550000</v>
      </c>
      <c r="C270">
        <f t="shared" si="4"/>
        <v>7749995</v>
      </c>
      <c r="O270">
        <f>INDEX(참고!$C$5:$J$12, MATCH("생명", 참고!$B$5:$B$12, 0), MATCH("HP", 참고!$C$4:$J$4, 0))*J270
+INDEX(참고!$C$5:$J$12, MATCH("힘", 참고!$B$5:$B$12, 0), MATCH("HP", 참고!$C$4:$J$4, 0))*K270
+INDEX(참고!$C$5:$J$12, MATCH("근력", 참고!$B$5:$B$12, 0), MATCH("HP", 참고!$C$4:$J$4, 0))*L270
+INDEX(참고!$C$5:$J$12, MATCH("숙련도", 참고!$B$5:$B$12, 0), MATCH("HP", 참고!$C$4:$J$4, 0))*M270
+INDEX(참고!$C$5:$J$12, MATCH("행운", 참고!$B$5:$B$12, 0), MATCH("HP", 참고!$C$4:$J$4, 0))*N270</f>
        <v>0</v>
      </c>
      <c r="P270">
        <f>INDEX(참고!$C$5:$J$12, MATCH($J$2, 참고!$B$5:$B$12, 0), MATCH(P$2, 참고!$C$4:$J$4, 0))</f>
        <v>3</v>
      </c>
      <c r="Q270">
        <f>INDEX(참고!$C$5:$J$12, MATCH($J$2, 참고!$B$5:$B$12, 0), MATCH(Q$2, 참고!$C$4:$J$4, 0))</f>
        <v>1</v>
      </c>
      <c r="R270">
        <f>INDEX(참고!$C$5:$J$12, MATCH($J$2, 참고!$B$5:$B$12, 0), MATCH(R$2, 참고!$C$4:$J$4, 0))</f>
        <v>0</v>
      </c>
      <c r="S270">
        <f>INDEX(참고!$C$5:$J$12, MATCH($J$2, 참고!$B$5:$B$12, 0), MATCH(S$2, 참고!$C$4:$J$4, 0))</f>
        <v>0</v>
      </c>
      <c r="T270">
        <f>INDEX(참고!$C$5:$J$12, MATCH($J$2, 참고!$B$5:$B$12, 0), MATCH(T$2, 참고!$C$4:$J$4, 0))</f>
        <v>0</v>
      </c>
      <c r="U270">
        <f>INDEX(참고!$C$5:$J$12, MATCH($J$2, 참고!$B$5:$B$12, 0), MATCH(U$2, 참고!$C$4:$J$4, 0))</f>
        <v>0</v>
      </c>
    </row>
    <row r="271" spans="1:21">
      <c r="A271" t="s">
        <v>396</v>
      </c>
      <c r="B271" s="9">
        <v>1600000</v>
      </c>
      <c r="C271">
        <f t="shared" si="4"/>
        <v>7999995</v>
      </c>
      <c r="O271">
        <f>INDEX(참고!$C$5:$J$12, MATCH("생명", 참고!$B$5:$B$12, 0), MATCH("HP", 참고!$C$4:$J$4, 0))*J271
+INDEX(참고!$C$5:$J$12, MATCH("힘", 참고!$B$5:$B$12, 0), MATCH("HP", 참고!$C$4:$J$4, 0))*K271
+INDEX(참고!$C$5:$J$12, MATCH("근력", 참고!$B$5:$B$12, 0), MATCH("HP", 참고!$C$4:$J$4, 0))*L271
+INDEX(참고!$C$5:$J$12, MATCH("숙련도", 참고!$B$5:$B$12, 0), MATCH("HP", 참고!$C$4:$J$4, 0))*M271
+INDEX(참고!$C$5:$J$12, MATCH("행운", 참고!$B$5:$B$12, 0), MATCH("HP", 참고!$C$4:$J$4, 0))*N271</f>
        <v>0</v>
      </c>
      <c r="P271">
        <f>INDEX(참고!$C$5:$J$12, MATCH($J$2, 참고!$B$5:$B$12, 0), MATCH(P$2, 참고!$C$4:$J$4, 0))</f>
        <v>3</v>
      </c>
      <c r="Q271">
        <f>INDEX(참고!$C$5:$J$12, MATCH($J$2, 참고!$B$5:$B$12, 0), MATCH(Q$2, 참고!$C$4:$J$4, 0))</f>
        <v>1</v>
      </c>
      <c r="R271">
        <f>INDEX(참고!$C$5:$J$12, MATCH($J$2, 참고!$B$5:$B$12, 0), MATCH(R$2, 참고!$C$4:$J$4, 0))</f>
        <v>0</v>
      </c>
      <c r="S271">
        <f>INDEX(참고!$C$5:$J$12, MATCH($J$2, 참고!$B$5:$B$12, 0), MATCH(S$2, 참고!$C$4:$J$4, 0))</f>
        <v>0</v>
      </c>
      <c r="T271">
        <f>INDEX(참고!$C$5:$J$12, MATCH($J$2, 참고!$B$5:$B$12, 0), MATCH(T$2, 참고!$C$4:$J$4, 0))</f>
        <v>0</v>
      </c>
      <c r="U271">
        <f>INDEX(참고!$C$5:$J$12, MATCH($J$2, 참고!$B$5:$B$12, 0), MATCH(U$2, 참고!$C$4:$J$4, 0))</f>
        <v>0</v>
      </c>
    </row>
    <row r="272" spans="1:21">
      <c r="A272" t="s">
        <v>397</v>
      </c>
      <c r="B272" s="9">
        <v>1700000</v>
      </c>
      <c r="C272">
        <f t="shared" si="4"/>
        <v>8499995</v>
      </c>
      <c r="O272">
        <f>INDEX(참고!$C$5:$J$12, MATCH("생명", 참고!$B$5:$B$12, 0), MATCH("HP", 참고!$C$4:$J$4, 0))*J272
+INDEX(참고!$C$5:$J$12, MATCH("힘", 참고!$B$5:$B$12, 0), MATCH("HP", 참고!$C$4:$J$4, 0))*K272
+INDEX(참고!$C$5:$J$12, MATCH("근력", 참고!$B$5:$B$12, 0), MATCH("HP", 참고!$C$4:$J$4, 0))*L272
+INDEX(참고!$C$5:$J$12, MATCH("숙련도", 참고!$B$5:$B$12, 0), MATCH("HP", 참고!$C$4:$J$4, 0))*M272
+INDEX(참고!$C$5:$J$12, MATCH("행운", 참고!$B$5:$B$12, 0), MATCH("HP", 참고!$C$4:$J$4, 0))*N272</f>
        <v>0</v>
      </c>
      <c r="P272">
        <f>INDEX(참고!$C$5:$J$12, MATCH($J$2, 참고!$B$5:$B$12, 0), MATCH(P$2, 참고!$C$4:$J$4, 0))</f>
        <v>3</v>
      </c>
      <c r="Q272">
        <f>INDEX(참고!$C$5:$J$12, MATCH($J$2, 참고!$B$5:$B$12, 0), MATCH(Q$2, 참고!$C$4:$J$4, 0))</f>
        <v>1</v>
      </c>
      <c r="R272">
        <f>INDEX(참고!$C$5:$J$12, MATCH($J$2, 참고!$B$5:$B$12, 0), MATCH(R$2, 참고!$C$4:$J$4, 0))</f>
        <v>0</v>
      </c>
      <c r="S272">
        <f>INDEX(참고!$C$5:$J$12, MATCH($J$2, 참고!$B$5:$B$12, 0), MATCH(S$2, 참고!$C$4:$J$4, 0))</f>
        <v>0</v>
      </c>
      <c r="T272">
        <f>INDEX(참고!$C$5:$J$12, MATCH($J$2, 참고!$B$5:$B$12, 0), MATCH(T$2, 참고!$C$4:$J$4, 0))</f>
        <v>0</v>
      </c>
      <c r="U272">
        <f>INDEX(참고!$C$5:$J$12, MATCH($J$2, 참고!$B$5:$B$12, 0), MATCH(U$2, 참고!$C$4:$J$4, 0))</f>
        <v>0</v>
      </c>
    </row>
    <row r="273" spans="1:21">
      <c r="A273" t="s">
        <v>398</v>
      </c>
      <c r="B273" s="9">
        <v>1800000</v>
      </c>
      <c r="C273">
        <f t="shared" si="4"/>
        <v>8999995</v>
      </c>
      <c r="O273">
        <f>INDEX(참고!$C$5:$J$12, MATCH("생명", 참고!$B$5:$B$12, 0), MATCH("HP", 참고!$C$4:$J$4, 0))*J273
+INDEX(참고!$C$5:$J$12, MATCH("힘", 참고!$B$5:$B$12, 0), MATCH("HP", 참고!$C$4:$J$4, 0))*K273
+INDEX(참고!$C$5:$J$12, MATCH("근력", 참고!$B$5:$B$12, 0), MATCH("HP", 참고!$C$4:$J$4, 0))*L273
+INDEX(참고!$C$5:$J$12, MATCH("숙련도", 참고!$B$5:$B$12, 0), MATCH("HP", 참고!$C$4:$J$4, 0))*M273
+INDEX(참고!$C$5:$J$12, MATCH("행운", 참고!$B$5:$B$12, 0), MATCH("HP", 참고!$C$4:$J$4, 0))*N273</f>
        <v>0</v>
      </c>
      <c r="P273">
        <f>INDEX(참고!$C$5:$J$12, MATCH($J$2, 참고!$B$5:$B$12, 0), MATCH(P$2, 참고!$C$4:$J$4, 0))</f>
        <v>3</v>
      </c>
      <c r="Q273">
        <f>INDEX(참고!$C$5:$J$12, MATCH($J$2, 참고!$B$5:$B$12, 0), MATCH(Q$2, 참고!$C$4:$J$4, 0))</f>
        <v>1</v>
      </c>
      <c r="R273">
        <f>INDEX(참고!$C$5:$J$12, MATCH($J$2, 참고!$B$5:$B$12, 0), MATCH(R$2, 참고!$C$4:$J$4, 0))</f>
        <v>0</v>
      </c>
      <c r="S273">
        <f>INDEX(참고!$C$5:$J$12, MATCH($J$2, 참고!$B$5:$B$12, 0), MATCH(S$2, 참고!$C$4:$J$4, 0))</f>
        <v>0</v>
      </c>
      <c r="T273">
        <f>INDEX(참고!$C$5:$J$12, MATCH($J$2, 참고!$B$5:$B$12, 0), MATCH(T$2, 참고!$C$4:$J$4, 0))</f>
        <v>0</v>
      </c>
      <c r="U273">
        <f>INDEX(참고!$C$5:$J$12, MATCH($J$2, 참고!$B$5:$B$12, 0), MATCH(U$2, 참고!$C$4:$J$4, 0))</f>
        <v>0</v>
      </c>
    </row>
    <row r="274" spans="1:21">
      <c r="A274" t="s">
        <v>399</v>
      </c>
      <c r="B274" s="9">
        <v>1900000</v>
      </c>
      <c r="C274">
        <f t="shared" si="4"/>
        <v>9499995</v>
      </c>
      <c r="O274">
        <f>INDEX(참고!$C$5:$J$12, MATCH("생명", 참고!$B$5:$B$12, 0), MATCH("HP", 참고!$C$4:$J$4, 0))*J274
+INDEX(참고!$C$5:$J$12, MATCH("힘", 참고!$B$5:$B$12, 0), MATCH("HP", 참고!$C$4:$J$4, 0))*K274
+INDEX(참고!$C$5:$J$12, MATCH("근력", 참고!$B$5:$B$12, 0), MATCH("HP", 참고!$C$4:$J$4, 0))*L274
+INDEX(참고!$C$5:$J$12, MATCH("숙련도", 참고!$B$5:$B$12, 0), MATCH("HP", 참고!$C$4:$J$4, 0))*M274
+INDEX(참고!$C$5:$J$12, MATCH("행운", 참고!$B$5:$B$12, 0), MATCH("HP", 참고!$C$4:$J$4, 0))*N274</f>
        <v>0</v>
      </c>
      <c r="P274">
        <f>INDEX(참고!$C$5:$J$12, MATCH($J$2, 참고!$B$5:$B$12, 0), MATCH(P$2, 참고!$C$4:$J$4, 0))</f>
        <v>3</v>
      </c>
      <c r="Q274">
        <f>INDEX(참고!$C$5:$J$12, MATCH($J$2, 참고!$B$5:$B$12, 0), MATCH(Q$2, 참고!$C$4:$J$4, 0))</f>
        <v>1</v>
      </c>
      <c r="R274">
        <f>INDEX(참고!$C$5:$J$12, MATCH($J$2, 참고!$B$5:$B$12, 0), MATCH(R$2, 참고!$C$4:$J$4, 0))</f>
        <v>0</v>
      </c>
      <c r="S274">
        <f>INDEX(참고!$C$5:$J$12, MATCH($J$2, 참고!$B$5:$B$12, 0), MATCH(S$2, 참고!$C$4:$J$4, 0))</f>
        <v>0</v>
      </c>
      <c r="T274">
        <f>INDEX(참고!$C$5:$J$12, MATCH($J$2, 참고!$B$5:$B$12, 0), MATCH(T$2, 참고!$C$4:$J$4, 0))</f>
        <v>0</v>
      </c>
      <c r="U274">
        <f>INDEX(참고!$C$5:$J$12, MATCH($J$2, 참고!$B$5:$B$12, 0), MATCH(U$2, 참고!$C$4:$J$4, 0))</f>
        <v>0</v>
      </c>
    </row>
    <row r="275" spans="1:21">
      <c r="A275" t="s">
        <v>400</v>
      </c>
      <c r="B275" s="9">
        <v>2000000</v>
      </c>
      <c r="C275">
        <f t="shared" si="4"/>
        <v>9999995</v>
      </c>
      <c r="O275">
        <f>INDEX(참고!$C$5:$J$12, MATCH("생명", 참고!$B$5:$B$12, 0), MATCH("HP", 참고!$C$4:$J$4, 0))*J275
+INDEX(참고!$C$5:$J$12, MATCH("힘", 참고!$B$5:$B$12, 0), MATCH("HP", 참고!$C$4:$J$4, 0))*K275
+INDEX(참고!$C$5:$J$12, MATCH("근력", 참고!$B$5:$B$12, 0), MATCH("HP", 참고!$C$4:$J$4, 0))*L275
+INDEX(참고!$C$5:$J$12, MATCH("숙련도", 참고!$B$5:$B$12, 0), MATCH("HP", 참고!$C$4:$J$4, 0))*M275
+INDEX(참고!$C$5:$J$12, MATCH("행운", 참고!$B$5:$B$12, 0), MATCH("HP", 참고!$C$4:$J$4, 0))*N275</f>
        <v>0</v>
      </c>
      <c r="P275">
        <f>INDEX(참고!$C$5:$J$12, MATCH($J$2, 참고!$B$5:$B$12, 0), MATCH(P$2, 참고!$C$4:$J$4, 0))</f>
        <v>3</v>
      </c>
      <c r="Q275">
        <f>INDEX(참고!$C$5:$J$12, MATCH($J$2, 참고!$B$5:$B$12, 0), MATCH(Q$2, 참고!$C$4:$J$4, 0))</f>
        <v>1</v>
      </c>
      <c r="R275">
        <f>INDEX(참고!$C$5:$J$12, MATCH($J$2, 참고!$B$5:$B$12, 0), MATCH(R$2, 참고!$C$4:$J$4, 0))</f>
        <v>0</v>
      </c>
      <c r="S275">
        <f>INDEX(참고!$C$5:$J$12, MATCH($J$2, 참고!$B$5:$B$12, 0), MATCH(S$2, 참고!$C$4:$J$4, 0))</f>
        <v>0</v>
      </c>
      <c r="T275">
        <f>INDEX(참고!$C$5:$J$12, MATCH($J$2, 참고!$B$5:$B$12, 0), MATCH(T$2, 참고!$C$4:$J$4, 0))</f>
        <v>0</v>
      </c>
      <c r="U275">
        <f>INDEX(참고!$C$5:$J$12, MATCH($J$2, 참고!$B$5:$B$12, 0), MATCH(U$2, 참고!$C$4:$J$4, 0))</f>
        <v>0</v>
      </c>
    </row>
    <row r="276" spans="1:21">
      <c r="A276" t="s">
        <v>401</v>
      </c>
      <c r="B276" s="9">
        <v>2100000</v>
      </c>
      <c r="C276">
        <f t="shared" si="4"/>
        <v>10499995</v>
      </c>
      <c r="O276">
        <f>INDEX(참고!$C$5:$J$12, MATCH("생명", 참고!$B$5:$B$12, 0), MATCH("HP", 참고!$C$4:$J$4, 0))*J276
+INDEX(참고!$C$5:$J$12, MATCH("힘", 참고!$B$5:$B$12, 0), MATCH("HP", 참고!$C$4:$J$4, 0))*K276
+INDEX(참고!$C$5:$J$12, MATCH("근력", 참고!$B$5:$B$12, 0), MATCH("HP", 참고!$C$4:$J$4, 0))*L276
+INDEX(참고!$C$5:$J$12, MATCH("숙련도", 참고!$B$5:$B$12, 0), MATCH("HP", 참고!$C$4:$J$4, 0))*M276
+INDEX(참고!$C$5:$J$12, MATCH("행운", 참고!$B$5:$B$12, 0), MATCH("HP", 참고!$C$4:$J$4, 0))*N276</f>
        <v>0</v>
      </c>
      <c r="P276">
        <f>INDEX(참고!$C$5:$J$12, MATCH($J$2, 참고!$B$5:$B$12, 0), MATCH(P$2, 참고!$C$4:$J$4, 0))</f>
        <v>3</v>
      </c>
      <c r="Q276">
        <f>INDEX(참고!$C$5:$J$12, MATCH($J$2, 참고!$B$5:$B$12, 0), MATCH(Q$2, 참고!$C$4:$J$4, 0))</f>
        <v>1</v>
      </c>
      <c r="R276">
        <f>INDEX(참고!$C$5:$J$12, MATCH($J$2, 참고!$B$5:$B$12, 0), MATCH(R$2, 참고!$C$4:$J$4, 0))</f>
        <v>0</v>
      </c>
      <c r="S276">
        <f>INDEX(참고!$C$5:$J$12, MATCH($J$2, 참고!$B$5:$B$12, 0), MATCH(S$2, 참고!$C$4:$J$4, 0))</f>
        <v>0</v>
      </c>
      <c r="T276">
        <f>INDEX(참고!$C$5:$J$12, MATCH($J$2, 참고!$B$5:$B$12, 0), MATCH(T$2, 참고!$C$4:$J$4, 0))</f>
        <v>0</v>
      </c>
      <c r="U276">
        <f>INDEX(참고!$C$5:$J$12, MATCH($J$2, 참고!$B$5:$B$12, 0), MATCH(U$2, 참고!$C$4:$J$4, 0))</f>
        <v>0</v>
      </c>
    </row>
    <row r="277" spans="1:21">
      <c r="A277" t="s">
        <v>402</v>
      </c>
      <c r="B277" s="9">
        <v>2200000</v>
      </c>
      <c r="C277">
        <f t="shared" si="4"/>
        <v>10999995</v>
      </c>
      <c r="O277">
        <f>INDEX(참고!$C$5:$J$12, MATCH("생명", 참고!$B$5:$B$12, 0), MATCH("HP", 참고!$C$4:$J$4, 0))*J277
+INDEX(참고!$C$5:$J$12, MATCH("힘", 참고!$B$5:$B$12, 0), MATCH("HP", 참고!$C$4:$J$4, 0))*K277
+INDEX(참고!$C$5:$J$12, MATCH("근력", 참고!$B$5:$B$12, 0), MATCH("HP", 참고!$C$4:$J$4, 0))*L277
+INDEX(참고!$C$5:$J$12, MATCH("숙련도", 참고!$B$5:$B$12, 0), MATCH("HP", 참고!$C$4:$J$4, 0))*M277
+INDEX(참고!$C$5:$J$12, MATCH("행운", 참고!$B$5:$B$12, 0), MATCH("HP", 참고!$C$4:$J$4, 0))*N277</f>
        <v>0</v>
      </c>
      <c r="P277">
        <f>INDEX(참고!$C$5:$J$12, MATCH($J$2, 참고!$B$5:$B$12, 0), MATCH(P$2, 참고!$C$4:$J$4, 0))</f>
        <v>3</v>
      </c>
      <c r="Q277">
        <f>INDEX(참고!$C$5:$J$12, MATCH($J$2, 참고!$B$5:$B$12, 0), MATCH(Q$2, 참고!$C$4:$J$4, 0))</f>
        <v>1</v>
      </c>
      <c r="R277">
        <f>INDEX(참고!$C$5:$J$12, MATCH($J$2, 참고!$B$5:$B$12, 0), MATCH(R$2, 참고!$C$4:$J$4, 0))</f>
        <v>0</v>
      </c>
      <c r="S277">
        <f>INDEX(참고!$C$5:$J$12, MATCH($J$2, 참고!$B$5:$B$12, 0), MATCH(S$2, 참고!$C$4:$J$4, 0))</f>
        <v>0</v>
      </c>
      <c r="T277">
        <f>INDEX(참고!$C$5:$J$12, MATCH($J$2, 참고!$B$5:$B$12, 0), MATCH(T$2, 참고!$C$4:$J$4, 0))</f>
        <v>0</v>
      </c>
      <c r="U277">
        <f>INDEX(참고!$C$5:$J$12, MATCH($J$2, 참고!$B$5:$B$12, 0), MATCH(U$2, 참고!$C$4:$J$4, 0))</f>
        <v>0</v>
      </c>
    </row>
    <row r="278" spans="1:21">
      <c r="A278" t="s">
        <v>403</v>
      </c>
      <c r="B278" s="9">
        <v>2300000</v>
      </c>
      <c r="C278">
        <f t="shared" si="4"/>
        <v>11499995</v>
      </c>
      <c r="O278">
        <f>INDEX(참고!$C$5:$J$12, MATCH("생명", 참고!$B$5:$B$12, 0), MATCH("HP", 참고!$C$4:$J$4, 0))*J278
+INDEX(참고!$C$5:$J$12, MATCH("힘", 참고!$B$5:$B$12, 0), MATCH("HP", 참고!$C$4:$J$4, 0))*K278
+INDEX(참고!$C$5:$J$12, MATCH("근력", 참고!$B$5:$B$12, 0), MATCH("HP", 참고!$C$4:$J$4, 0))*L278
+INDEX(참고!$C$5:$J$12, MATCH("숙련도", 참고!$B$5:$B$12, 0), MATCH("HP", 참고!$C$4:$J$4, 0))*M278
+INDEX(참고!$C$5:$J$12, MATCH("행운", 참고!$B$5:$B$12, 0), MATCH("HP", 참고!$C$4:$J$4, 0))*N278</f>
        <v>0</v>
      </c>
      <c r="P278">
        <f>INDEX(참고!$C$5:$J$12, MATCH($J$2, 참고!$B$5:$B$12, 0), MATCH(P$2, 참고!$C$4:$J$4, 0))</f>
        <v>3</v>
      </c>
      <c r="Q278">
        <f>INDEX(참고!$C$5:$J$12, MATCH($J$2, 참고!$B$5:$B$12, 0), MATCH(Q$2, 참고!$C$4:$J$4, 0))</f>
        <v>1</v>
      </c>
      <c r="R278">
        <f>INDEX(참고!$C$5:$J$12, MATCH($J$2, 참고!$B$5:$B$12, 0), MATCH(R$2, 참고!$C$4:$J$4, 0))</f>
        <v>0</v>
      </c>
      <c r="S278">
        <f>INDEX(참고!$C$5:$J$12, MATCH($J$2, 참고!$B$5:$B$12, 0), MATCH(S$2, 참고!$C$4:$J$4, 0))</f>
        <v>0</v>
      </c>
      <c r="T278">
        <f>INDEX(참고!$C$5:$J$12, MATCH($J$2, 참고!$B$5:$B$12, 0), MATCH(T$2, 참고!$C$4:$J$4, 0))</f>
        <v>0</v>
      </c>
      <c r="U278">
        <f>INDEX(참고!$C$5:$J$12, MATCH($J$2, 참고!$B$5:$B$12, 0), MATCH(U$2, 참고!$C$4:$J$4, 0))</f>
        <v>0</v>
      </c>
    </row>
    <row r="279" spans="1:21">
      <c r="A279" t="s">
        <v>404</v>
      </c>
      <c r="B279" s="9">
        <v>2400000</v>
      </c>
      <c r="C279">
        <f t="shared" si="4"/>
        <v>11999995</v>
      </c>
      <c r="O279">
        <f>INDEX(참고!$C$5:$J$12, MATCH("생명", 참고!$B$5:$B$12, 0), MATCH("HP", 참고!$C$4:$J$4, 0))*J279
+INDEX(참고!$C$5:$J$12, MATCH("힘", 참고!$B$5:$B$12, 0), MATCH("HP", 참고!$C$4:$J$4, 0))*K279
+INDEX(참고!$C$5:$J$12, MATCH("근력", 참고!$B$5:$B$12, 0), MATCH("HP", 참고!$C$4:$J$4, 0))*L279
+INDEX(참고!$C$5:$J$12, MATCH("숙련도", 참고!$B$5:$B$12, 0), MATCH("HP", 참고!$C$4:$J$4, 0))*M279
+INDEX(참고!$C$5:$J$12, MATCH("행운", 참고!$B$5:$B$12, 0), MATCH("HP", 참고!$C$4:$J$4, 0))*N279</f>
        <v>0</v>
      </c>
      <c r="P279">
        <f>INDEX(참고!$C$5:$J$12, MATCH($J$2, 참고!$B$5:$B$12, 0), MATCH(P$2, 참고!$C$4:$J$4, 0))</f>
        <v>3</v>
      </c>
      <c r="Q279">
        <f>INDEX(참고!$C$5:$J$12, MATCH($J$2, 참고!$B$5:$B$12, 0), MATCH(Q$2, 참고!$C$4:$J$4, 0))</f>
        <v>1</v>
      </c>
      <c r="R279">
        <f>INDEX(참고!$C$5:$J$12, MATCH($J$2, 참고!$B$5:$B$12, 0), MATCH(R$2, 참고!$C$4:$J$4, 0))</f>
        <v>0</v>
      </c>
      <c r="S279">
        <f>INDEX(참고!$C$5:$J$12, MATCH($J$2, 참고!$B$5:$B$12, 0), MATCH(S$2, 참고!$C$4:$J$4, 0))</f>
        <v>0</v>
      </c>
      <c r="T279">
        <f>INDEX(참고!$C$5:$J$12, MATCH($J$2, 참고!$B$5:$B$12, 0), MATCH(T$2, 참고!$C$4:$J$4, 0))</f>
        <v>0</v>
      </c>
      <c r="U279">
        <f>INDEX(참고!$C$5:$J$12, MATCH($J$2, 참고!$B$5:$B$12, 0), MATCH(U$2, 참고!$C$4:$J$4, 0))</f>
        <v>0</v>
      </c>
    </row>
    <row r="280" spans="1:21">
      <c r="A280" t="s">
        <v>405</v>
      </c>
      <c r="B280" s="9">
        <v>2500000</v>
      </c>
      <c r="C280">
        <f t="shared" si="4"/>
        <v>12499995</v>
      </c>
      <c r="O280">
        <f>INDEX(참고!$C$5:$J$12, MATCH("생명", 참고!$B$5:$B$12, 0), MATCH("HP", 참고!$C$4:$J$4, 0))*J280
+INDEX(참고!$C$5:$J$12, MATCH("힘", 참고!$B$5:$B$12, 0), MATCH("HP", 참고!$C$4:$J$4, 0))*K280
+INDEX(참고!$C$5:$J$12, MATCH("근력", 참고!$B$5:$B$12, 0), MATCH("HP", 참고!$C$4:$J$4, 0))*L280
+INDEX(참고!$C$5:$J$12, MATCH("숙련도", 참고!$B$5:$B$12, 0), MATCH("HP", 참고!$C$4:$J$4, 0))*M280
+INDEX(참고!$C$5:$J$12, MATCH("행운", 참고!$B$5:$B$12, 0), MATCH("HP", 참고!$C$4:$J$4, 0))*N280</f>
        <v>0</v>
      </c>
      <c r="P280">
        <f>INDEX(참고!$C$5:$J$12, MATCH($J$2, 참고!$B$5:$B$12, 0), MATCH(P$2, 참고!$C$4:$J$4, 0))</f>
        <v>3</v>
      </c>
      <c r="Q280">
        <f>INDEX(참고!$C$5:$J$12, MATCH($J$2, 참고!$B$5:$B$12, 0), MATCH(Q$2, 참고!$C$4:$J$4, 0))</f>
        <v>1</v>
      </c>
      <c r="R280">
        <f>INDEX(참고!$C$5:$J$12, MATCH($J$2, 참고!$B$5:$B$12, 0), MATCH(R$2, 참고!$C$4:$J$4, 0))</f>
        <v>0</v>
      </c>
      <c r="S280">
        <f>INDEX(참고!$C$5:$J$12, MATCH($J$2, 참고!$B$5:$B$12, 0), MATCH(S$2, 참고!$C$4:$J$4, 0))</f>
        <v>0</v>
      </c>
      <c r="T280">
        <f>INDEX(참고!$C$5:$J$12, MATCH($J$2, 참고!$B$5:$B$12, 0), MATCH(T$2, 참고!$C$4:$J$4, 0))</f>
        <v>0</v>
      </c>
      <c r="U280">
        <f>INDEX(참고!$C$5:$J$12, MATCH($J$2, 참고!$B$5:$B$12, 0), MATCH(U$2, 참고!$C$4:$J$4, 0))</f>
        <v>0</v>
      </c>
    </row>
    <row r="281" spans="1:21">
      <c r="A281" t="s">
        <v>406</v>
      </c>
      <c r="B281" s="9">
        <v>2600000</v>
      </c>
      <c r="C281">
        <f t="shared" si="4"/>
        <v>12999995</v>
      </c>
      <c r="O281">
        <f>INDEX(참고!$C$5:$J$12, MATCH("생명", 참고!$B$5:$B$12, 0), MATCH("HP", 참고!$C$4:$J$4, 0))*J281
+INDEX(참고!$C$5:$J$12, MATCH("힘", 참고!$B$5:$B$12, 0), MATCH("HP", 참고!$C$4:$J$4, 0))*K281
+INDEX(참고!$C$5:$J$12, MATCH("근력", 참고!$B$5:$B$12, 0), MATCH("HP", 참고!$C$4:$J$4, 0))*L281
+INDEX(참고!$C$5:$J$12, MATCH("숙련도", 참고!$B$5:$B$12, 0), MATCH("HP", 참고!$C$4:$J$4, 0))*M281
+INDEX(참고!$C$5:$J$12, MATCH("행운", 참고!$B$5:$B$12, 0), MATCH("HP", 참고!$C$4:$J$4, 0))*N281</f>
        <v>0</v>
      </c>
      <c r="P281">
        <f>INDEX(참고!$C$5:$J$12, MATCH($J$2, 참고!$B$5:$B$12, 0), MATCH(P$2, 참고!$C$4:$J$4, 0))</f>
        <v>3</v>
      </c>
      <c r="Q281">
        <f>INDEX(참고!$C$5:$J$12, MATCH($J$2, 참고!$B$5:$B$12, 0), MATCH(Q$2, 참고!$C$4:$J$4, 0))</f>
        <v>1</v>
      </c>
      <c r="R281">
        <f>INDEX(참고!$C$5:$J$12, MATCH($J$2, 참고!$B$5:$B$12, 0), MATCH(R$2, 참고!$C$4:$J$4, 0))</f>
        <v>0</v>
      </c>
      <c r="S281">
        <f>INDEX(참고!$C$5:$J$12, MATCH($J$2, 참고!$B$5:$B$12, 0), MATCH(S$2, 참고!$C$4:$J$4, 0))</f>
        <v>0</v>
      </c>
      <c r="T281">
        <f>INDEX(참고!$C$5:$J$12, MATCH($J$2, 참고!$B$5:$B$12, 0), MATCH(T$2, 참고!$C$4:$J$4, 0))</f>
        <v>0</v>
      </c>
      <c r="U281">
        <f>INDEX(참고!$C$5:$J$12, MATCH($J$2, 참고!$B$5:$B$12, 0), MATCH(U$2, 참고!$C$4:$J$4, 0))</f>
        <v>0</v>
      </c>
    </row>
    <row r="282" spans="1:21">
      <c r="A282" t="s">
        <v>407</v>
      </c>
      <c r="B282" s="9">
        <v>2700000</v>
      </c>
      <c r="C282">
        <f t="shared" si="4"/>
        <v>13499995</v>
      </c>
      <c r="O282">
        <f>INDEX(참고!$C$5:$J$12, MATCH("생명", 참고!$B$5:$B$12, 0), MATCH("HP", 참고!$C$4:$J$4, 0))*J282
+INDEX(참고!$C$5:$J$12, MATCH("힘", 참고!$B$5:$B$12, 0), MATCH("HP", 참고!$C$4:$J$4, 0))*K282
+INDEX(참고!$C$5:$J$12, MATCH("근력", 참고!$B$5:$B$12, 0), MATCH("HP", 참고!$C$4:$J$4, 0))*L282
+INDEX(참고!$C$5:$J$12, MATCH("숙련도", 참고!$B$5:$B$12, 0), MATCH("HP", 참고!$C$4:$J$4, 0))*M282
+INDEX(참고!$C$5:$J$12, MATCH("행운", 참고!$B$5:$B$12, 0), MATCH("HP", 참고!$C$4:$J$4, 0))*N282</f>
        <v>0</v>
      </c>
      <c r="P282">
        <f>INDEX(참고!$C$5:$J$12, MATCH($J$2, 참고!$B$5:$B$12, 0), MATCH(P$2, 참고!$C$4:$J$4, 0))</f>
        <v>3</v>
      </c>
      <c r="Q282">
        <f>INDEX(참고!$C$5:$J$12, MATCH($J$2, 참고!$B$5:$B$12, 0), MATCH(Q$2, 참고!$C$4:$J$4, 0))</f>
        <v>1</v>
      </c>
      <c r="R282">
        <f>INDEX(참고!$C$5:$J$12, MATCH($J$2, 참고!$B$5:$B$12, 0), MATCH(R$2, 참고!$C$4:$J$4, 0))</f>
        <v>0</v>
      </c>
      <c r="S282">
        <f>INDEX(참고!$C$5:$J$12, MATCH($J$2, 참고!$B$5:$B$12, 0), MATCH(S$2, 참고!$C$4:$J$4, 0))</f>
        <v>0</v>
      </c>
      <c r="T282">
        <f>INDEX(참고!$C$5:$J$12, MATCH($J$2, 참고!$B$5:$B$12, 0), MATCH(T$2, 참고!$C$4:$J$4, 0))</f>
        <v>0</v>
      </c>
      <c r="U282">
        <f>INDEX(참고!$C$5:$J$12, MATCH($J$2, 참고!$B$5:$B$12, 0), MATCH(U$2, 참고!$C$4:$J$4, 0))</f>
        <v>0</v>
      </c>
    </row>
    <row r="283" spans="1:21">
      <c r="A283" t="s">
        <v>408</v>
      </c>
      <c r="B283" s="9">
        <v>2750000</v>
      </c>
      <c r="C283">
        <f t="shared" si="4"/>
        <v>13749995</v>
      </c>
      <c r="O283">
        <f>INDEX(참고!$C$5:$J$12, MATCH("생명", 참고!$B$5:$B$12, 0), MATCH("HP", 참고!$C$4:$J$4, 0))*J283
+INDEX(참고!$C$5:$J$12, MATCH("힘", 참고!$B$5:$B$12, 0), MATCH("HP", 참고!$C$4:$J$4, 0))*K283
+INDEX(참고!$C$5:$J$12, MATCH("근력", 참고!$B$5:$B$12, 0), MATCH("HP", 참고!$C$4:$J$4, 0))*L283
+INDEX(참고!$C$5:$J$12, MATCH("숙련도", 참고!$B$5:$B$12, 0), MATCH("HP", 참고!$C$4:$J$4, 0))*M283
+INDEX(참고!$C$5:$J$12, MATCH("행운", 참고!$B$5:$B$12, 0), MATCH("HP", 참고!$C$4:$J$4, 0))*N283</f>
        <v>0</v>
      </c>
      <c r="P283">
        <f>INDEX(참고!$C$5:$J$12, MATCH($J$2, 참고!$B$5:$B$12, 0), MATCH(P$2, 참고!$C$4:$J$4, 0))</f>
        <v>3</v>
      </c>
      <c r="Q283">
        <f>INDEX(참고!$C$5:$J$12, MATCH($J$2, 참고!$B$5:$B$12, 0), MATCH(Q$2, 참고!$C$4:$J$4, 0))</f>
        <v>1</v>
      </c>
      <c r="R283">
        <f>INDEX(참고!$C$5:$J$12, MATCH($J$2, 참고!$B$5:$B$12, 0), MATCH(R$2, 참고!$C$4:$J$4, 0))</f>
        <v>0</v>
      </c>
      <c r="S283">
        <f>INDEX(참고!$C$5:$J$12, MATCH($J$2, 참고!$B$5:$B$12, 0), MATCH(S$2, 참고!$C$4:$J$4, 0))</f>
        <v>0</v>
      </c>
      <c r="T283">
        <f>INDEX(참고!$C$5:$J$12, MATCH($J$2, 참고!$B$5:$B$12, 0), MATCH(T$2, 참고!$C$4:$J$4, 0))</f>
        <v>0</v>
      </c>
      <c r="U283">
        <f>INDEX(참고!$C$5:$J$12, MATCH($J$2, 참고!$B$5:$B$12, 0), MATCH(U$2, 참고!$C$4:$J$4, 0))</f>
        <v>0</v>
      </c>
    </row>
    <row r="284" spans="1:21">
      <c r="A284" t="s">
        <v>409</v>
      </c>
      <c r="B284" s="9">
        <v>3000000</v>
      </c>
      <c r="C284">
        <f t="shared" si="4"/>
        <v>14999995</v>
      </c>
      <c r="O284">
        <f>INDEX(참고!$C$5:$J$12, MATCH("생명", 참고!$B$5:$B$12, 0), MATCH("HP", 참고!$C$4:$J$4, 0))*J284
+INDEX(참고!$C$5:$J$12, MATCH("힘", 참고!$B$5:$B$12, 0), MATCH("HP", 참고!$C$4:$J$4, 0))*K284
+INDEX(참고!$C$5:$J$12, MATCH("근력", 참고!$B$5:$B$12, 0), MATCH("HP", 참고!$C$4:$J$4, 0))*L284
+INDEX(참고!$C$5:$J$12, MATCH("숙련도", 참고!$B$5:$B$12, 0), MATCH("HP", 참고!$C$4:$J$4, 0))*M284
+INDEX(참고!$C$5:$J$12, MATCH("행운", 참고!$B$5:$B$12, 0), MATCH("HP", 참고!$C$4:$J$4, 0))*N284</f>
        <v>0</v>
      </c>
      <c r="P284">
        <f>INDEX(참고!$C$5:$J$12, MATCH($J$2, 참고!$B$5:$B$12, 0), MATCH(P$2, 참고!$C$4:$J$4, 0))</f>
        <v>3</v>
      </c>
      <c r="Q284">
        <f>INDEX(참고!$C$5:$J$12, MATCH($J$2, 참고!$B$5:$B$12, 0), MATCH(Q$2, 참고!$C$4:$J$4, 0))</f>
        <v>1</v>
      </c>
      <c r="R284">
        <f>INDEX(참고!$C$5:$J$12, MATCH($J$2, 참고!$B$5:$B$12, 0), MATCH(R$2, 참고!$C$4:$J$4, 0))</f>
        <v>0</v>
      </c>
      <c r="S284">
        <f>INDEX(참고!$C$5:$J$12, MATCH($J$2, 참고!$B$5:$B$12, 0), MATCH(S$2, 참고!$C$4:$J$4, 0))</f>
        <v>0</v>
      </c>
      <c r="T284">
        <f>INDEX(참고!$C$5:$J$12, MATCH($J$2, 참고!$B$5:$B$12, 0), MATCH(T$2, 참고!$C$4:$J$4, 0))</f>
        <v>0</v>
      </c>
      <c r="U284">
        <f>INDEX(참고!$C$5:$J$12, MATCH($J$2, 참고!$B$5:$B$12, 0), MATCH(U$2, 참고!$C$4:$J$4, 0))</f>
        <v>0</v>
      </c>
    </row>
    <row r="285" spans="1:21">
      <c r="A285" t="s">
        <v>410</v>
      </c>
      <c r="B285" s="9">
        <v>999</v>
      </c>
      <c r="C285">
        <f t="shared" si="4"/>
        <v>4990</v>
      </c>
      <c r="O285">
        <f>INDEX(참고!$C$5:$J$12, MATCH("생명", 참고!$B$5:$B$12, 0), MATCH("HP", 참고!$C$4:$J$4, 0))*J285
+INDEX(참고!$C$5:$J$12, MATCH("힘", 참고!$B$5:$B$12, 0), MATCH("HP", 참고!$C$4:$J$4, 0))*K285
+INDEX(참고!$C$5:$J$12, MATCH("근력", 참고!$B$5:$B$12, 0), MATCH("HP", 참고!$C$4:$J$4, 0))*L285
+INDEX(참고!$C$5:$J$12, MATCH("숙련도", 참고!$B$5:$B$12, 0), MATCH("HP", 참고!$C$4:$J$4, 0))*M285
+INDEX(참고!$C$5:$J$12, MATCH("행운", 참고!$B$5:$B$12, 0), MATCH("HP", 참고!$C$4:$J$4, 0))*N285</f>
        <v>0</v>
      </c>
      <c r="P285">
        <f>INDEX(참고!$C$5:$J$12, MATCH($J$2, 참고!$B$5:$B$12, 0), MATCH(P$2, 참고!$C$4:$J$4, 0))</f>
        <v>3</v>
      </c>
      <c r="Q285">
        <f>INDEX(참고!$C$5:$J$12, MATCH($J$2, 참고!$B$5:$B$12, 0), MATCH(Q$2, 참고!$C$4:$J$4, 0))</f>
        <v>1</v>
      </c>
      <c r="R285">
        <f>INDEX(참고!$C$5:$J$12, MATCH($J$2, 참고!$B$5:$B$12, 0), MATCH(R$2, 참고!$C$4:$J$4, 0))</f>
        <v>0</v>
      </c>
      <c r="S285">
        <f>INDEX(참고!$C$5:$J$12, MATCH($J$2, 참고!$B$5:$B$12, 0), MATCH(S$2, 참고!$C$4:$J$4, 0))</f>
        <v>0</v>
      </c>
      <c r="T285">
        <f>INDEX(참고!$C$5:$J$12, MATCH($J$2, 참고!$B$5:$B$12, 0), MATCH(T$2, 참고!$C$4:$J$4, 0))</f>
        <v>0</v>
      </c>
      <c r="U285">
        <f>INDEX(참고!$C$5:$J$12, MATCH($J$2, 참고!$B$5:$B$12, 0), MATCH(U$2, 참고!$C$4:$J$4, 0))</f>
        <v>0</v>
      </c>
    </row>
    <row r="286" spans="1:21">
      <c r="A286" t="s">
        <v>411</v>
      </c>
      <c r="B286" s="9">
        <v>999</v>
      </c>
      <c r="C286">
        <f t="shared" si="4"/>
        <v>4990</v>
      </c>
      <c r="O286">
        <f>INDEX(참고!$C$5:$J$12, MATCH("생명", 참고!$B$5:$B$12, 0), MATCH("HP", 참고!$C$4:$J$4, 0))*J286
+INDEX(참고!$C$5:$J$12, MATCH("힘", 참고!$B$5:$B$12, 0), MATCH("HP", 참고!$C$4:$J$4, 0))*K286
+INDEX(참고!$C$5:$J$12, MATCH("근력", 참고!$B$5:$B$12, 0), MATCH("HP", 참고!$C$4:$J$4, 0))*L286
+INDEX(참고!$C$5:$J$12, MATCH("숙련도", 참고!$B$5:$B$12, 0), MATCH("HP", 참고!$C$4:$J$4, 0))*M286
+INDEX(참고!$C$5:$J$12, MATCH("행운", 참고!$B$5:$B$12, 0), MATCH("HP", 참고!$C$4:$J$4, 0))*N286</f>
        <v>0</v>
      </c>
      <c r="P286">
        <f>INDEX(참고!$C$5:$J$12, MATCH($J$2, 참고!$B$5:$B$12, 0), MATCH(P$2, 참고!$C$4:$J$4, 0))</f>
        <v>3</v>
      </c>
      <c r="Q286">
        <f>INDEX(참고!$C$5:$J$12, MATCH($J$2, 참고!$B$5:$B$12, 0), MATCH(Q$2, 참고!$C$4:$J$4, 0))</f>
        <v>1</v>
      </c>
      <c r="R286">
        <f>INDEX(참고!$C$5:$J$12, MATCH($J$2, 참고!$B$5:$B$12, 0), MATCH(R$2, 참고!$C$4:$J$4, 0))</f>
        <v>0</v>
      </c>
      <c r="S286">
        <f>INDEX(참고!$C$5:$J$12, MATCH($J$2, 참고!$B$5:$B$12, 0), MATCH(S$2, 참고!$C$4:$J$4, 0))</f>
        <v>0</v>
      </c>
      <c r="T286">
        <f>INDEX(참고!$C$5:$J$12, MATCH($J$2, 참고!$B$5:$B$12, 0), MATCH(T$2, 참고!$C$4:$J$4, 0))</f>
        <v>0</v>
      </c>
      <c r="U286">
        <f>INDEX(참고!$C$5:$J$12, MATCH($J$2, 참고!$B$5:$B$12, 0), MATCH(U$2, 참고!$C$4:$J$4, 0))</f>
        <v>0</v>
      </c>
    </row>
    <row r="287" spans="1:21">
      <c r="A287" t="s">
        <v>412</v>
      </c>
      <c r="B287" s="9">
        <v>100</v>
      </c>
      <c r="C287">
        <f t="shared" si="4"/>
        <v>495</v>
      </c>
      <c r="O287">
        <f>INDEX(참고!$C$5:$J$12, MATCH("생명", 참고!$B$5:$B$12, 0), MATCH("HP", 참고!$C$4:$J$4, 0))*J287
+INDEX(참고!$C$5:$J$12, MATCH("힘", 참고!$B$5:$B$12, 0), MATCH("HP", 참고!$C$4:$J$4, 0))*K287
+INDEX(참고!$C$5:$J$12, MATCH("근력", 참고!$B$5:$B$12, 0), MATCH("HP", 참고!$C$4:$J$4, 0))*L287
+INDEX(참고!$C$5:$J$12, MATCH("숙련도", 참고!$B$5:$B$12, 0), MATCH("HP", 참고!$C$4:$J$4, 0))*M287
+INDEX(참고!$C$5:$J$12, MATCH("행운", 참고!$B$5:$B$12, 0), MATCH("HP", 참고!$C$4:$J$4, 0))*N287</f>
        <v>0</v>
      </c>
      <c r="P287">
        <f>INDEX(참고!$C$5:$J$12, MATCH($J$2, 참고!$B$5:$B$12, 0), MATCH(P$2, 참고!$C$4:$J$4, 0))</f>
        <v>3</v>
      </c>
      <c r="Q287">
        <f>INDEX(참고!$C$5:$J$12, MATCH($J$2, 참고!$B$5:$B$12, 0), MATCH(Q$2, 참고!$C$4:$J$4, 0))</f>
        <v>1</v>
      </c>
      <c r="R287">
        <f>INDEX(참고!$C$5:$J$12, MATCH($J$2, 참고!$B$5:$B$12, 0), MATCH(R$2, 참고!$C$4:$J$4, 0))</f>
        <v>0</v>
      </c>
      <c r="S287">
        <f>INDEX(참고!$C$5:$J$12, MATCH($J$2, 참고!$B$5:$B$12, 0), MATCH(S$2, 참고!$C$4:$J$4, 0))</f>
        <v>0</v>
      </c>
      <c r="T287">
        <f>INDEX(참고!$C$5:$J$12, MATCH($J$2, 참고!$B$5:$B$12, 0), MATCH(T$2, 참고!$C$4:$J$4, 0))</f>
        <v>0</v>
      </c>
      <c r="U287">
        <f>INDEX(참고!$C$5:$J$12, MATCH($J$2, 참고!$B$5:$B$12, 0), MATCH(U$2, 참고!$C$4:$J$4, 0))</f>
        <v>0</v>
      </c>
    </row>
    <row r="288" spans="1:21">
      <c r="A288" t="s">
        <v>413</v>
      </c>
      <c r="B288" s="9">
        <v>5000</v>
      </c>
      <c r="C288">
        <f t="shared" si="4"/>
        <v>24995</v>
      </c>
      <c r="O288">
        <f>INDEX(참고!$C$5:$J$12, MATCH("생명", 참고!$B$5:$B$12, 0), MATCH("HP", 참고!$C$4:$J$4, 0))*J288
+INDEX(참고!$C$5:$J$12, MATCH("힘", 참고!$B$5:$B$12, 0), MATCH("HP", 참고!$C$4:$J$4, 0))*K288
+INDEX(참고!$C$5:$J$12, MATCH("근력", 참고!$B$5:$B$12, 0), MATCH("HP", 참고!$C$4:$J$4, 0))*L288
+INDEX(참고!$C$5:$J$12, MATCH("숙련도", 참고!$B$5:$B$12, 0), MATCH("HP", 참고!$C$4:$J$4, 0))*M288
+INDEX(참고!$C$5:$J$12, MATCH("행운", 참고!$B$5:$B$12, 0), MATCH("HP", 참고!$C$4:$J$4, 0))*N288</f>
        <v>0</v>
      </c>
      <c r="P288">
        <f>INDEX(참고!$C$5:$J$12, MATCH($J$2, 참고!$B$5:$B$12, 0), MATCH(P$2, 참고!$C$4:$J$4, 0))</f>
        <v>3</v>
      </c>
      <c r="Q288">
        <f>INDEX(참고!$C$5:$J$12, MATCH($J$2, 참고!$B$5:$B$12, 0), MATCH(Q$2, 참고!$C$4:$J$4, 0))</f>
        <v>1</v>
      </c>
      <c r="R288">
        <f>INDEX(참고!$C$5:$J$12, MATCH($J$2, 참고!$B$5:$B$12, 0), MATCH(R$2, 참고!$C$4:$J$4, 0))</f>
        <v>0</v>
      </c>
      <c r="S288">
        <f>INDEX(참고!$C$5:$J$12, MATCH($J$2, 참고!$B$5:$B$12, 0), MATCH(S$2, 참고!$C$4:$J$4, 0))</f>
        <v>0</v>
      </c>
      <c r="T288">
        <f>INDEX(참고!$C$5:$J$12, MATCH($J$2, 참고!$B$5:$B$12, 0), MATCH(T$2, 참고!$C$4:$J$4, 0))</f>
        <v>0</v>
      </c>
      <c r="U288">
        <f>INDEX(참고!$C$5:$J$12, MATCH($J$2, 참고!$B$5:$B$12, 0), MATCH(U$2, 참고!$C$4:$J$4, 0))</f>
        <v>0</v>
      </c>
    </row>
    <row r="289" spans="1:21">
      <c r="A289" t="s">
        <v>414</v>
      </c>
      <c r="B289" s="9">
        <v>50000</v>
      </c>
      <c r="C289">
        <f t="shared" si="4"/>
        <v>249995</v>
      </c>
      <c r="O289">
        <f>INDEX(참고!$C$5:$J$12, MATCH("생명", 참고!$B$5:$B$12, 0), MATCH("HP", 참고!$C$4:$J$4, 0))*J289
+INDEX(참고!$C$5:$J$12, MATCH("힘", 참고!$B$5:$B$12, 0), MATCH("HP", 참고!$C$4:$J$4, 0))*K289
+INDEX(참고!$C$5:$J$12, MATCH("근력", 참고!$B$5:$B$12, 0), MATCH("HP", 참고!$C$4:$J$4, 0))*L289
+INDEX(참고!$C$5:$J$12, MATCH("숙련도", 참고!$B$5:$B$12, 0), MATCH("HP", 참고!$C$4:$J$4, 0))*M289
+INDEX(참고!$C$5:$J$12, MATCH("행운", 참고!$B$5:$B$12, 0), MATCH("HP", 참고!$C$4:$J$4, 0))*N289</f>
        <v>0</v>
      </c>
      <c r="P289">
        <f>INDEX(참고!$C$5:$J$12, MATCH($J$2, 참고!$B$5:$B$12, 0), MATCH(P$2, 참고!$C$4:$J$4, 0))</f>
        <v>3</v>
      </c>
      <c r="Q289">
        <f>INDEX(참고!$C$5:$J$12, MATCH($J$2, 참고!$B$5:$B$12, 0), MATCH(Q$2, 참고!$C$4:$J$4, 0))</f>
        <v>1</v>
      </c>
      <c r="R289">
        <f>INDEX(참고!$C$5:$J$12, MATCH($J$2, 참고!$B$5:$B$12, 0), MATCH(R$2, 참고!$C$4:$J$4, 0))</f>
        <v>0</v>
      </c>
      <c r="S289">
        <f>INDEX(참고!$C$5:$J$12, MATCH($J$2, 참고!$B$5:$B$12, 0), MATCH(S$2, 참고!$C$4:$J$4, 0))</f>
        <v>0</v>
      </c>
      <c r="T289">
        <f>INDEX(참고!$C$5:$J$12, MATCH($J$2, 참고!$B$5:$B$12, 0), MATCH(T$2, 참고!$C$4:$J$4, 0))</f>
        <v>0</v>
      </c>
      <c r="U289">
        <f>INDEX(참고!$C$5:$J$12, MATCH($J$2, 참고!$B$5:$B$12, 0), MATCH(U$2, 참고!$C$4:$J$4, 0))</f>
        <v>0</v>
      </c>
    </row>
    <row r="290" spans="1:21">
      <c r="A290" t="s">
        <v>415</v>
      </c>
      <c r="B290" s="9">
        <v>500000</v>
      </c>
      <c r="C290">
        <f t="shared" si="4"/>
        <v>2499995</v>
      </c>
      <c r="O290">
        <f>INDEX(참고!$C$5:$J$12, MATCH("생명", 참고!$B$5:$B$12, 0), MATCH("HP", 참고!$C$4:$J$4, 0))*J290
+INDEX(참고!$C$5:$J$12, MATCH("힘", 참고!$B$5:$B$12, 0), MATCH("HP", 참고!$C$4:$J$4, 0))*K290
+INDEX(참고!$C$5:$J$12, MATCH("근력", 참고!$B$5:$B$12, 0), MATCH("HP", 참고!$C$4:$J$4, 0))*L290
+INDEX(참고!$C$5:$J$12, MATCH("숙련도", 참고!$B$5:$B$12, 0), MATCH("HP", 참고!$C$4:$J$4, 0))*M290
+INDEX(참고!$C$5:$J$12, MATCH("행운", 참고!$B$5:$B$12, 0), MATCH("HP", 참고!$C$4:$J$4, 0))*N290</f>
        <v>0</v>
      </c>
      <c r="P290">
        <f>INDEX(참고!$C$5:$J$12, MATCH($J$2, 참고!$B$5:$B$12, 0), MATCH(P$2, 참고!$C$4:$J$4, 0))</f>
        <v>3</v>
      </c>
      <c r="Q290">
        <f>INDEX(참고!$C$5:$J$12, MATCH($J$2, 참고!$B$5:$B$12, 0), MATCH(Q$2, 참고!$C$4:$J$4, 0))</f>
        <v>1</v>
      </c>
      <c r="R290">
        <f>INDEX(참고!$C$5:$J$12, MATCH($J$2, 참고!$B$5:$B$12, 0), MATCH(R$2, 참고!$C$4:$J$4, 0))</f>
        <v>0</v>
      </c>
      <c r="S290">
        <f>INDEX(참고!$C$5:$J$12, MATCH($J$2, 참고!$B$5:$B$12, 0), MATCH(S$2, 참고!$C$4:$J$4, 0))</f>
        <v>0</v>
      </c>
      <c r="T290">
        <f>INDEX(참고!$C$5:$J$12, MATCH($J$2, 참고!$B$5:$B$12, 0), MATCH(T$2, 참고!$C$4:$J$4, 0))</f>
        <v>0</v>
      </c>
      <c r="U290">
        <f>INDEX(참고!$C$5:$J$12, MATCH($J$2, 참고!$B$5:$B$12, 0), MATCH(U$2, 참고!$C$4:$J$4, 0))</f>
        <v>0</v>
      </c>
    </row>
    <row r="291" spans="1:21">
      <c r="A291" t="s">
        <v>416</v>
      </c>
      <c r="B291" s="9">
        <v>1000</v>
      </c>
      <c r="C291">
        <f t="shared" si="4"/>
        <v>4995</v>
      </c>
      <c r="O291">
        <f>INDEX(참고!$C$5:$J$12, MATCH("생명", 참고!$B$5:$B$12, 0), MATCH("HP", 참고!$C$4:$J$4, 0))*J291
+INDEX(참고!$C$5:$J$12, MATCH("힘", 참고!$B$5:$B$12, 0), MATCH("HP", 참고!$C$4:$J$4, 0))*K291
+INDEX(참고!$C$5:$J$12, MATCH("근력", 참고!$B$5:$B$12, 0), MATCH("HP", 참고!$C$4:$J$4, 0))*L291
+INDEX(참고!$C$5:$J$12, MATCH("숙련도", 참고!$B$5:$B$12, 0), MATCH("HP", 참고!$C$4:$J$4, 0))*M291
+INDEX(참고!$C$5:$J$12, MATCH("행운", 참고!$B$5:$B$12, 0), MATCH("HP", 참고!$C$4:$J$4, 0))*N291</f>
        <v>0</v>
      </c>
      <c r="P291">
        <f>INDEX(참고!$C$5:$J$12, MATCH($J$2, 참고!$B$5:$B$12, 0), MATCH(P$2, 참고!$C$4:$J$4, 0))</f>
        <v>3</v>
      </c>
      <c r="Q291">
        <f>INDEX(참고!$C$5:$J$12, MATCH($J$2, 참고!$B$5:$B$12, 0), MATCH(Q$2, 참고!$C$4:$J$4, 0))</f>
        <v>1</v>
      </c>
      <c r="R291">
        <f>INDEX(참고!$C$5:$J$12, MATCH($J$2, 참고!$B$5:$B$12, 0), MATCH(R$2, 참고!$C$4:$J$4, 0))</f>
        <v>0</v>
      </c>
      <c r="S291">
        <f>INDEX(참고!$C$5:$J$12, MATCH($J$2, 참고!$B$5:$B$12, 0), MATCH(S$2, 참고!$C$4:$J$4, 0))</f>
        <v>0</v>
      </c>
      <c r="T291">
        <f>INDEX(참고!$C$5:$J$12, MATCH($J$2, 참고!$B$5:$B$12, 0), MATCH(T$2, 참고!$C$4:$J$4, 0))</f>
        <v>0</v>
      </c>
      <c r="U291">
        <f>INDEX(참고!$C$5:$J$12, MATCH($J$2, 참고!$B$5:$B$12, 0), MATCH(U$2, 참고!$C$4:$J$4, 0))</f>
        <v>0</v>
      </c>
    </row>
    <row r="292" spans="1:21">
      <c r="A292" t="s">
        <v>417</v>
      </c>
      <c r="B292" s="10">
        <v>25000</v>
      </c>
      <c r="C292">
        <f t="shared" si="4"/>
        <v>124995</v>
      </c>
      <c r="O292">
        <f>INDEX(참고!$C$5:$J$12, MATCH("생명", 참고!$B$5:$B$12, 0), MATCH("HP", 참고!$C$4:$J$4, 0))*J292
+INDEX(참고!$C$5:$J$12, MATCH("힘", 참고!$B$5:$B$12, 0), MATCH("HP", 참고!$C$4:$J$4, 0))*K292
+INDEX(참고!$C$5:$J$12, MATCH("근력", 참고!$B$5:$B$12, 0), MATCH("HP", 참고!$C$4:$J$4, 0))*L292
+INDEX(참고!$C$5:$J$12, MATCH("숙련도", 참고!$B$5:$B$12, 0), MATCH("HP", 참고!$C$4:$J$4, 0))*M292
+INDEX(참고!$C$5:$J$12, MATCH("행운", 참고!$B$5:$B$12, 0), MATCH("HP", 참고!$C$4:$J$4, 0))*N292</f>
        <v>0</v>
      </c>
      <c r="P292">
        <f>INDEX(참고!$C$5:$J$12, MATCH($J$2, 참고!$B$5:$B$12, 0), MATCH(P$2, 참고!$C$4:$J$4, 0))</f>
        <v>3</v>
      </c>
      <c r="Q292">
        <f>INDEX(참고!$C$5:$J$12, MATCH($J$2, 참고!$B$5:$B$12, 0), MATCH(Q$2, 참고!$C$4:$J$4, 0))</f>
        <v>1</v>
      </c>
      <c r="R292">
        <f>INDEX(참고!$C$5:$J$12, MATCH($J$2, 참고!$B$5:$B$12, 0), MATCH(R$2, 참고!$C$4:$J$4, 0))</f>
        <v>0</v>
      </c>
      <c r="S292">
        <f>INDEX(참고!$C$5:$J$12, MATCH($J$2, 참고!$B$5:$B$12, 0), MATCH(S$2, 참고!$C$4:$J$4, 0))</f>
        <v>0</v>
      </c>
      <c r="T292">
        <f>INDEX(참고!$C$5:$J$12, MATCH($J$2, 참고!$B$5:$B$12, 0), MATCH(T$2, 참고!$C$4:$J$4, 0))</f>
        <v>0</v>
      </c>
      <c r="U292">
        <f>INDEX(참고!$C$5:$J$12, MATCH($J$2, 참고!$B$5:$B$12, 0), MATCH(U$2, 참고!$C$4:$J$4, 0))</f>
        <v>0</v>
      </c>
    </row>
  </sheetData>
  <mergeCells count="3">
    <mergeCell ref="O1:U1"/>
    <mergeCell ref="J1:N1"/>
    <mergeCell ref="E1:I1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16</vt:i4>
      </vt:variant>
    </vt:vector>
  </HeadingPairs>
  <TitlesOfParts>
    <vt:vector size="25" baseType="lpstr">
      <vt:lpstr>참고</vt:lpstr>
      <vt:lpstr>계산기</vt:lpstr>
      <vt:lpstr>전투력계산</vt:lpstr>
      <vt:lpstr>handle</vt:lpstr>
      <vt:lpstr>fish</vt:lpstr>
      <vt:lpstr>items</vt:lpstr>
      <vt:lpstr>maps</vt:lpstr>
      <vt:lpstr>Skill</vt:lpstr>
      <vt:lpstr>몬스터참고</vt:lpstr>
      <vt:lpstr>Accuracy계수</vt:lpstr>
      <vt:lpstr>attack계수</vt:lpstr>
      <vt:lpstr>CriticalDamage계수</vt:lpstr>
      <vt:lpstr>CriticalRate계수</vt:lpstr>
      <vt:lpstr>Defense계수</vt:lpstr>
      <vt:lpstr>DodgeRate계수</vt:lpstr>
      <vt:lpstr>HP계수</vt:lpstr>
      <vt:lpstr>베이스_근력</vt:lpstr>
      <vt:lpstr>베이스_생명</vt:lpstr>
      <vt:lpstr>베이스_숙련도</vt:lpstr>
      <vt:lpstr>베이스_이동속도</vt:lpstr>
      <vt:lpstr>베이스_행동력</vt:lpstr>
      <vt:lpstr>베이스_행운</vt:lpstr>
      <vt:lpstr>베이스_힘</vt:lpstr>
      <vt:lpstr>속도핸들러_곱계수</vt:lpstr>
      <vt:lpstr>속도핸들러_합계수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2025-05-17T07:22:56Z</dcterms:created>
  <dcterms:modified xsi:type="dcterms:W3CDTF">2026-05-27T23:24:31Z</dcterms:modified>
</cp:coreProperties>
</file>